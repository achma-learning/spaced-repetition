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_data\OneDrive\OneDrive - uca.ac.ma\OneDrive edu\projects\spaced repetition\"/>
    </mc:Choice>
  </mc:AlternateContent>
  <xr:revisionPtr revIDLastSave="0" documentId="13_ncr:1_{85DF317E-431C-4F19-A3E0-F03515DFDA0B}" xr6:coauthVersionLast="45" xr6:coauthVersionMax="45" xr10:uidLastSave="{00000000-0000-0000-0000-000000000000}"/>
  <bookViews>
    <workbookView xWindow="-110" yWindow="490" windowWidth="19420" windowHeight="11620" activeTab="1" xr2:uid="{42CE875A-7429-49B7-8AE5-7482A22134F0}"/>
  </bookViews>
  <sheets>
    <sheet name="S8" sheetId="1" r:id="rId1"/>
    <sheet name="AIO" sheetId="3" r:id="rId2"/>
    <sheet name="Hebdomadaire" sheetId="4" r:id="rId3"/>
    <sheet name="Sheet2" sheetId="5" r:id="rId4"/>
    <sheet name="Guide" sheetId="2" r:id="rId5"/>
    <sheet name="S7" sheetId="6" r:id="rId6"/>
  </sheets>
  <definedNames>
    <definedName name="_xlnm._FilterDatabase" localSheetId="0" hidden="1">'S8'!$A$2:$G$92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3" l="1"/>
  <c r="F3" i="3"/>
  <c r="E2" i="3"/>
  <c r="F3" i="1"/>
  <c r="B4" i="3" l="1"/>
  <c r="B2" i="3"/>
  <c r="F5" i="1"/>
  <c r="B3" i="3" l="1"/>
  <c r="F4" i="1"/>
  <c r="F8" i="1" l="1"/>
  <c r="G8" i="1" s="1"/>
  <c r="C8" i="1" s="1"/>
  <c r="F9" i="1"/>
  <c r="G9" i="1" s="1"/>
  <c r="C9" i="1" s="1"/>
  <c r="F10" i="1"/>
  <c r="G10" i="1" s="1"/>
  <c r="C10" i="1" s="1"/>
  <c r="F11" i="1"/>
  <c r="G11" i="1" s="1"/>
  <c r="C11" i="1" s="1"/>
  <c r="F12" i="1"/>
  <c r="G12" i="1" s="1"/>
  <c r="C12" i="1" s="1"/>
  <c r="F13" i="1"/>
  <c r="G13" i="1" s="1"/>
  <c r="C13" i="1" s="1"/>
  <c r="F14" i="1"/>
  <c r="G14" i="1" s="1"/>
  <c r="C14" i="1" s="1"/>
  <c r="F15" i="1"/>
  <c r="G15" i="1" s="1"/>
  <c r="C15" i="1" s="1"/>
  <c r="F16" i="1"/>
  <c r="G16" i="1" s="1"/>
  <c r="C16" i="1" s="1"/>
  <c r="F17" i="1"/>
  <c r="G17" i="1" s="1"/>
  <c r="C17" i="1" s="1"/>
  <c r="F18" i="1"/>
  <c r="G18" i="1" s="1"/>
  <c r="C18" i="1" s="1"/>
  <c r="F19" i="1"/>
  <c r="G19" i="1" s="1"/>
  <c r="C19" i="1" s="1"/>
  <c r="F20" i="1"/>
  <c r="G20" i="1" s="1"/>
  <c r="C20" i="1" s="1"/>
  <c r="F21" i="1"/>
  <c r="G21" i="1" s="1"/>
  <c r="C21" i="1" s="1"/>
  <c r="F22" i="1"/>
  <c r="G22" i="1" s="1"/>
  <c r="C22" i="1" s="1"/>
  <c r="F23" i="1"/>
  <c r="G23" i="1" s="1"/>
  <c r="C23" i="1" s="1"/>
  <c r="F24" i="1"/>
  <c r="G24" i="1" s="1"/>
  <c r="C24" i="1" s="1"/>
  <c r="F25" i="1"/>
  <c r="G25" i="1" s="1"/>
  <c r="C25" i="1" s="1"/>
  <c r="F26" i="1"/>
  <c r="G26" i="1" s="1"/>
  <c r="C26" i="1" s="1"/>
  <c r="F27" i="1"/>
  <c r="G27" i="1" s="1"/>
  <c r="C27" i="1" s="1"/>
  <c r="F28" i="1"/>
  <c r="G28" i="1" s="1"/>
  <c r="C28" i="1" s="1"/>
  <c r="F29" i="1"/>
  <c r="G29" i="1" s="1"/>
  <c r="C29" i="1" s="1"/>
  <c r="F30" i="1"/>
  <c r="G30" i="1" s="1"/>
  <c r="C30" i="1" s="1"/>
  <c r="F31" i="1"/>
  <c r="G31" i="1" s="1"/>
  <c r="C31" i="1" s="1"/>
  <c r="F32" i="1"/>
  <c r="G32" i="1" s="1"/>
  <c r="C32" i="1" s="1"/>
  <c r="F33" i="1"/>
  <c r="G33" i="1" s="1"/>
  <c r="C33" i="1" s="1"/>
  <c r="F34" i="1"/>
  <c r="G34" i="1" s="1"/>
  <c r="C34" i="1" s="1"/>
  <c r="F35" i="1"/>
  <c r="G35" i="1" s="1"/>
  <c r="C35" i="1" s="1"/>
  <c r="F36" i="1"/>
  <c r="G36" i="1" s="1"/>
  <c r="C36" i="1" s="1"/>
  <c r="F37" i="1"/>
  <c r="G37" i="1" s="1"/>
  <c r="C37" i="1" s="1"/>
  <c r="F38" i="1"/>
  <c r="G38" i="1" s="1"/>
  <c r="C38" i="1" s="1"/>
  <c r="F39" i="1"/>
  <c r="G39" i="1" s="1"/>
  <c r="C39" i="1" s="1"/>
  <c r="F40" i="1"/>
  <c r="G40" i="1" s="1"/>
  <c r="C40" i="1" s="1"/>
  <c r="F41" i="1"/>
  <c r="G41" i="1" s="1"/>
  <c r="C41" i="1" s="1"/>
  <c r="F42" i="1"/>
  <c r="G42" i="1" s="1"/>
  <c r="C42" i="1" s="1"/>
  <c r="F43" i="1"/>
  <c r="G43" i="1" s="1"/>
  <c r="C43" i="1" s="1"/>
  <c r="F44" i="1"/>
  <c r="G44" i="1" s="1"/>
  <c r="C44" i="1" s="1"/>
  <c r="F45" i="1"/>
  <c r="G45" i="1" s="1"/>
  <c r="C45" i="1" s="1"/>
  <c r="F46" i="1"/>
  <c r="G46" i="1" s="1"/>
  <c r="C46" i="1" s="1"/>
  <c r="F47" i="1"/>
  <c r="G47" i="1" s="1"/>
  <c r="C47" i="1" s="1"/>
  <c r="F48" i="1"/>
  <c r="G48" i="1" s="1"/>
  <c r="C48" i="1" s="1"/>
  <c r="F49" i="1"/>
  <c r="G49" i="1" s="1"/>
  <c r="C49" i="1" s="1"/>
  <c r="F50" i="1"/>
  <c r="G50" i="1" s="1"/>
  <c r="C50" i="1" s="1"/>
  <c r="F51" i="1"/>
  <c r="G51" i="1" s="1"/>
  <c r="C51" i="1" s="1"/>
  <c r="F52" i="1"/>
  <c r="G52" i="1" s="1"/>
  <c r="C52" i="1" s="1"/>
  <c r="F53" i="1"/>
  <c r="G53" i="1" s="1"/>
  <c r="C53" i="1" s="1"/>
  <c r="F54" i="1"/>
  <c r="G54" i="1" s="1"/>
  <c r="C54" i="1" s="1"/>
  <c r="F55" i="1"/>
  <c r="G55" i="1" s="1"/>
  <c r="C55" i="1" s="1"/>
  <c r="F56" i="1"/>
  <c r="G56" i="1" s="1"/>
  <c r="C56" i="1" s="1"/>
  <c r="F57" i="1"/>
  <c r="G57" i="1" s="1"/>
  <c r="C57" i="1" s="1"/>
  <c r="F58" i="1"/>
  <c r="G58" i="1" s="1"/>
  <c r="C58" i="1" s="1"/>
  <c r="F59" i="1"/>
  <c r="G59" i="1" s="1"/>
  <c r="C59" i="1" s="1"/>
  <c r="F60" i="1"/>
  <c r="G60" i="1" s="1"/>
  <c r="C60" i="1" s="1"/>
  <c r="F61" i="1"/>
  <c r="G61" i="1" s="1"/>
  <c r="C61" i="1" s="1"/>
  <c r="F62" i="1"/>
  <c r="G62" i="1" s="1"/>
  <c r="C62" i="1" s="1"/>
  <c r="F63" i="1"/>
  <c r="G63" i="1" s="1"/>
  <c r="C63" i="1" s="1"/>
  <c r="F64" i="1"/>
  <c r="G64" i="1" s="1"/>
  <c r="C64" i="1" s="1"/>
  <c r="F65" i="1"/>
  <c r="G65" i="1" s="1"/>
  <c r="C65" i="1" s="1"/>
  <c r="F66" i="1"/>
  <c r="G66" i="1" s="1"/>
  <c r="C66" i="1" s="1"/>
  <c r="F67" i="1"/>
  <c r="G67" i="1" s="1"/>
  <c r="C67" i="1" s="1"/>
  <c r="F68" i="1"/>
  <c r="G68" i="1" s="1"/>
  <c r="C68" i="1" s="1"/>
  <c r="F69" i="1"/>
  <c r="G69" i="1" s="1"/>
  <c r="C69" i="1" s="1"/>
  <c r="F70" i="1"/>
  <c r="G70" i="1" s="1"/>
  <c r="C70" i="1" s="1"/>
  <c r="F71" i="1"/>
  <c r="G71" i="1" s="1"/>
  <c r="C71" i="1" s="1"/>
  <c r="F72" i="1"/>
  <c r="G72" i="1" s="1"/>
  <c r="C72" i="1" s="1"/>
  <c r="F73" i="1"/>
  <c r="G73" i="1" s="1"/>
  <c r="C73" i="1" s="1"/>
  <c r="F74" i="1"/>
  <c r="G74" i="1" s="1"/>
  <c r="C74" i="1" s="1"/>
  <c r="F75" i="1"/>
  <c r="G75" i="1" s="1"/>
  <c r="C75" i="1" s="1"/>
  <c r="F76" i="1"/>
  <c r="G76" i="1" s="1"/>
  <c r="C76" i="1" s="1"/>
  <c r="F77" i="1"/>
  <c r="G77" i="1" s="1"/>
  <c r="C77" i="1" s="1"/>
  <c r="F78" i="1"/>
  <c r="G78" i="1" s="1"/>
  <c r="C78" i="1" s="1"/>
  <c r="F79" i="1"/>
  <c r="G79" i="1" s="1"/>
  <c r="C79" i="1" s="1"/>
  <c r="F80" i="1"/>
  <c r="G80" i="1" s="1"/>
  <c r="C80" i="1" s="1"/>
  <c r="F81" i="1"/>
  <c r="G81" i="1" s="1"/>
  <c r="C81" i="1" s="1"/>
  <c r="F82" i="1"/>
  <c r="G82" i="1" s="1"/>
  <c r="C82" i="1" s="1"/>
  <c r="F83" i="1"/>
  <c r="G83" i="1" s="1"/>
  <c r="C83" i="1" s="1"/>
  <c r="F84" i="1"/>
  <c r="G84" i="1" s="1"/>
  <c r="C84" i="1" s="1"/>
  <c r="F85" i="1"/>
  <c r="G85" i="1" s="1"/>
  <c r="C85" i="1" s="1"/>
  <c r="F86" i="1"/>
  <c r="G86" i="1" s="1"/>
  <c r="C86" i="1" s="1"/>
  <c r="F87" i="1"/>
  <c r="G87" i="1" s="1"/>
  <c r="C87" i="1" s="1"/>
  <c r="F88" i="1"/>
  <c r="G88" i="1" s="1"/>
  <c r="C88" i="1" s="1"/>
  <c r="F89" i="1"/>
  <c r="G89" i="1" s="1"/>
  <c r="C89" i="1" s="1"/>
  <c r="F90" i="1"/>
  <c r="G90" i="1" s="1"/>
  <c r="C90" i="1" s="1"/>
  <c r="F91" i="1"/>
  <c r="G91" i="1" s="1"/>
  <c r="C91" i="1" s="1"/>
  <c r="F92" i="1"/>
  <c r="G92" i="1" s="1"/>
  <c r="C92" i="1" s="1"/>
  <c r="G5" i="1"/>
  <c r="C5" i="1" s="1"/>
  <c r="G3" i="1"/>
  <c r="C3" i="1" s="1"/>
  <c r="F6" i="1"/>
  <c r="G6" i="1" s="1"/>
  <c r="C6" i="1" s="1"/>
  <c r="F7" i="1"/>
  <c r="G7" i="1" s="1"/>
  <c r="C7" i="1" s="1"/>
  <c r="G4" i="1"/>
  <c r="C4" i="1" s="1"/>
</calcChain>
</file>

<file path=xl/sharedStrings.xml><?xml version="1.0" encoding="utf-8"?>
<sst xmlns="http://schemas.openxmlformats.org/spreadsheetml/2006/main" count="459" uniqueCount="376">
  <si>
    <t>Subject</t>
  </si>
  <si>
    <t>Topic</t>
  </si>
  <si>
    <t>Last Review</t>
  </si>
  <si>
    <t>Interval</t>
  </si>
  <si>
    <t>Next Review</t>
  </si>
  <si>
    <t>Status</t>
  </si>
  <si>
    <t>Tramatologie</t>
  </si>
  <si>
    <t>Fractures de la diaphyse humérale</t>
  </si>
  <si>
    <t>Fractures de la palette humérale</t>
  </si>
  <si>
    <t>Fc coude + Avant bras</t>
  </si>
  <si>
    <t>Fractures du poignet (scaphoide)</t>
  </si>
  <si>
    <t>Infections de la main</t>
  </si>
  <si>
    <t>Traumas du bassin / Luxation de la hanche</t>
  </si>
  <si>
    <t>Fractures de l'extrémité supérieur du fémur</t>
  </si>
  <si>
    <t>Fractures du genou</t>
  </si>
  <si>
    <t>Lésions méniscoligamentaires du genou</t>
  </si>
  <si>
    <t>Trauma de la cheville</t>
  </si>
  <si>
    <t>Traumatismes vasculaires</t>
  </si>
  <si>
    <t>Fracture du fémur</t>
  </si>
  <si>
    <t>Fracture de la jambe</t>
  </si>
  <si>
    <t>Traumas de l'épaule</t>
  </si>
  <si>
    <t>Plaies de la main</t>
  </si>
  <si>
    <t>Fractures de la main</t>
  </si>
  <si>
    <t>Traumas des nerfs périphériques</t>
  </si>
  <si>
    <t>Tumeurs osseuses</t>
  </si>
  <si>
    <t>Tumeurs des parties molles</t>
  </si>
  <si>
    <t>Rhumatologie</t>
  </si>
  <si>
    <t>Introd à la rhuamato</t>
  </si>
  <si>
    <t>Mono-arthrite</t>
  </si>
  <si>
    <t>Epaule douloureuse</t>
  </si>
  <si>
    <t>Hanche douloureuse</t>
  </si>
  <si>
    <t>Radiculalgie des membres</t>
  </si>
  <si>
    <t>Ostéoporose</t>
  </si>
  <si>
    <t>Ostéomalacie</t>
  </si>
  <si>
    <t>Hypercalcémies</t>
  </si>
  <si>
    <t>Ab-articulaire</t>
  </si>
  <si>
    <t>Algodystrophie</t>
  </si>
  <si>
    <t>Sd du canal carpien</t>
  </si>
  <si>
    <t>CAT devant rhumatisme inflammatoire débutant</t>
  </si>
  <si>
    <t>Polyarthrite rhumatoide</t>
  </si>
  <si>
    <t>Goutte</t>
  </si>
  <si>
    <t>Arthrose</t>
  </si>
  <si>
    <t>Lombalgies</t>
  </si>
  <si>
    <t>Tuberculose ostéo-articulaire</t>
  </si>
  <si>
    <t>Spondylarthrite ankylosante</t>
  </si>
  <si>
    <t>MPR</t>
  </si>
  <si>
    <t>Handicap</t>
  </si>
  <si>
    <t>Intervenants et thérapies en MPR</t>
  </si>
  <si>
    <t>Appareillages et aides techniques</t>
  </si>
  <si>
    <t>MPR et domaines d'interventions</t>
  </si>
  <si>
    <t>L'activité physique</t>
  </si>
  <si>
    <t>Anatomopathologie</t>
  </si>
  <si>
    <t>Tumeurs du foie</t>
  </si>
  <si>
    <t>Polypes et polyposes digestives</t>
  </si>
  <si>
    <t>Cancers colo-rectales</t>
  </si>
  <si>
    <t>Cancer du sein</t>
  </si>
  <si>
    <t>Tumeurs broncho-pulmonaires</t>
  </si>
  <si>
    <t>Mastopathies bénignes</t>
  </si>
  <si>
    <t>Lymphome d'Hogking</t>
  </si>
  <si>
    <t>Tumeur de l'ovaire</t>
  </si>
  <si>
    <t>Pathologies de l'oesophage</t>
  </si>
  <si>
    <t>Tumeurs de l'estomac</t>
  </si>
  <si>
    <t>Tumeurs de la vessie</t>
  </si>
  <si>
    <t>Cancer du prostate</t>
  </si>
  <si>
    <t>Cancer du testicule</t>
  </si>
  <si>
    <t>Tumerus du rein</t>
  </si>
  <si>
    <t>Cancer du col utérin</t>
  </si>
  <si>
    <t>Maladies de système</t>
  </si>
  <si>
    <t>Lupus</t>
  </si>
  <si>
    <t>Sclérodermie systémique</t>
  </si>
  <si>
    <t>Vascularites systémiques</t>
  </si>
  <si>
    <t>Maladie de Behçet</t>
  </si>
  <si>
    <t>Sd de Gougerot-sjogren</t>
  </si>
  <si>
    <t>Vascularites systémiques + Artérite à cellules génates</t>
  </si>
  <si>
    <t>Phénomène de Raynaud</t>
  </si>
  <si>
    <t>Maladie de Takayasu</t>
  </si>
  <si>
    <t>Myopathies inflammatoires</t>
  </si>
  <si>
    <t>SAPL</t>
  </si>
  <si>
    <t>Génétique</t>
  </si>
  <si>
    <t>Introduction à la génétique</t>
  </si>
  <si>
    <t>Modes de transmission des maladies génétiques</t>
  </si>
  <si>
    <t>Génétique des populations</t>
  </si>
  <si>
    <t>Mutations : classification, conséquences et nomenclature</t>
  </si>
  <si>
    <t>Caryotype</t>
  </si>
  <si>
    <t>La pathologie chromosomique</t>
  </si>
  <si>
    <t>Exemples de pathologies autosomes / gonosomes</t>
  </si>
  <si>
    <t>Conseil génétique</t>
  </si>
  <si>
    <t>Diagnostic anténatal</t>
  </si>
  <si>
    <t>SMA</t>
  </si>
  <si>
    <t>Sd de l'X fragil</t>
  </si>
  <si>
    <t>Sd de Prader Willi</t>
  </si>
  <si>
    <t>Introduction à l'immuno</t>
  </si>
  <si>
    <t>Déficits immunitaires</t>
  </si>
  <si>
    <t>Hypersensibilité immédiate et allergie</t>
  </si>
  <si>
    <t>Hypersensibilité type 2 et 3</t>
  </si>
  <si>
    <t>Hypersensibilité type 4</t>
  </si>
  <si>
    <t>Auto-immunité et maladies auto-immunes</t>
  </si>
  <si>
    <t>Immunité anti-infectieuse</t>
  </si>
  <si>
    <t>Immunité anti-tumorale</t>
  </si>
  <si>
    <t>Vaccination</t>
  </si>
  <si>
    <t>Anticorps monoclonaux</t>
  </si>
  <si>
    <t>Immunosupresseurs</t>
  </si>
  <si>
    <t>Immuno</t>
  </si>
  <si>
    <t>1️⃣ THE DAILY ROUTINE (3 Steps)</t>
  </si>
  <si>
    <t>Goal: Spend 100% of your time studying, not managing the sheet.</t>
  </si>
  <si>
    <t>Step A: FILTER 🔍</t>
  </si>
  <si>
    <r>
      <t xml:space="preserve">1. Go to the </t>
    </r>
    <r>
      <rPr>
        <b/>
        <sz val="11"/>
        <color theme="1"/>
        <rFont val="Arial"/>
        <family val="2"/>
      </rPr>
      <t>"Status"</t>
    </r>
    <r>
      <rPr>
        <sz val="11"/>
        <color theme="1"/>
        <rFont val="Arial"/>
        <family val="2"/>
      </rPr>
      <t xml:space="preserve"> column (Col G).</t>
    </r>
  </si>
  <si>
    <t>2. Click the filter arrow.</t>
  </si>
  <si>
    <r>
      <t xml:space="preserve">3. Select only </t>
    </r>
    <r>
      <rPr>
        <b/>
        <sz val="11"/>
        <color theme="1"/>
        <rFont val="Arial"/>
        <family val="2"/>
      </rPr>
      <t>"⚡ STUDY NOW"</t>
    </r>
    <r>
      <rPr>
        <sz val="11"/>
        <color theme="1"/>
        <rFont val="Arial"/>
        <family val="2"/>
      </rPr>
      <t>.</t>
    </r>
  </si>
  <si>
    <t>(Now you see only what is urgent today.)</t>
  </si>
  <si>
    <t>Step B: ACTIVE RECALL 💭</t>
  </si>
  <si>
    <r>
      <t xml:space="preserve">1. Look at the </t>
    </r>
    <r>
      <rPr>
        <b/>
        <sz val="11"/>
        <color theme="1"/>
        <rFont val="Arial"/>
        <family val="2"/>
      </rPr>
      <t>Topic</t>
    </r>
    <r>
      <rPr>
        <sz val="11"/>
        <color theme="1"/>
        <rFont val="Arial"/>
        <family val="2"/>
      </rPr>
      <t xml:space="preserve"> (Col B).</t>
    </r>
  </si>
  <si>
    <r>
      <t>2. Look away</t>
    </r>
    <r>
      <rPr>
        <sz val="11"/>
        <color theme="1"/>
        <rFont val="Arial"/>
        <family val="2"/>
      </rPr>
      <t xml:space="preserve"> and attempt to recall the facts/mechanisms.</t>
    </r>
  </si>
  <si>
    <t>3. Check your notes/textbook to verify.</t>
  </si>
  <si>
    <t>Step C: UPDATE 📝</t>
  </si>
  <si>
    <r>
      <t>1. Update Date:</t>
    </r>
    <r>
      <rPr>
        <sz val="11"/>
        <color theme="1"/>
        <rFont val="Arial"/>
        <family val="2"/>
      </rPr>
      <t xml:space="preserve"> Change </t>
    </r>
    <r>
      <rPr>
        <b/>
        <sz val="11"/>
        <color theme="1"/>
        <rFont val="Arial"/>
        <family val="2"/>
      </rPr>
      <t>"Last Review"</t>
    </r>
    <r>
      <rPr>
        <sz val="11"/>
        <color theme="1"/>
        <rFont val="Arial"/>
        <family val="2"/>
      </rPr>
      <t xml:space="preserve"> (Col C) to TODAY.</t>
    </r>
  </si>
  <si>
    <r>
      <t>Excel Shortcut: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Ctrl</t>
    </r>
    <r>
      <rPr>
        <sz val="11"/>
        <color theme="1"/>
        <rFont val="Arial"/>
        <family val="2"/>
      </rPr>
      <t xml:space="preserve"> + </t>
    </r>
    <r>
      <rPr>
        <sz val="10"/>
        <color theme="1"/>
        <rFont val="Google Sans Text"/>
        <family val="2"/>
      </rPr>
      <t>;</t>
    </r>
    <r>
      <rPr>
        <sz val="11"/>
        <color theme="1"/>
        <rFont val="Arial"/>
        <family val="2"/>
      </rPr>
      <t xml:space="preserve"> (Windows) or </t>
    </r>
    <r>
      <rPr>
        <sz val="10"/>
        <color theme="1"/>
        <rFont val="Google Sans Text"/>
        <family val="2"/>
      </rPr>
      <t>Cmd</t>
    </r>
    <r>
      <rPr>
        <sz val="11"/>
        <color theme="1"/>
        <rFont val="Arial"/>
        <family val="2"/>
      </rPr>
      <t xml:space="preserve"> + </t>
    </r>
    <r>
      <rPr>
        <sz val="10"/>
        <color theme="1"/>
        <rFont val="Google Sans Text"/>
        <family val="2"/>
      </rPr>
      <t>;</t>
    </r>
    <r>
      <rPr>
        <sz val="11"/>
        <color theme="1"/>
        <rFont val="Arial"/>
        <family val="2"/>
      </rPr>
      <t xml:space="preserve"> (Mac).</t>
    </r>
  </si>
  <si>
    <r>
      <t>2. Update Level:</t>
    </r>
    <r>
      <rPr>
        <sz val="11"/>
        <color theme="1"/>
        <rFont val="Arial"/>
        <family val="2"/>
      </rPr>
      <t xml:space="preserve"> Change </t>
    </r>
    <r>
      <rPr>
        <b/>
        <sz val="11"/>
        <color theme="1"/>
        <rFont val="Arial"/>
        <family val="2"/>
      </rPr>
      <t>"Current Level"</t>
    </r>
    <r>
      <rPr>
        <sz val="11"/>
        <color theme="1"/>
        <rFont val="Arial"/>
        <family val="2"/>
      </rPr>
      <t xml:space="preserve"> (Col D) based on how you did (see below).</t>
    </r>
  </si>
  <si>
    <r>
      <t>3. Clear Filter:</t>
    </r>
    <r>
      <rPr>
        <sz val="11"/>
        <color theme="1"/>
        <rFont val="Arial"/>
        <family val="2"/>
      </rPr>
      <t xml:space="preserve"> When finished, clear the filter to see everything again.</t>
    </r>
  </si>
  <si>
    <t>2️⃣ THE SCORING SYSTEM (How to set Column D)</t>
  </si>
  <si>
    <t>Be honest. The algorithm only works if you are truthful about your memory.</t>
  </si>
  <si>
    <t>If you felt...</t>
  </si>
  <si>
    <t>Action to take</t>
  </si>
  <si>
    <t>Result</t>
  </si>
  <si>
    <r>
      <t xml:space="preserve">❌ </t>
    </r>
    <r>
      <rPr>
        <b/>
        <sz val="11"/>
        <color theme="1"/>
        <rFont val="Arial"/>
        <family val="2"/>
      </rPr>
      <t>Forgot / Wrong</t>
    </r>
  </si>
  <si>
    <t>Change Level to 0</t>
  </si>
  <si>
    <r>
      <t xml:space="preserve">Resets. You will see this again </t>
    </r>
    <r>
      <rPr>
        <b/>
        <sz val="11"/>
        <color theme="1"/>
        <rFont val="Arial"/>
        <family val="2"/>
      </rPr>
      <t>Tomorrow</t>
    </r>
    <r>
      <rPr>
        <sz val="11"/>
        <color theme="1"/>
        <rFont val="Arial"/>
        <family val="2"/>
      </rPr>
      <t>.</t>
    </r>
  </si>
  <si>
    <r>
      <t xml:space="preserve">😐 </t>
    </r>
    <r>
      <rPr>
        <b/>
        <sz val="11"/>
        <color theme="1"/>
        <rFont val="Arial"/>
        <family val="2"/>
      </rPr>
      <t>Hard / Hesitant</t>
    </r>
  </si>
  <si>
    <t>Keep Level the SAME</t>
  </si>
  <si>
    <r>
      <t xml:space="preserve">Repeats interval. You will see it again </t>
    </r>
    <r>
      <rPr>
        <b/>
        <sz val="11"/>
        <color theme="1"/>
        <rFont val="Arial"/>
        <family val="2"/>
      </rPr>
      <t>Soon</t>
    </r>
    <r>
      <rPr>
        <sz val="11"/>
        <color theme="1"/>
        <rFont val="Arial"/>
        <family val="2"/>
      </rPr>
      <t>.</t>
    </r>
  </si>
  <si>
    <r>
      <t xml:space="preserve">✅ </t>
    </r>
    <r>
      <rPr>
        <b/>
        <sz val="11"/>
        <color theme="1"/>
        <rFont val="Arial"/>
        <family val="2"/>
      </rPr>
      <t>Good / Easy</t>
    </r>
  </si>
  <si>
    <t>Increase Level by +1</t>
  </si>
  <si>
    <r>
      <t xml:space="preserve">Expands interval. You will see it </t>
    </r>
    <r>
      <rPr>
        <b/>
        <sz val="11"/>
        <color theme="1"/>
        <rFont val="Arial"/>
        <family val="2"/>
      </rPr>
      <t>Later</t>
    </r>
    <r>
      <rPr>
        <sz val="11"/>
        <color theme="1"/>
        <rFont val="Arial"/>
        <family val="2"/>
      </rPr>
      <t>.</t>
    </r>
  </si>
  <si>
    <r>
      <t>Max Level:</t>
    </r>
    <r>
      <rPr>
        <sz val="11"/>
        <color theme="1"/>
        <rFont val="Arial"/>
        <family val="2"/>
      </rPr>
      <t xml:space="preserve"> Once you reach </t>
    </r>
    <r>
      <rPr>
        <b/>
        <sz val="11"/>
        <color theme="1"/>
        <rFont val="Arial"/>
        <family val="2"/>
      </rPr>
      <t>Level 7</t>
    </r>
    <r>
      <rPr>
        <sz val="11"/>
        <color theme="1"/>
        <rFont val="Arial"/>
        <family val="2"/>
      </rPr>
      <t>, you have mastered the topic (Review every ~4 months).</t>
    </r>
  </si>
  <si>
    <t>3️⃣ ADDING NEW LESSONS</t>
  </si>
  <si>
    <t>1. Scroll to the bottom of your list.</t>
  </si>
  <si>
    <r>
      <t xml:space="preserve">2. Type the </t>
    </r>
    <r>
      <rPr>
        <b/>
        <sz val="11"/>
        <color theme="1"/>
        <rFont val="Arial"/>
        <family val="2"/>
      </rPr>
      <t>Subject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Topic</t>
    </r>
    <r>
      <rPr>
        <sz val="11"/>
        <color theme="1"/>
        <rFont val="Arial"/>
        <family val="2"/>
      </rPr>
      <t>.</t>
    </r>
  </si>
  <si>
    <r>
      <t xml:space="preserve">3. Set </t>
    </r>
    <r>
      <rPr>
        <b/>
        <sz val="11"/>
        <color theme="1"/>
        <rFont val="Arial"/>
        <family val="2"/>
      </rPr>
      <t>Last Review</t>
    </r>
    <r>
      <rPr>
        <sz val="11"/>
        <color theme="1"/>
        <rFont val="Arial"/>
        <family val="2"/>
      </rPr>
      <t xml:space="preserve"> to Today (</t>
    </r>
    <r>
      <rPr>
        <sz val="10"/>
        <color theme="1"/>
        <rFont val="Google Sans Text"/>
        <family val="2"/>
      </rPr>
      <t>Ctrl</t>
    </r>
    <r>
      <rPr>
        <sz val="11"/>
        <color theme="1"/>
        <rFont val="Arial"/>
        <family val="2"/>
      </rPr>
      <t xml:space="preserve"> + </t>
    </r>
    <r>
      <rPr>
        <sz val="10"/>
        <color theme="1"/>
        <rFont val="Google Sans Text"/>
        <family val="2"/>
      </rPr>
      <t>;</t>
    </r>
    <r>
      <rPr>
        <sz val="11"/>
        <color theme="1"/>
        <rFont val="Arial"/>
        <family val="2"/>
      </rPr>
      <t>).</t>
    </r>
  </si>
  <si>
    <r>
      <t xml:space="preserve">4. Set </t>
    </r>
    <r>
      <rPr>
        <b/>
        <sz val="11"/>
        <color theme="1"/>
        <rFont val="Arial"/>
        <family val="2"/>
      </rPr>
      <t>Current Level</t>
    </r>
    <r>
      <rPr>
        <sz val="11"/>
        <color theme="1"/>
        <rFont val="Arial"/>
        <family val="2"/>
      </rPr>
      <t xml:space="preserve"> to </t>
    </r>
    <r>
      <rPr>
        <b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>.</t>
    </r>
  </si>
  <si>
    <t>(This ensures you review it tomorrow to lock it in immediately.)</t>
  </si>
  <si>
    <t>💡 PRO TIPS FOR MEDICAL STUDENTS</t>
  </si>
  <si>
    <t>🚫 The "Exam Cram" Mode:</t>
  </si>
  <si>
    <r>
      <t xml:space="preserve">If you have an exam coming up, forget the "Status" column. Instead, sort the sheet by </t>
    </r>
    <r>
      <rPr>
        <b/>
        <sz val="11"/>
        <color theme="1"/>
        <rFont val="Arial"/>
        <family val="2"/>
      </rPr>
      <t>Current Level (Smallest to Largest)</t>
    </r>
    <r>
      <rPr>
        <sz val="11"/>
        <color theme="1"/>
        <rFont val="Arial"/>
        <family val="2"/>
      </rPr>
      <t>. Focus entirely on Level 0, 1, and 2 topics. Don't waste time reviewing Level 5+ during cram week.</t>
    </r>
  </si>
  <si>
    <t>📅 Missed a few days?</t>
  </si>
  <si>
    <r>
      <t>Don't panic.</t>
    </r>
    <r>
      <rPr>
        <sz val="11"/>
        <color theme="1"/>
        <rFont val="Arial"/>
        <family val="2"/>
      </rPr>
      <t xml:space="preserve"> Unlike rigid schedules, this system pauses when you stop. Just open the sheet, filter for "⚡ STUDY NOW," and chip away at the list. Start with the hardest topics first.</t>
    </r>
  </si>
  <si>
    <t>⌨️ Speed Shortcut:</t>
  </si>
  <si>
    <r>
      <t xml:space="preserve">After studying a row, hit </t>
    </r>
    <r>
      <rPr>
        <sz val="10"/>
        <color theme="1"/>
        <rFont val="Google Sans Text"/>
        <family val="2"/>
      </rPr>
      <t>Right Arrow</t>
    </r>
    <r>
      <rPr>
        <sz val="11"/>
        <color theme="1"/>
        <rFont val="Arial"/>
        <family val="2"/>
      </rPr>
      <t xml:space="preserve"> ➔ </t>
    </r>
    <r>
      <rPr>
        <sz val="10"/>
        <color theme="1"/>
        <rFont val="Google Sans Text"/>
        <family val="2"/>
      </rPr>
      <t>Ctrl + ;</t>
    </r>
    <r>
      <rPr>
        <sz val="11"/>
        <color theme="1"/>
        <rFont val="Arial"/>
        <family val="2"/>
      </rPr>
      <t xml:space="preserve"> ➔ </t>
    </r>
    <r>
      <rPr>
        <sz val="10"/>
        <color theme="1"/>
        <rFont val="Google Sans Text"/>
        <family val="2"/>
      </rPr>
      <t>Right Arrow</t>
    </r>
    <r>
      <rPr>
        <sz val="11"/>
        <color theme="1"/>
        <rFont val="Arial"/>
        <family val="2"/>
      </rPr>
      <t xml:space="preserve"> ➔ </t>
    </r>
    <r>
      <rPr>
        <sz val="10"/>
        <color theme="1"/>
        <rFont val="Google Sans Text"/>
        <family val="2"/>
      </rPr>
      <t>Type Level</t>
    </r>
    <r>
      <rPr>
        <sz val="11"/>
        <color theme="1"/>
        <rFont val="Arial"/>
        <family val="2"/>
      </rPr>
      <t xml:space="preserve"> ➔ </t>
    </r>
    <r>
      <rPr>
        <sz val="10"/>
        <color theme="1"/>
        <rFont val="Google Sans Text"/>
        <family val="2"/>
      </rPr>
      <t>Enter</t>
    </r>
    <r>
      <rPr>
        <sz val="11"/>
        <color theme="1"/>
        <rFont val="Arial"/>
        <family val="2"/>
      </rPr>
      <t>. You can process a card in 3 seconds.</t>
    </r>
  </si>
  <si>
    <t>Total Lessons:</t>
  </si>
  <si>
    <t>Started</t>
  </si>
  <si>
    <t>in short select last review : update it to current date when study (ctrl + ; = insert today's date), and then update level | these are the two changes</t>
  </si>
  <si>
    <t>Mastery</t>
  </si>
  <si>
    <t xml:space="preserve">“J’ai essayé la méthode des J avec </t>
  </si>
  <si>
    <t>J0, J2, J5, J12, J21 et J30</t>
  </si>
  <si>
    <t>J0, J2, J6, J15, +J15</t>
  </si>
  <si>
    <t>JUST KEEP ON REPEATING J15 AFTER and chose level 3</t>
  </si>
  <si>
    <t>J0 J1/2 J3 J7 J15 J30 | +j15</t>
  </si>
  <si>
    <t>J0 J2 J5 J14</t>
  </si>
  <si>
    <t>J0 J3 J10 J30</t>
  </si>
  <si>
    <t>put here a list of cours to view during this week</t>
  </si>
  <si>
    <t>Time Left</t>
  </si>
  <si>
    <t>Today's :</t>
  </si>
  <si>
    <t>1 module/j - 1 new lesson per day / EARLY BIRD : ""</t>
  </si>
  <si>
    <t>Recensement S7</t>
  </si>
  <si>
    <t>Drive (click here)</t>
  </si>
  <si>
    <t>current promo ressources (click here)</t>
  </si>
  <si>
    <t>Maladies de l’enfant :</t>
  </si>
  <si>
    <t>Pédiatrie :</t>
  </si>
  <si>
    <t>Pr Ait Sab:</t>
  </si>
  <si>
    <t>[x] Hématuries</t>
  </si>
  <si>
    <t>[x] Glomérulonéphrites aigue chez l'enfant</t>
  </si>
  <si>
    <t>[x] PROTEINURIE</t>
  </si>
  <si>
    <t>[x] SYNDROME NEPHROTIQUE</t>
  </si>
  <si>
    <t>[x] Purpura rhumatoide</t>
  </si>
  <si>
    <t>[x] Arthralgies et arthrite chez l'enfant</t>
  </si>
  <si>
    <t>[x] Infections Urinaires chez l'enfant</t>
  </si>
  <si>
    <t>[x] Enurésie</t>
  </si>
  <si>
    <t>Pr.El Fakiri:</t>
  </si>
  <si>
    <t>[x] Asthme de l'enfant et du nourrisson</t>
  </si>
  <si>
    <t>[x] Pleurésie</t>
  </si>
  <si>
    <t>[x] Infections respiratoires aigues chez l'enfant</t>
  </si>
  <si>
    <t>[x] Coqueluche</t>
  </si>
  <si>
    <t>Pr. Barrahouat:</t>
  </si>
  <si>
    <t>[x] Vomissement chez l'enfant</t>
  </si>
  <si>
    <t>[x] Diarrhée chez l'enfant</t>
  </si>
  <si>
    <t>[x] Alimentation et besoins nutrionnels chez l'enfant</t>
  </si>
  <si>
    <t>[x] Carences nutritionnelles chez enfant</t>
  </si>
  <si>
    <t>Pr. El Qadiri</t>
  </si>
  <si>
    <t>[x] Le diabète chez l'enfant</t>
  </si>
  <si>
    <t>[x] Retard SP</t>
  </si>
  <si>
    <t>Pr El Baz:</t>
  </si>
  <si>
    <t>[x] Anémie chez l'enfant</t>
  </si>
  <si>
    <t>[x] Cancer de l'enfant et leucemie aigue</t>
  </si>
  <si>
    <t>[x] Sd hemoragique chez enfant</t>
  </si>
  <si>
    <t>Pr Widad Lahmini</t>
  </si>
  <si>
    <t>[x] Dyspnée aigue chez le nourisson</t>
  </si>
  <si>
    <t>[x] Douleurs abdominal chez l’enfant (annulé)</t>
  </si>
  <si>
    <t>[x] vomissement de l'enfant (annulé)</t>
  </si>
  <si>
    <t>Pr Rada:</t>
  </si>
  <si>
    <t>[x] Développement psychomoteur</t>
  </si>
  <si>
    <t>[x] Tuberculose chez l'enfant</t>
  </si>
  <si>
    <t>[x] Fièvre de l’enfant</t>
  </si>
  <si>
    <t>[x] Diarrhée aiguë et déshydratation chez l’enfant</t>
  </si>
  <si>
    <t>[x] Infections neuroméningées de l'enfant (partie encéphalite annulé diapo 39)</t>
  </si>
  <si>
    <t>[x] Déficit immunitaire (annulé)</t>
  </si>
  <si>
    <t>[x] Fièvre éruptive chez l'enfant (annulé)</t>
  </si>
  <si>
    <t>Néonatologie:</t>
  </si>
  <si>
    <t>Pr Maoulainaine:</t>
  </si>
  <si>
    <t>[x] Réa du Nné</t>
  </si>
  <si>
    <t>[x] APN (annulé)</t>
  </si>
  <si>
    <t>[x] Infections néonatales (annulé)</t>
  </si>
  <si>
    <t>[x] Détresses respiratoires néonatales (annulé)</t>
  </si>
  <si>
    <t>[x] Ictères néonatales(annulé)</t>
  </si>
  <si>
    <t>Pr Slitine:</t>
  </si>
  <si>
    <t>[x] RCIU</t>
  </si>
  <si>
    <t>[x] Convulsions néonatales</t>
  </si>
  <si>
    <t>[x] Prématurés</t>
  </si>
  <si>
    <t>[x] Cardiopathies congénitales</t>
  </si>
  <si>
    <t>[x] Cyanose néonatale</t>
  </si>
  <si>
    <t>[x] Insuff cardiaque du nourisson</t>
  </si>
  <si>
    <t>Chirurgie pédiatrique:</t>
  </si>
  <si>
    <t>Pr Oulad Saiad:</t>
  </si>
  <si>
    <t>[x] Malformations congénitales</t>
  </si>
  <si>
    <t>[x] Atresie de l’oesophage</t>
  </si>
  <si>
    <t>[x] Hernie diaphragmatique</t>
  </si>
  <si>
    <t>[x] Occlusion néonatale</t>
  </si>
  <si>
    <t>[x] Hirschprung</t>
  </si>
  <si>
    <t>[x] Uropathies de l’enfant</t>
  </si>
  <si>
    <t>[x] Invagination intestinale</t>
  </si>
  <si>
    <t>[x] Malformation anorectal</t>
  </si>
  <si>
    <t>Pr. Fouraiji:</t>
  </si>
  <si>
    <t>[x] MAP</t>
  </si>
  <si>
    <t>[x] Proctologie pédiatrique</t>
  </si>
  <si>
    <t>[x] Torsion du cordon spermatique</t>
  </si>
  <si>
    <t>Pr. Kamili:</t>
  </si>
  <si>
    <t>[x] Pathologie du CPV</t>
  </si>
  <si>
    <t>[x] Anomalie de migration et de position testiculaire</t>
  </si>
  <si>
    <t>[x] Douleur abdominale chez l’enfant</t>
  </si>
  <si>
    <t>[x] Sténose hypertrophique du pylore</t>
  </si>
  <si>
    <t>Pr. Aghoutane:</t>
  </si>
  <si>
    <t>[x] Les particularités des fractures chez l’enfant</t>
  </si>
  <si>
    <t>[x] Infections ostéo-articulaire de l'enfant</t>
  </si>
  <si>
    <t>Pr El Fezzazi:</t>
  </si>
  <si>
    <t>[x] Les Boiteries de l’enfant</t>
  </si>
  <si>
    <t>[x] Déformation rachidienne</t>
  </si>
  <si>
    <t>[x] Maladie luxante de la hanche</t>
  </si>
  <si>
    <t>Pr. Salama :</t>
  </si>
  <si>
    <t>[x] Pied du nouveau né</t>
  </si>
  <si>
    <t>[x] Tumeurs osseuses malignes de l’enfant</t>
  </si>
  <si>
    <t>Dermato - Endocrino :</t>
  </si>
  <si>
    <t>Dermato:</t>
  </si>
  <si>
    <t>Pr.Bouhamidi</t>
  </si>
  <si>
    <t>[x] Ecoulement urétéral</t>
  </si>
  <si>
    <t>[x] Ulcération génital</t>
  </si>
  <si>
    <t>[x] Syphilis</t>
  </si>
  <si>
    <t>[x] VIH</t>
  </si>
  <si>
    <t>[x] Toxidermie médicamenteuse</t>
  </si>
  <si>
    <t>[x] Urticaire</t>
  </si>
  <si>
    <t>Pr. Amal:</t>
  </si>
  <si>
    <t>[x] Acné</t>
  </si>
  <si>
    <t>[x] Psoriasis</t>
  </si>
  <si>
    <t>[x] Cancers cutanés</t>
  </si>
  <si>
    <t>[x] Mélanomes</t>
  </si>
  <si>
    <t>Pr. Aboudourib:</t>
  </si>
  <si>
    <t>[x] Dermatoses bulleuses</t>
  </si>
  <si>
    <t>[x] Erythème noueux</t>
  </si>
  <si>
    <t>[x] Prurit</t>
  </si>
  <si>
    <t>[x] Tuberculose cutanée</t>
  </si>
  <si>
    <t>[x] Lèpre</t>
  </si>
  <si>
    <t>Pr.Hocar:</t>
  </si>
  <si>
    <t>[x] Infections cutanées à HSV</t>
  </si>
  <si>
    <t>[x] Infections cutanées à HPV</t>
  </si>
  <si>
    <t>[x] Molluscum contagiosum</t>
  </si>
  <si>
    <t>[x] Mycoses superficielles</t>
  </si>
  <si>
    <t>[x] Infections cutanées à virus varicelle zona</t>
  </si>
  <si>
    <t>[x] Dermatoses bactériennes</t>
  </si>
  <si>
    <t>[x] Ectoparasitoses</t>
  </si>
  <si>
    <t>[x] Eczema</t>
  </si>
  <si>
    <t>Endocrino :</t>
  </si>
  <si>
    <t>Pr. Baizri:</t>
  </si>
  <si>
    <t>[x] Patho thyroidienne</t>
  </si>
  <si>
    <t>[x] Nodule thyroidien</t>
  </si>
  <si>
    <t>[x] Nutrition clinique</t>
  </si>
  <si>
    <t>Pr Ansari :</t>
  </si>
  <si>
    <t>[x] Adénome hypophysaire</t>
  </si>
  <si>
    <t>[x] Sd de Cushing</t>
  </si>
  <si>
    <t>[x] L’obésité chez l’adulte (annulé)</t>
  </si>
  <si>
    <t>[x] Insuff surrénalienne(annulé)</t>
  </si>
  <si>
    <t>Pr Elmghari:</t>
  </si>
  <si>
    <t>[x] Diabète: Définition - Classification</t>
  </si>
  <si>
    <t>[x] Diabète type 1</t>
  </si>
  <si>
    <t>[x] diabète cortico-induit</t>
  </si>
  <si>
    <t>[x] Diabète type 2</t>
  </si>
  <si>
    <t>Neuro - Neurochirurgie:</t>
  </si>
  <si>
    <t>Neurologie:</t>
  </si>
  <si>
    <t>Pr. Louhab:</t>
  </si>
  <si>
    <t>[x] Sclérose latérale amyotrophique</t>
  </si>
  <si>
    <t>[x] Neuropathies périphériques</t>
  </si>
  <si>
    <t>[x] Sd myasthénique</t>
  </si>
  <si>
    <t>[x] Myopathie</t>
  </si>
  <si>
    <t>[x] Neurosyphilis</t>
  </si>
  <si>
    <t>[x] Ataxie cérébelleuse</t>
  </si>
  <si>
    <t>Pr. Chraa:</t>
  </si>
  <si>
    <t>[x] Cours introductif</t>
  </si>
  <si>
    <t>[x] Les AVC</t>
  </si>
  <si>
    <t>[x] SEP</t>
  </si>
  <si>
    <t>[x] Neuro Behcet</t>
  </si>
  <si>
    <t>[x] Céphalées</t>
  </si>
  <si>
    <t>[x] Démences</t>
  </si>
  <si>
    <t>[x] Parkinson</t>
  </si>
  <si>
    <t>[x] Epilepsie</t>
  </si>
  <si>
    <t>[x] Troubles du sommeil (annulé)</t>
  </si>
  <si>
    <t>[x] Thrombophlébite cérébrale (annulé)</t>
  </si>
  <si>
    <t>Neurochirurgie:</t>
  </si>
  <si>
    <t>Pr.Laghmari :</t>
  </si>
  <si>
    <t>[x] Spina Bifida</t>
  </si>
  <si>
    <t>[x] Hydroencephalie</t>
  </si>
  <si>
    <t>[x] Malformation de la charnière cranio-cervicale (annulé)</t>
  </si>
  <si>
    <t>Pr. Ghannane :</t>
  </si>
  <si>
    <t>[x] Sd de compression médullaire</t>
  </si>
  <si>
    <t>[x] Sd de la queue de cheval</t>
  </si>
  <si>
    <t>[x] Sciatique par hernie discale</t>
  </si>
  <si>
    <t>[x] Hématomes intracérébraux</t>
  </si>
  <si>
    <t>[x] L’hémorragie spontanée des méninges</t>
  </si>
  <si>
    <t>Pr.Benantar:</t>
  </si>
  <si>
    <t>[x] Suppuration intracranienne</t>
  </si>
  <si>
    <t>[x] Hydatidose cérébrale et vertebromédullaire</t>
  </si>
  <si>
    <t>[x] TBK du système nerveux</t>
  </si>
  <si>
    <t>[x] Lésions sellaires et supra sellaires</t>
  </si>
  <si>
    <t>Pr.Farrouk:</t>
  </si>
  <si>
    <t>[x] Craniosténose</t>
  </si>
  <si>
    <t>Pr Ait Benali:</t>
  </si>
  <si>
    <t>[x] Traumatismes du rachis dorso lombaire</t>
  </si>
  <si>
    <t>[x] Traumas cranioencephaliques</t>
  </si>
  <si>
    <t>[x] Traumas du rachis cervical</t>
  </si>
  <si>
    <t>[x] Gliomes hémispheriques</t>
  </si>
  <si>
    <t>[x] Méningiomes intracraniens</t>
  </si>
  <si>
    <t>[x] Métastases cérébrales</t>
  </si>
  <si>
    <t>[x] Tumeurs de la FCP</t>
  </si>
  <si>
    <t>Hémato-Oncologie:</t>
  </si>
  <si>
    <t>Hématologie:</t>
  </si>
  <si>
    <t>Pr Raissi:</t>
  </si>
  <si>
    <t>[x] Anémie par carence en fer</t>
  </si>
  <si>
    <t>[x] Leucémie myéloide chronique</t>
  </si>
  <si>
    <t>[x] Urgences hématologiques 1: Sd de leucostase et risque hémorragique (CIVD) (annulé)</t>
  </si>
  <si>
    <t>[x] Urgences hématologiques 2: Sd de lyse tumoral et neutropénie fébrile (annulé)</t>
  </si>
  <si>
    <t>Pr Lahlimi:</t>
  </si>
  <si>
    <t>[x] Leucémie aigue</t>
  </si>
  <si>
    <t>[x] LLC</t>
  </si>
  <si>
    <t>[x] Maladie de Hodking</t>
  </si>
  <si>
    <t>[x] Myélome multiple</t>
  </si>
  <si>
    <t>[x] Anémie mégaloblastique</t>
  </si>
  <si>
    <t>[x] Drépanocytose</t>
  </si>
  <si>
    <t>[x] Sd myéloprolifératifs Phi (-)</t>
  </si>
  <si>
    <t>[x] Aplasie médullaire</t>
  </si>
  <si>
    <t>[x] Anémie G6PD</t>
  </si>
  <si>
    <t>[x] LMNH</t>
  </si>
  <si>
    <t>[x] Purpura thrombopénique immunologique , PTI</t>
  </si>
  <si>
    <t>[x] Hemophilie</t>
  </si>
  <si>
    <t>[x] Thalassemie</t>
  </si>
  <si>
    <t>[x] Transfusion sanguine ( programmé le lundi en ligne ) (annulé)</t>
  </si>
  <si>
    <t>[x] Sphérocytose héréditaire(annulé)</t>
  </si>
  <si>
    <t>Oncologie:</t>
  </si>
  <si>
    <t>Pr El Fadli:</t>
  </si>
  <si>
    <t>[x] Diagnostic et bilan d’extension des cancers</t>
  </si>
  <si>
    <t>[x] Douleur et Cancer</t>
  </si>
  <si>
    <t>[x] Urgences onco</t>
  </si>
  <si>
    <t>Pr El Omrani:</t>
  </si>
  <si>
    <t>[x] Epidémio des cancers</t>
  </si>
  <si>
    <t>[x] Hormonothérapie</t>
  </si>
  <si>
    <t>[x] Radiotherapie (fait jusqu'à la page 40)</t>
  </si>
  <si>
    <t>Pr Essadi:</t>
  </si>
  <si>
    <t>[x] Chimiothérapie</t>
  </si>
  <si>
    <t>[x] Thérapies ciblés</t>
  </si>
  <si>
    <t>[x] Immunothérapie (just introduction done)</t>
  </si>
  <si>
    <t>📊 YOUR PROGRESS [S8]</t>
  </si>
  <si>
    <t>To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</si>
</sst>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sz val="12"/>
      <color rgb="FF1F1F1F"/>
      <name val="0xProto Nerd Font Propo"/>
    </font>
    <font>
      <sz val="12"/>
      <color theme="1"/>
      <name val="0xProto Nerd Font Propo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sz val="12"/>
      <color theme="1"/>
      <name val="Cambria"/>
      <family val="1"/>
    </font>
    <font>
      <b/>
      <sz val="15"/>
      <color rgb="FFFF0000"/>
      <name val="Cambria"/>
      <family val="1"/>
    </font>
    <font>
      <b/>
      <sz val="15"/>
      <color theme="1"/>
      <name val="Cambria"/>
      <family val="1"/>
    </font>
    <font>
      <sz val="12"/>
      <color theme="5"/>
      <name val="Book Antiqua"/>
      <family val="1"/>
    </font>
    <font>
      <sz val="12"/>
      <name val="Book Antiqua"/>
      <family val="1"/>
    </font>
    <font>
      <i/>
      <sz val="12"/>
      <color rgb="FF00B0F0"/>
      <name val="0xProto Nerd Font Propo"/>
    </font>
    <font>
      <b/>
      <sz val="15"/>
      <color rgb="FF002060"/>
      <name val="Cambria"/>
      <family val="1"/>
    </font>
    <font>
      <sz val="12"/>
      <color rgb="FF1F1F1F"/>
      <name val="Roboto"/>
    </font>
    <font>
      <sz val="12"/>
      <color theme="1"/>
      <name val="Calibri"/>
      <family val="2"/>
      <scheme val="minor"/>
    </font>
    <font>
      <b/>
      <u/>
      <sz val="10"/>
      <color rgb="FFCC00FF"/>
      <name val="0xProto Nerd Font Propo"/>
    </font>
    <font>
      <i/>
      <sz val="10"/>
      <color rgb="FF00B0F0"/>
      <name val="0xProto Nerd Font Propo"/>
    </font>
    <font>
      <sz val="10"/>
      <color theme="1"/>
      <name val="0xProto Nerd Font"/>
      <family val="3"/>
    </font>
    <font>
      <sz val="10"/>
      <color rgb="FF000000"/>
      <name val="0xProto Nerd Font"/>
      <family val="3"/>
    </font>
    <font>
      <sz val="12"/>
      <color theme="1"/>
      <name val="0xProto Nerd Font Mono"/>
      <family val="3"/>
    </font>
    <font>
      <b/>
      <sz val="14"/>
      <color theme="1"/>
      <name val="0xProto Nerd Font Mono"/>
      <family val="3"/>
    </font>
    <font>
      <b/>
      <sz val="12"/>
      <color theme="1"/>
      <name val="Cambria"/>
      <family val="1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6"/>
      <color rgb="FFFFFFFF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F4788"/>
        <bgColor rgb="FF366092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0"/>
      </left>
      <right style="thin">
        <color rgb="FF002060"/>
      </right>
      <top style="thin">
        <color indexed="64"/>
      </top>
      <bottom style="thick">
        <color theme="0"/>
      </bottom>
      <diagonal/>
    </border>
    <border>
      <left style="thin">
        <color rgb="FF002060"/>
      </left>
      <right style="thin">
        <color indexed="64"/>
      </right>
      <top style="thin">
        <color rgb="FF002060"/>
      </top>
      <bottom style="thin">
        <color indexed="64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indexed="64"/>
      </bottom>
      <diagonal/>
    </border>
    <border>
      <left style="thin">
        <color indexed="64"/>
      </left>
      <right style="thin">
        <color rgb="FF002060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indexed="64"/>
      </right>
      <top style="thin">
        <color indexed="64"/>
      </top>
      <bottom style="thin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indexed="64"/>
      </top>
      <bottom style="thin">
        <color rgb="FF002060"/>
      </bottom>
      <diagonal/>
    </border>
  </borders>
  <cellStyleXfs count="3">
    <xf numFmtId="0" fontId="0" fillId="0" borderId="0"/>
    <xf numFmtId="0" fontId="9" fillId="0" borderId="0"/>
    <xf numFmtId="0" fontId="11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12" fillId="0" borderId="8" xfId="0" applyNumberFormat="1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0" fillId="3" borderId="11" xfId="1" applyNumberFormat="1" applyFont="1" applyFill="1" applyBorder="1" applyAlignment="1">
      <alignment horizontal="center" vertical="center"/>
    </xf>
    <xf numFmtId="0" fontId="16" fillId="0" borderId="13" xfId="1" applyNumberFormat="1" applyFont="1" applyBorder="1" applyAlignment="1">
      <alignment horizontal="right" vertical="center"/>
    </xf>
    <xf numFmtId="0" fontId="14" fillId="0" borderId="14" xfId="1" applyNumberFormat="1" applyFont="1" applyBorder="1" applyAlignment="1">
      <alignment horizontal="left" vertical="center"/>
    </xf>
    <xf numFmtId="0" fontId="19" fillId="0" borderId="15" xfId="1" applyNumberFormat="1" applyFont="1" applyBorder="1" applyAlignment="1">
      <alignment horizontal="left" vertical="center"/>
    </xf>
    <xf numFmtId="0" fontId="17" fillId="0" borderId="16" xfId="1" applyNumberFormat="1" applyFont="1" applyBorder="1" applyAlignment="1">
      <alignment horizontal="right" vertical="center"/>
    </xf>
    <xf numFmtId="0" fontId="15" fillId="0" borderId="17" xfId="1" applyNumberFormat="1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 readingOrder="1"/>
    </xf>
    <xf numFmtId="0" fontId="20" fillId="0" borderId="8" xfId="0" applyFont="1" applyBorder="1" applyAlignment="1">
      <alignment horizontal="left" vertical="center" wrapText="1" readingOrder="1"/>
    </xf>
    <xf numFmtId="0" fontId="20" fillId="0" borderId="2" xfId="0" applyFont="1" applyBorder="1" applyAlignment="1">
      <alignment horizontal="left" vertical="center" wrapText="1" readingOrder="1"/>
    </xf>
    <xf numFmtId="0" fontId="21" fillId="0" borderId="0" xfId="0" applyFont="1" applyAlignment="1">
      <alignment horizontal="left" vertical="center" wrapText="1"/>
    </xf>
    <xf numFmtId="0" fontId="0" fillId="0" borderId="0" xfId="0" applyNumberFormat="1" applyAlignment="1">
      <alignment vertical="center"/>
    </xf>
    <xf numFmtId="1" fontId="21" fillId="0" borderId="8" xfId="0" applyNumberFormat="1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49" fontId="22" fillId="2" borderId="10" xfId="0" applyNumberFormat="1" applyFont="1" applyFill="1" applyBorder="1" applyAlignment="1">
      <alignment horizontal="center" vertical="center" wrapText="1" readingOrder="1"/>
    </xf>
    <xf numFmtId="49" fontId="23" fillId="2" borderId="10" xfId="0" applyNumberFormat="1" applyFont="1" applyFill="1" applyBorder="1" applyAlignment="1">
      <alignment horizontal="center" vertical="center" wrapText="1" readingOrder="1"/>
    </xf>
    <xf numFmtId="49" fontId="18" fillId="2" borderId="10" xfId="0" applyNumberFormat="1" applyFont="1" applyFill="1" applyBorder="1" applyAlignment="1">
      <alignment horizontal="center" vertical="center" wrapText="1" readingOrder="1"/>
    </xf>
    <xf numFmtId="49" fontId="23" fillId="2" borderId="12" xfId="0" applyNumberFormat="1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25" fillId="0" borderId="0" xfId="0" applyFont="1" applyAlignment="1"/>
    <xf numFmtId="0" fontId="24" fillId="0" borderId="0" xfId="0" applyFont="1" applyAlignment="1"/>
    <xf numFmtId="0" fontId="25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1" fillId="0" borderId="0" xfId="2" applyAlignment="1">
      <alignment horizontal="left" vertical="center" indent="1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8" fillId="0" borderId="0" xfId="0" applyFont="1"/>
    <xf numFmtId="49" fontId="32" fillId="3" borderId="11" xfId="1" applyNumberFormat="1" applyFont="1" applyFill="1" applyBorder="1" applyAlignment="1">
      <alignment horizontal="center" vertical="center"/>
    </xf>
    <xf numFmtId="0" fontId="28" fillId="0" borderId="0" xfId="0" applyFont="1" applyBorder="1" applyAlignment="1">
      <alignment horizontal="right" vertical="center"/>
    </xf>
    <xf numFmtId="0" fontId="13" fillId="0" borderId="0" xfId="0" applyFont="1" applyBorder="1" applyAlignment="1">
      <alignment horizontal="right" vertical="center"/>
    </xf>
    <xf numFmtId="0" fontId="26" fillId="0" borderId="0" xfId="0" applyFont="1" applyBorder="1" applyAlignment="1">
      <alignment horizontal="left" vertical="center"/>
    </xf>
    <xf numFmtId="14" fontId="27" fillId="4" borderId="0" xfId="0" applyNumberFormat="1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" xfId="1" xr:uid="{8C9DBFB8-2CA3-42F4-840D-7A0CCC4228C9}"/>
  </cellStyles>
  <dxfs count="12">
    <dxf>
      <font>
        <color rgb="FF002060"/>
      </font>
      <fill>
        <patternFill>
          <bgColor theme="8" tint="0.59996337778862885"/>
        </patternFill>
      </fill>
      <border>
        <left style="thin">
          <color rgb="FFCC00FF"/>
        </left>
        <right style="thin">
          <color rgb="FFCC00FF"/>
        </right>
        <top style="thin">
          <color rgb="FFCC00FF"/>
        </top>
        <bottom style="thin">
          <color rgb="FFCC00FF"/>
        </bottom>
        <vertical/>
        <horizontal/>
      </border>
    </dxf>
    <dxf>
      <numFmt numFmtId="30" formatCode="@"/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CC66FF"/>
        </patternFill>
      </fill>
    </dxf>
    <dxf>
      <fill>
        <patternFill>
          <bgColor rgb="FF6666FF"/>
        </patternFill>
      </fill>
    </dxf>
    <dxf>
      <fill>
        <patternFill>
          <bgColor theme="6" tint="0.79998168889431442"/>
        </patternFill>
      </fill>
    </dxf>
    <dxf>
      <fill>
        <patternFill>
          <bgColor rgb="FFFF66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colors>
    <mruColors>
      <color rgb="FFCC00FF"/>
      <color rgb="FFFF66CC"/>
      <color rgb="FF6666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0</xdr:row>
      <xdr:rowOff>0</xdr:rowOff>
    </xdr:from>
    <xdr:to>
      <xdr:col>9</xdr:col>
      <xdr:colOff>122114</xdr:colOff>
      <xdr:row>13</xdr:row>
      <xdr:rowOff>152400</xdr:rowOff>
    </xdr:to>
    <xdr:pic>
      <xdr:nvPicPr>
        <xdr:cNvPr id="2" name="Picture 1" descr="bonne mauvaise stratégie">
          <a:extLst>
            <a:ext uri="{FF2B5EF4-FFF2-40B4-BE49-F238E27FC236}">
              <a16:creationId xmlns:a16="http://schemas.microsoft.com/office/drawing/2014/main" id="{66FC7203-ADC8-455B-8172-8B0A3092C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4100" y="0"/>
          <a:ext cx="2941514" cy="278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linktr.ee/fmpmpromo22.23?utm_source=linktree_profile_share&amp;ltsid=7999f4e4-83d4-4378-9791-10389cf2335d" TargetMode="External"/><Relationship Id="rId1" Type="http://schemas.openxmlformats.org/officeDocument/2006/relationships/hyperlink" Target="https://drive.google.com/drive/folders/1wT64h4QBNpQQ4rS5M9voY5Y-4cv-RYE7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968A-BAAD-458C-8D7D-98DCC19FF934}">
  <sheetPr>
    <tabColor rgb="FF7030A0"/>
  </sheetPr>
  <dimension ref="A1:J92"/>
  <sheetViews>
    <sheetView zoomScaleNormal="100" workbookViewId="0">
      <selection sqref="A1:G1"/>
    </sheetView>
  </sheetViews>
  <sheetFormatPr defaultRowHeight="15.5"/>
  <cols>
    <col min="1" max="1" width="21.1796875" style="8" customWidth="1"/>
    <col min="2" max="2" width="57.26953125" style="40" customWidth="1"/>
    <col min="3" max="3" width="18.6328125" style="1" customWidth="1"/>
    <col min="4" max="4" width="10.36328125" style="43" customWidth="1"/>
    <col min="5" max="5" width="13.90625" style="28" customWidth="1"/>
    <col min="6" max="6" width="12.1796875" style="24" customWidth="1"/>
    <col min="7" max="7" width="17.08984375" style="28" customWidth="1"/>
    <col min="9" max="9" width="21.08984375" style="41" customWidth="1"/>
    <col min="10" max="10" width="14.81640625" style="9" customWidth="1"/>
    <col min="11" max="11" width="14.1796875" style="1" customWidth="1"/>
    <col min="12" max="16384" width="8.7265625" style="1"/>
  </cols>
  <sheetData>
    <row r="1" spans="1:7" ht="16" thickBot="1">
      <c r="A1" s="48" t="s">
        <v>161</v>
      </c>
      <c r="B1" s="48"/>
      <c r="C1" s="48"/>
      <c r="D1" s="48"/>
      <c r="E1" s="48"/>
      <c r="F1" s="48"/>
      <c r="G1" s="48"/>
    </row>
    <row r="2" spans="1:7" s="29" customFormat="1" ht="36.5" customHeight="1" thickTop="1" thickBot="1">
      <c r="A2" s="45" t="s">
        <v>0</v>
      </c>
      <c r="B2" s="46" t="s">
        <v>1</v>
      </c>
      <c r="C2" s="47" t="s">
        <v>5</v>
      </c>
      <c r="D2" s="44" t="s">
        <v>150</v>
      </c>
      <c r="E2" s="44" t="s">
        <v>2</v>
      </c>
      <c r="F2" s="45" t="s">
        <v>3</v>
      </c>
      <c r="G2" s="45" t="s">
        <v>4</v>
      </c>
    </row>
    <row r="3" spans="1:7" ht="16" thickTop="1">
      <c r="A3" s="36" t="s">
        <v>6</v>
      </c>
      <c r="B3" s="38" t="s">
        <v>9</v>
      </c>
      <c r="C3" s="20" t="str">
        <f ca="1">IF(G3 &lt;= TODAY(), "⚡ STUDY NOW", "✅ Wait")</f>
        <v>✅ Wait</v>
      </c>
      <c r="D3" s="42">
        <v>3</v>
      </c>
      <c r="E3" s="25">
        <v>46063</v>
      </c>
      <c r="F3" s="21">
        <f>CHOOSE(D3+1, 1, 3, 10, 15, 30, 60, 90, 120)</f>
        <v>15</v>
      </c>
      <c r="G3" s="25">
        <f>E3 + F3</f>
        <v>46078</v>
      </c>
    </row>
    <row r="4" spans="1:7">
      <c r="A4" s="37" t="s">
        <v>6</v>
      </c>
      <c r="B4" s="39" t="s">
        <v>7</v>
      </c>
      <c r="C4" s="3" t="str">
        <f ca="1">IF(G4 &lt;= TODAY(), "⚡ STUDY NOW", "✅ Wait")</f>
        <v>⚡ STUDY NOW</v>
      </c>
      <c r="D4" s="42">
        <v>0</v>
      </c>
      <c r="E4" s="26"/>
      <c r="F4" s="22">
        <f>CHOOSE(D4+1, 1, 3, 7, 14, 30, 60, 90, 120)</f>
        <v>1</v>
      </c>
      <c r="G4" s="26">
        <f>E4 + F4</f>
        <v>1</v>
      </c>
    </row>
    <row r="5" spans="1:7">
      <c r="A5" s="6" t="s">
        <v>6</v>
      </c>
      <c r="B5" s="39" t="s">
        <v>8</v>
      </c>
      <c r="C5" s="3" t="str">
        <f ca="1">IF(G5 &lt;= TODAY(), "⚡ STUDY NOW", "✅ Wait")</f>
        <v>⚡ STUDY NOW</v>
      </c>
      <c r="D5" s="42">
        <v>0</v>
      </c>
      <c r="E5" s="26"/>
      <c r="F5" s="22">
        <f>CHOOSE(D5+1, 1, 3, 7, 14, 30, 60, 90, 120)</f>
        <v>1</v>
      </c>
      <c r="G5" s="26">
        <f>E5 + F5</f>
        <v>1</v>
      </c>
    </row>
    <row r="6" spans="1:7">
      <c r="A6" s="6" t="s">
        <v>6</v>
      </c>
      <c r="B6" s="39" t="s">
        <v>10</v>
      </c>
      <c r="C6" s="3" t="str">
        <f ca="1">IF(G6 &lt;= TODAY(), "⚡ STUDY NOW", "✅ Wait")</f>
        <v>⚡ STUDY NOW</v>
      </c>
      <c r="D6" s="42">
        <v>0</v>
      </c>
      <c r="E6" s="26"/>
      <c r="F6" s="22">
        <f>CHOOSE(D6+1, 1, 3, 7, 14, 30, 60, 90, 120)</f>
        <v>1</v>
      </c>
      <c r="G6" s="26">
        <f>E6 + F6</f>
        <v>1</v>
      </c>
    </row>
    <row r="7" spans="1:7">
      <c r="A7" s="6" t="s">
        <v>6</v>
      </c>
      <c r="B7" s="39" t="s">
        <v>11</v>
      </c>
      <c r="C7" s="4" t="str">
        <f ca="1">IF(G7 &lt;= TODAY(), "⚡ STUDY NOW", "✅ Wait")</f>
        <v>⚡ STUDY NOW</v>
      </c>
      <c r="D7" s="42">
        <v>0</v>
      </c>
      <c r="E7" s="26"/>
      <c r="F7" s="22">
        <f>CHOOSE(D7+1, 1, 3, 7, 14, 30, 60, 90, 120)</f>
        <v>1</v>
      </c>
      <c r="G7" s="26">
        <f>E7 + F7</f>
        <v>1</v>
      </c>
    </row>
    <row r="8" spans="1:7">
      <c r="A8" s="6" t="s">
        <v>6</v>
      </c>
      <c r="B8" s="39" t="s">
        <v>12</v>
      </c>
      <c r="C8" s="4" t="str">
        <f ca="1">IF(G8 &lt;= TODAY(), "⚡ STUDY NOW", "✅ Wait")</f>
        <v>⚡ STUDY NOW</v>
      </c>
      <c r="D8" s="42">
        <v>0</v>
      </c>
      <c r="E8" s="26"/>
      <c r="F8" s="22">
        <f>CHOOSE(D8+1, 1, 3, 7, 14, 30, 60, 90, 120)</f>
        <v>1</v>
      </c>
      <c r="G8" s="26">
        <f>E8 + F8</f>
        <v>1</v>
      </c>
    </row>
    <row r="9" spans="1:7">
      <c r="A9" s="6" t="s">
        <v>6</v>
      </c>
      <c r="B9" s="39" t="s">
        <v>13</v>
      </c>
      <c r="C9" s="4" t="str">
        <f ca="1">IF(G9 &lt;= TODAY(), "⚡ STUDY NOW", "✅ Wait")</f>
        <v>⚡ STUDY NOW</v>
      </c>
      <c r="D9" s="42">
        <v>0</v>
      </c>
      <c r="E9" s="26"/>
      <c r="F9" s="22">
        <f>CHOOSE(D9+1, 1, 3, 7, 14, 30, 60, 90, 120)</f>
        <v>1</v>
      </c>
      <c r="G9" s="26">
        <f>E9 + F9</f>
        <v>1</v>
      </c>
    </row>
    <row r="10" spans="1:7">
      <c r="A10" s="6" t="s">
        <v>6</v>
      </c>
      <c r="B10" s="39" t="s">
        <v>14</v>
      </c>
      <c r="C10" s="4" t="str">
        <f ca="1">IF(G10 &lt;= TODAY(), "⚡ STUDY NOW", "✅ Wait")</f>
        <v>⚡ STUDY NOW</v>
      </c>
      <c r="D10" s="42">
        <v>0</v>
      </c>
      <c r="E10" s="26"/>
      <c r="F10" s="22">
        <f>CHOOSE(D10+1, 1, 3, 7, 14, 30, 60, 90, 120)</f>
        <v>1</v>
      </c>
      <c r="G10" s="26">
        <f>E10 + F10</f>
        <v>1</v>
      </c>
    </row>
    <row r="11" spans="1:7">
      <c r="A11" s="6" t="s">
        <v>6</v>
      </c>
      <c r="B11" s="39" t="s">
        <v>15</v>
      </c>
      <c r="C11" s="4" t="str">
        <f ca="1">IF(G11 &lt;= TODAY(), "⚡ STUDY NOW", "✅ Wait")</f>
        <v>⚡ STUDY NOW</v>
      </c>
      <c r="D11" s="42">
        <v>0</v>
      </c>
      <c r="E11" s="26"/>
      <c r="F11" s="22">
        <f>CHOOSE(D11+1, 1, 3, 7, 14, 30, 60, 90, 120)</f>
        <v>1</v>
      </c>
      <c r="G11" s="26">
        <f>E11 + F11</f>
        <v>1</v>
      </c>
    </row>
    <row r="12" spans="1:7">
      <c r="A12" s="6" t="s">
        <v>6</v>
      </c>
      <c r="B12" s="39" t="s">
        <v>16</v>
      </c>
      <c r="C12" s="4" t="str">
        <f ca="1">IF(G12 &lt;= TODAY(), "⚡ STUDY NOW", "✅ Wait")</f>
        <v>⚡ STUDY NOW</v>
      </c>
      <c r="D12" s="42">
        <v>0</v>
      </c>
      <c r="E12" s="26"/>
      <c r="F12" s="22">
        <f>CHOOSE(D12+1, 1, 3, 7, 14, 30, 60, 90, 120)</f>
        <v>1</v>
      </c>
      <c r="G12" s="26">
        <f>E12 + F12</f>
        <v>1</v>
      </c>
    </row>
    <row r="13" spans="1:7">
      <c r="A13" s="6" t="s">
        <v>6</v>
      </c>
      <c r="B13" s="39" t="s">
        <v>17</v>
      </c>
      <c r="C13" s="4" t="str">
        <f ca="1">IF(G13 &lt;= TODAY(), "⚡ STUDY NOW", "✅ Wait")</f>
        <v>⚡ STUDY NOW</v>
      </c>
      <c r="D13" s="42">
        <v>0</v>
      </c>
      <c r="E13" s="26"/>
      <c r="F13" s="22">
        <f>CHOOSE(D13+1, 1, 3, 7, 14, 30, 60, 90, 120)</f>
        <v>1</v>
      </c>
      <c r="G13" s="26">
        <f>E13 + F13</f>
        <v>1</v>
      </c>
    </row>
    <row r="14" spans="1:7">
      <c r="A14" s="6" t="s">
        <v>6</v>
      </c>
      <c r="B14" s="39" t="s">
        <v>18</v>
      </c>
      <c r="C14" s="4" t="str">
        <f ca="1">IF(G14 &lt;= TODAY(), "⚡ STUDY NOW", "✅ Wait")</f>
        <v>⚡ STUDY NOW</v>
      </c>
      <c r="D14" s="42">
        <v>0</v>
      </c>
      <c r="E14" s="26"/>
      <c r="F14" s="22">
        <f>CHOOSE(D14+1, 1, 3, 7, 14, 30, 60, 90, 120)</f>
        <v>1</v>
      </c>
      <c r="G14" s="26">
        <f>E14 + F14</f>
        <v>1</v>
      </c>
    </row>
    <row r="15" spans="1:7">
      <c r="A15" s="6" t="s">
        <v>6</v>
      </c>
      <c r="B15" s="39" t="s">
        <v>19</v>
      </c>
      <c r="C15" s="4" t="str">
        <f ca="1">IF(G15 &lt;= TODAY(), "⚡ STUDY NOW", "✅ Wait")</f>
        <v>⚡ STUDY NOW</v>
      </c>
      <c r="D15" s="42">
        <v>0</v>
      </c>
      <c r="E15" s="26"/>
      <c r="F15" s="22">
        <f>CHOOSE(D15+1, 1, 3, 7, 14, 30, 60, 90, 120)</f>
        <v>1</v>
      </c>
      <c r="G15" s="26">
        <f>E15 + F15</f>
        <v>1</v>
      </c>
    </row>
    <row r="16" spans="1:7">
      <c r="A16" s="6" t="s">
        <v>6</v>
      </c>
      <c r="B16" s="39" t="s">
        <v>20</v>
      </c>
      <c r="C16" s="4" t="str">
        <f ca="1">IF(G16 &lt;= TODAY(), "⚡ STUDY NOW", "✅ Wait")</f>
        <v>⚡ STUDY NOW</v>
      </c>
      <c r="D16" s="42">
        <v>0</v>
      </c>
      <c r="E16" s="26"/>
      <c r="F16" s="22">
        <f>CHOOSE(D16+1, 1, 3, 7, 14, 30, 60, 90, 120)</f>
        <v>1</v>
      </c>
      <c r="G16" s="26">
        <f>E16 + F16</f>
        <v>1</v>
      </c>
    </row>
    <row r="17" spans="1:7">
      <c r="A17" s="6" t="s">
        <v>6</v>
      </c>
      <c r="B17" s="39" t="s">
        <v>21</v>
      </c>
      <c r="C17" s="4" t="str">
        <f ca="1">IF(G17 &lt;= TODAY(), "⚡ STUDY NOW", "✅ Wait")</f>
        <v>⚡ STUDY NOW</v>
      </c>
      <c r="D17" s="42">
        <v>0</v>
      </c>
      <c r="E17" s="26"/>
      <c r="F17" s="22">
        <f>CHOOSE(D17+1, 1, 3, 7, 14, 30, 60, 90, 120)</f>
        <v>1</v>
      </c>
      <c r="G17" s="26">
        <f>E17 + F17</f>
        <v>1</v>
      </c>
    </row>
    <row r="18" spans="1:7">
      <c r="A18" s="6" t="s">
        <v>6</v>
      </c>
      <c r="B18" s="39" t="s">
        <v>22</v>
      </c>
      <c r="C18" s="4" t="str">
        <f ca="1">IF(G18 &lt;= TODAY(), "⚡ STUDY NOW", "✅ Wait")</f>
        <v>⚡ STUDY NOW</v>
      </c>
      <c r="D18" s="42">
        <v>0</v>
      </c>
      <c r="E18" s="26"/>
      <c r="F18" s="22">
        <f>CHOOSE(D18+1, 1, 3, 7, 14, 30, 60, 90, 120)</f>
        <v>1</v>
      </c>
      <c r="G18" s="26">
        <f>E18 + F18</f>
        <v>1</v>
      </c>
    </row>
    <row r="19" spans="1:7">
      <c r="A19" s="6" t="s">
        <v>6</v>
      </c>
      <c r="B19" s="39" t="s">
        <v>23</v>
      </c>
      <c r="C19" s="4" t="str">
        <f ca="1">IF(G19 &lt;= TODAY(), "⚡ STUDY NOW", "✅ Wait")</f>
        <v>⚡ STUDY NOW</v>
      </c>
      <c r="D19" s="42">
        <v>0</v>
      </c>
      <c r="E19" s="26"/>
      <c r="F19" s="22">
        <f>CHOOSE(D19+1, 1, 3, 7, 14, 30, 60, 90, 120)</f>
        <v>1</v>
      </c>
      <c r="G19" s="26">
        <f>E19 + F19</f>
        <v>1</v>
      </c>
    </row>
    <row r="20" spans="1:7">
      <c r="A20" s="6" t="s">
        <v>6</v>
      </c>
      <c r="B20" s="39" t="s">
        <v>24</v>
      </c>
      <c r="C20" s="4" t="str">
        <f ca="1">IF(G20 &lt;= TODAY(), "⚡ STUDY NOW", "✅ Wait")</f>
        <v>⚡ STUDY NOW</v>
      </c>
      <c r="D20" s="42">
        <v>0</v>
      </c>
      <c r="E20" s="26"/>
      <c r="F20" s="22">
        <f>CHOOSE(D20+1, 1, 3, 7, 14, 30, 60, 90, 120)</f>
        <v>1</v>
      </c>
      <c r="G20" s="26">
        <f>E20 + F20</f>
        <v>1</v>
      </c>
    </row>
    <row r="21" spans="1:7">
      <c r="A21" s="6" t="s">
        <v>6</v>
      </c>
      <c r="B21" s="39" t="s">
        <v>25</v>
      </c>
      <c r="C21" s="4" t="str">
        <f ca="1">IF(G21 &lt;= TODAY(), "⚡ STUDY NOW", "✅ Wait")</f>
        <v>⚡ STUDY NOW</v>
      </c>
      <c r="D21" s="42">
        <v>0</v>
      </c>
      <c r="E21" s="26"/>
      <c r="F21" s="22">
        <f>CHOOSE(D21+1, 1, 3, 7, 14, 30, 60, 90, 120)</f>
        <v>1</v>
      </c>
      <c r="G21" s="26">
        <f>E21 + F21</f>
        <v>1</v>
      </c>
    </row>
    <row r="22" spans="1:7">
      <c r="A22" s="6" t="s">
        <v>26</v>
      </c>
      <c r="B22" s="39" t="s">
        <v>27</v>
      </c>
      <c r="C22" s="4" t="str">
        <f ca="1">IF(G22 &lt;= TODAY(), "⚡ STUDY NOW", "✅ Wait")</f>
        <v>⚡ STUDY NOW</v>
      </c>
      <c r="D22" s="42">
        <v>0</v>
      </c>
      <c r="E22" s="26"/>
      <c r="F22" s="22">
        <f>CHOOSE(D22+1, 1, 3, 7, 14, 30, 60, 90, 120)</f>
        <v>1</v>
      </c>
      <c r="G22" s="26">
        <f>E22 + F22</f>
        <v>1</v>
      </c>
    </row>
    <row r="23" spans="1:7">
      <c r="A23" s="6" t="s">
        <v>26</v>
      </c>
      <c r="B23" s="39" t="s">
        <v>28</v>
      </c>
      <c r="C23" s="4" t="str">
        <f ca="1">IF(G23 &lt;= TODAY(), "⚡ STUDY NOW", "✅ Wait")</f>
        <v>⚡ STUDY NOW</v>
      </c>
      <c r="D23" s="42">
        <v>0</v>
      </c>
      <c r="E23" s="26"/>
      <c r="F23" s="22">
        <f>CHOOSE(D23+1, 1, 3, 7, 14, 30, 60, 90, 120)</f>
        <v>1</v>
      </c>
      <c r="G23" s="26">
        <f>E23 + F23</f>
        <v>1</v>
      </c>
    </row>
    <row r="24" spans="1:7">
      <c r="A24" s="6" t="s">
        <v>26</v>
      </c>
      <c r="B24" s="39" t="s">
        <v>29</v>
      </c>
      <c r="C24" s="4" t="str">
        <f ca="1">IF(G24 &lt;= TODAY(), "⚡ STUDY NOW", "✅ Wait")</f>
        <v>⚡ STUDY NOW</v>
      </c>
      <c r="D24" s="42">
        <v>0</v>
      </c>
      <c r="E24" s="26"/>
      <c r="F24" s="22">
        <f>CHOOSE(D24+1, 1, 3, 7, 14, 30, 60, 90, 120)</f>
        <v>1</v>
      </c>
      <c r="G24" s="26">
        <f>E24 + F24</f>
        <v>1</v>
      </c>
    </row>
    <row r="25" spans="1:7">
      <c r="A25" s="6" t="s">
        <v>26</v>
      </c>
      <c r="B25" s="39" t="s">
        <v>30</v>
      </c>
      <c r="C25" s="4" t="str">
        <f ca="1">IF(G25 &lt;= TODAY(), "⚡ STUDY NOW", "✅ Wait")</f>
        <v>⚡ STUDY NOW</v>
      </c>
      <c r="D25" s="42">
        <v>0</v>
      </c>
      <c r="E25" s="26"/>
      <c r="F25" s="22">
        <f>CHOOSE(D25+1, 1, 3, 7, 14, 30, 60, 90, 120)</f>
        <v>1</v>
      </c>
      <c r="G25" s="26">
        <f>E25 + F25</f>
        <v>1</v>
      </c>
    </row>
    <row r="26" spans="1:7">
      <c r="A26" s="6" t="s">
        <v>26</v>
      </c>
      <c r="B26" s="39" t="s">
        <v>31</v>
      </c>
      <c r="C26" s="4" t="str">
        <f ca="1">IF(G26 &lt;= TODAY(), "⚡ STUDY NOW", "✅ Wait")</f>
        <v>⚡ STUDY NOW</v>
      </c>
      <c r="D26" s="42">
        <v>0</v>
      </c>
      <c r="E26" s="26"/>
      <c r="F26" s="22">
        <f>CHOOSE(D26+1, 1, 3, 7, 14, 30, 60, 90, 120)</f>
        <v>1</v>
      </c>
      <c r="G26" s="26">
        <f>E26 + F26</f>
        <v>1</v>
      </c>
    </row>
    <row r="27" spans="1:7">
      <c r="A27" s="6" t="s">
        <v>26</v>
      </c>
      <c r="B27" s="39" t="s">
        <v>32</v>
      </c>
      <c r="C27" s="4" t="str">
        <f ca="1">IF(G27 &lt;= TODAY(), "⚡ STUDY NOW", "✅ Wait")</f>
        <v>⚡ STUDY NOW</v>
      </c>
      <c r="D27" s="42">
        <v>0</v>
      </c>
      <c r="E27" s="26"/>
      <c r="F27" s="22">
        <f>CHOOSE(D27+1, 1, 3, 7, 14, 30, 60, 90, 120)</f>
        <v>1</v>
      </c>
      <c r="G27" s="26">
        <f>E27 + F27</f>
        <v>1</v>
      </c>
    </row>
    <row r="28" spans="1:7">
      <c r="A28" s="6" t="s">
        <v>26</v>
      </c>
      <c r="B28" s="39" t="s">
        <v>33</v>
      </c>
      <c r="C28" s="4" t="str">
        <f ca="1">IF(G28 &lt;= TODAY(), "⚡ STUDY NOW", "✅ Wait")</f>
        <v>⚡ STUDY NOW</v>
      </c>
      <c r="D28" s="42">
        <v>0</v>
      </c>
      <c r="E28" s="26"/>
      <c r="F28" s="22">
        <f>CHOOSE(D28+1, 1, 3, 7, 14, 30, 60, 90, 120)</f>
        <v>1</v>
      </c>
      <c r="G28" s="26">
        <f>E28 + F28</f>
        <v>1</v>
      </c>
    </row>
    <row r="29" spans="1:7">
      <c r="A29" s="6" t="s">
        <v>26</v>
      </c>
      <c r="B29" s="39" t="s">
        <v>34</v>
      </c>
      <c r="C29" s="4" t="str">
        <f ca="1">IF(G29 &lt;= TODAY(), "⚡ STUDY NOW", "✅ Wait")</f>
        <v>⚡ STUDY NOW</v>
      </c>
      <c r="D29" s="42">
        <v>0</v>
      </c>
      <c r="E29" s="26"/>
      <c r="F29" s="22">
        <f>CHOOSE(D29+1, 1, 3, 7, 14, 30, 60, 90, 120)</f>
        <v>1</v>
      </c>
      <c r="G29" s="26">
        <f>E29 + F29</f>
        <v>1</v>
      </c>
    </row>
    <row r="30" spans="1:7">
      <c r="A30" s="6" t="s">
        <v>26</v>
      </c>
      <c r="B30" s="39" t="s">
        <v>35</v>
      </c>
      <c r="C30" s="4" t="str">
        <f ca="1">IF(G30 &lt;= TODAY(), "⚡ STUDY NOW", "✅ Wait")</f>
        <v>⚡ STUDY NOW</v>
      </c>
      <c r="D30" s="42">
        <v>0</v>
      </c>
      <c r="E30" s="26"/>
      <c r="F30" s="22">
        <f>CHOOSE(D30+1, 1, 3, 7, 14, 30, 60, 90, 120)</f>
        <v>1</v>
      </c>
      <c r="G30" s="26">
        <f>E30 + F30</f>
        <v>1</v>
      </c>
    </row>
    <row r="31" spans="1:7">
      <c r="A31" s="6" t="s">
        <v>26</v>
      </c>
      <c r="B31" s="39" t="s">
        <v>36</v>
      </c>
      <c r="C31" s="4" t="str">
        <f ca="1">IF(G31 &lt;= TODAY(), "⚡ STUDY NOW", "✅ Wait")</f>
        <v>⚡ STUDY NOW</v>
      </c>
      <c r="D31" s="42">
        <v>0</v>
      </c>
      <c r="E31" s="26"/>
      <c r="F31" s="22">
        <f>CHOOSE(D31+1, 1, 3, 7, 14, 30, 60, 90, 120)</f>
        <v>1</v>
      </c>
      <c r="G31" s="26">
        <f>E31 + F31</f>
        <v>1</v>
      </c>
    </row>
    <row r="32" spans="1:7">
      <c r="A32" s="6" t="s">
        <v>26</v>
      </c>
      <c r="B32" s="39" t="s">
        <v>37</v>
      </c>
      <c r="C32" s="4" t="str">
        <f ca="1">IF(G32 &lt;= TODAY(), "⚡ STUDY NOW", "✅ Wait")</f>
        <v>⚡ STUDY NOW</v>
      </c>
      <c r="D32" s="42">
        <v>0</v>
      </c>
      <c r="E32" s="26"/>
      <c r="F32" s="22">
        <f>CHOOSE(D32+1, 1, 3, 7, 14, 30, 60, 90, 120)</f>
        <v>1</v>
      </c>
      <c r="G32" s="26">
        <f>E32 + F32</f>
        <v>1</v>
      </c>
    </row>
    <row r="33" spans="1:7">
      <c r="A33" s="6" t="s">
        <v>26</v>
      </c>
      <c r="B33" s="39" t="s">
        <v>38</v>
      </c>
      <c r="C33" s="4" t="str">
        <f ca="1">IF(G33 &lt;= TODAY(), "⚡ STUDY NOW", "✅ Wait")</f>
        <v>⚡ STUDY NOW</v>
      </c>
      <c r="D33" s="42">
        <v>0</v>
      </c>
      <c r="E33" s="26"/>
      <c r="F33" s="22">
        <f>CHOOSE(D33+1, 1, 3, 7, 14, 30, 60, 90, 120)</f>
        <v>1</v>
      </c>
      <c r="G33" s="26">
        <f>E33 + F33</f>
        <v>1</v>
      </c>
    </row>
    <row r="34" spans="1:7">
      <c r="A34" s="6" t="s">
        <v>26</v>
      </c>
      <c r="B34" s="39" t="s">
        <v>39</v>
      </c>
      <c r="C34" s="4" t="str">
        <f ca="1">IF(G34 &lt;= TODAY(), "⚡ STUDY NOW", "✅ Wait")</f>
        <v>⚡ STUDY NOW</v>
      </c>
      <c r="D34" s="42">
        <v>0</v>
      </c>
      <c r="E34" s="26"/>
      <c r="F34" s="22">
        <f>CHOOSE(D34+1, 1, 3, 7, 14, 30, 60, 90, 120)</f>
        <v>1</v>
      </c>
      <c r="G34" s="26">
        <f>E34 + F34</f>
        <v>1</v>
      </c>
    </row>
    <row r="35" spans="1:7">
      <c r="A35" s="6" t="s">
        <v>26</v>
      </c>
      <c r="B35" s="39" t="s">
        <v>40</v>
      </c>
      <c r="C35" s="4" t="str">
        <f ca="1">IF(G35 &lt;= TODAY(), "⚡ STUDY NOW", "✅ Wait")</f>
        <v>⚡ STUDY NOW</v>
      </c>
      <c r="D35" s="42">
        <v>0</v>
      </c>
      <c r="E35" s="26"/>
      <c r="F35" s="22">
        <f>CHOOSE(D35+1, 1, 3, 7, 14, 30, 60, 90, 120)</f>
        <v>1</v>
      </c>
      <c r="G35" s="26">
        <f>E35 + F35</f>
        <v>1</v>
      </c>
    </row>
    <row r="36" spans="1:7">
      <c r="A36" s="6" t="s">
        <v>26</v>
      </c>
      <c r="B36" s="39" t="s">
        <v>41</v>
      </c>
      <c r="C36" s="4" t="str">
        <f ca="1">IF(G36 &lt;= TODAY(), "⚡ STUDY NOW", "✅ Wait")</f>
        <v>⚡ STUDY NOW</v>
      </c>
      <c r="D36" s="42">
        <v>0</v>
      </c>
      <c r="E36" s="26"/>
      <c r="F36" s="22">
        <f>CHOOSE(D36+1, 1, 3, 7, 14, 30, 60, 90, 120)</f>
        <v>1</v>
      </c>
      <c r="G36" s="26">
        <f>E36 + F36</f>
        <v>1</v>
      </c>
    </row>
    <row r="37" spans="1:7">
      <c r="A37" s="6" t="s">
        <v>26</v>
      </c>
      <c r="B37" s="39" t="s">
        <v>42</v>
      </c>
      <c r="C37" s="4" t="str">
        <f ca="1">IF(G37 &lt;= TODAY(), "⚡ STUDY NOW", "✅ Wait")</f>
        <v>⚡ STUDY NOW</v>
      </c>
      <c r="D37" s="42">
        <v>0</v>
      </c>
      <c r="E37" s="26"/>
      <c r="F37" s="22">
        <f>CHOOSE(D37+1, 1, 3, 7, 14, 30, 60, 90, 120)</f>
        <v>1</v>
      </c>
      <c r="G37" s="26">
        <f>E37 + F37</f>
        <v>1</v>
      </c>
    </row>
    <row r="38" spans="1:7">
      <c r="A38" s="6" t="s">
        <v>26</v>
      </c>
      <c r="B38" s="39" t="s">
        <v>43</v>
      </c>
      <c r="C38" s="4" t="str">
        <f ca="1">IF(G38 &lt;= TODAY(), "⚡ STUDY NOW", "✅ Wait")</f>
        <v>⚡ STUDY NOW</v>
      </c>
      <c r="D38" s="42">
        <v>0</v>
      </c>
      <c r="E38" s="26"/>
      <c r="F38" s="22">
        <f>CHOOSE(D38+1, 1, 3, 7, 14, 30, 60, 90, 120)</f>
        <v>1</v>
      </c>
      <c r="G38" s="26">
        <f>E38 + F38</f>
        <v>1</v>
      </c>
    </row>
    <row r="39" spans="1:7">
      <c r="A39" s="6" t="s">
        <v>26</v>
      </c>
      <c r="B39" s="39" t="s">
        <v>44</v>
      </c>
      <c r="C39" s="4" t="str">
        <f ca="1">IF(G39 &lt;= TODAY(), "⚡ STUDY NOW", "✅ Wait")</f>
        <v>⚡ STUDY NOW</v>
      </c>
      <c r="D39" s="42">
        <v>0</v>
      </c>
      <c r="E39" s="26"/>
      <c r="F39" s="22">
        <f>CHOOSE(D39+1, 1, 3, 7, 14, 30, 60, 90, 120)</f>
        <v>1</v>
      </c>
      <c r="G39" s="26">
        <f>E39 + F39</f>
        <v>1</v>
      </c>
    </row>
    <row r="40" spans="1:7">
      <c r="A40" s="6" t="s">
        <v>45</v>
      </c>
      <c r="B40" s="39" t="s">
        <v>46</v>
      </c>
      <c r="C40" s="4" t="str">
        <f ca="1">IF(G40 &lt;= TODAY(), "⚡ STUDY NOW", "✅ Wait")</f>
        <v>⚡ STUDY NOW</v>
      </c>
      <c r="D40" s="42">
        <v>0</v>
      </c>
      <c r="E40" s="26"/>
      <c r="F40" s="22">
        <f>CHOOSE(D40+1, 1, 3, 7, 14, 30, 60, 90, 120)</f>
        <v>1</v>
      </c>
      <c r="G40" s="26">
        <f>E40 + F40</f>
        <v>1</v>
      </c>
    </row>
    <row r="41" spans="1:7">
      <c r="A41" s="6" t="s">
        <v>45</v>
      </c>
      <c r="B41" s="39" t="s">
        <v>47</v>
      </c>
      <c r="C41" s="4" t="str">
        <f ca="1">IF(G41 &lt;= TODAY(), "⚡ STUDY NOW", "✅ Wait")</f>
        <v>⚡ STUDY NOW</v>
      </c>
      <c r="D41" s="42">
        <v>0</v>
      </c>
      <c r="E41" s="26"/>
      <c r="F41" s="22">
        <f>CHOOSE(D41+1, 1, 3, 7, 14, 30, 60, 90, 120)</f>
        <v>1</v>
      </c>
      <c r="G41" s="26">
        <f>E41 + F41</f>
        <v>1</v>
      </c>
    </row>
    <row r="42" spans="1:7">
      <c r="A42" s="6" t="s">
        <v>45</v>
      </c>
      <c r="B42" s="39" t="s">
        <v>48</v>
      </c>
      <c r="C42" s="4" t="str">
        <f ca="1">IF(G42 &lt;= TODAY(), "⚡ STUDY NOW", "✅ Wait")</f>
        <v>⚡ STUDY NOW</v>
      </c>
      <c r="D42" s="42">
        <v>0</v>
      </c>
      <c r="E42" s="26"/>
      <c r="F42" s="22">
        <f>CHOOSE(D42+1, 1, 3, 7, 14, 30, 60, 90, 120)</f>
        <v>1</v>
      </c>
      <c r="G42" s="26">
        <f>E42 + F42</f>
        <v>1</v>
      </c>
    </row>
    <row r="43" spans="1:7">
      <c r="A43" s="6" t="s">
        <v>45</v>
      </c>
      <c r="B43" s="39" t="s">
        <v>49</v>
      </c>
      <c r="C43" s="4" t="str">
        <f ca="1">IF(G43 &lt;= TODAY(), "⚡ STUDY NOW", "✅ Wait")</f>
        <v>⚡ STUDY NOW</v>
      </c>
      <c r="D43" s="42">
        <v>0</v>
      </c>
      <c r="E43" s="26"/>
      <c r="F43" s="22">
        <f>CHOOSE(D43+1, 1, 3, 7, 14, 30, 60, 90, 120)</f>
        <v>1</v>
      </c>
      <c r="G43" s="26">
        <f>E43 + F43</f>
        <v>1</v>
      </c>
    </row>
    <row r="44" spans="1:7">
      <c r="A44" s="6" t="s">
        <v>45</v>
      </c>
      <c r="B44" s="39" t="s">
        <v>50</v>
      </c>
      <c r="C44" s="4" t="str">
        <f ca="1">IF(G44 &lt;= TODAY(), "⚡ STUDY NOW", "✅ Wait")</f>
        <v>⚡ STUDY NOW</v>
      </c>
      <c r="D44" s="42">
        <v>0</v>
      </c>
      <c r="E44" s="26"/>
      <c r="F44" s="22">
        <f>CHOOSE(D44+1, 1, 3, 7, 14, 30, 60, 90, 120)</f>
        <v>1</v>
      </c>
      <c r="G44" s="26">
        <f>E44 + F44</f>
        <v>1</v>
      </c>
    </row>
    <row r="45" spans="1:7">
      <c r="A45" s="6" t="s">
        <v>51</v>
      </c>
      <c r="B45" s="39" t="s">
        <v>52</v>
      </c>
      <c r="C45" s="4" t="str">
        <f ca="1">IF(G45 &lt;= TODAY(), "⚡ STUDY NOW", "✅ Wait")</f>
        <v>⚡ STUDY NOW</v>
      </c>
      <c r="D45" s="42">
        <v>0</v>
      </c>
      <c r="E45" s="26"/>
      <c r="F45" s="22">
        <f>CHOOSE(D45+1, 1, 3, 7, 14, 30, 60, 90, 120)</f>
        <v>1</v>
      </c>
      <c r="G45" s="26">
        <f>E45 + F45</f>
        <v>1</v>
      </c>
    </row>
    <row r="46" spans="1:7">
      <c r="A46" s="6" t="s">
        <v>51</v>
      </c>
      <c r="B46" s="39" t="s">
        <v>53</v>
      </c>
      <c r="C46" s="4" t="str">
        <f ca="1">IF(G46 &lt;= TODAY(), "⚡ STUDY NOW", "✅ Wait")</f>
        <v>⚡ STUDY NOW</v>
      </c>
      <c r="D46" s="42">
        <v>0</v>
      </c>
      <c r="E46" s="26"/>
      <c r="F46" s="22">
        <f>CHOOSE(D46+1, 1, 3, 7, 14, 30, 60, 90, 120)</f>
        <v>1</v>
      </c>
      <c r="G46" s="26">
        <f>E46 + F46</f>
        <v>1</v>
      </c>
    </row>
    <row r="47" spans="1:7">
      <c r="A47" s="6" t="s">
        <v>51</v>
      </c>
      <c r="B47" s="39" t="s">
        <v>54</v>
      </c>
      <c r="C47" s="4" t="str">
        <f ca="1">IF(G47 &lt;= TODAY(), "⚡ STUDY NOW", "✅ Wait")</f>
        <v>⚡ STUDY NOW</v>
      </c>
      <c r="D47" s="42">
        <v>0</v>
      </c>
      <c r="E47" s="26"/>
      <c r="F47" s="22">
        <f>CHOOSE(D47+1, 1, 3, 7, 14, 30, 60, 90, 120)</f>
        <v>1</v>
      </c>
      <c r="G47" s="26">
        <f>E47 + F47</f>
        <v>1</v>
      </c>
    </row>
    <row r="48" spans="1:7">
      <c r="A48" s="6" t="s">
        <v>51</v>
      </c>
      <c r="B48" s="39" t="s">
        <v>55</v>
      </c>
      <c r="C48" s="4" t="str">
        <f ca="1">IF(G48 &lt;= TODAY(), "⚡ STUDY NOW", "✅ Wait")</f>
        <v>⚡ STUDY NOW</v>
      </c>
      <c r="D48" s="42">
        <v>0</v>
      </c>
      <c r="E48" s="26"/>
      <c r="F48" s="22">
        <f>CHOOSE(D48+1, 1, 3, 7, 14, 30, 60, 90, 120)</f>
        <v>1</v>
      </c>
      <c r="G48" s="26">
        <f>E48 + F48</f>
        <v>1</v>
      </c>
    </row>
    <row r="49" spans="1:7">
      <c r="A49" s="6" t="s">
        <v>51</v>
      </c>
      <c r="B49" s="39" t="s">
        <v>56</v>
      </c>
      <c r="C49" s="4" t="str">
        <f ca="1">IF(G49 &lt;= TODAY(), "⚡ STUDY NOW", "✅ Wait")</f>
        <v>⚡ STUDY NOW</v>
      </c>
      <c r="D49" s="42">
        <v>0</v>
      </c>
      <c r="E49" s="26"/>
      <c r="F49" s="22">
        <f>CHOOSE(D49+1, 1, 3, 7, 14, 30, 60, 90, 120)</f>
        <v>1</v>
      </c>
      <c r="G49" s="26">
        <f>E49 + F49</f>
        <v>1</v>
      </c>
    </row>
    <row r="50" spans="1:7">
      <c r="A50" s="6" t="s">
        <v>51</v>
      </c>
      <c r="B50" s="39" t="s">
        <v>57</v>
      </c>
      <c r="C50" s="4" t="str">
        <f ca="1">IF(G50 &lt;= TODAY(), "⚡ STUDY NOW", "✅ Wait")</f>
        <v>⚡ STUDY NOW</v>
      </c>
      <c r="D50" s="42">
        <v>0</v>
      </c>
      <c r="E50" s="26"/>
      <c r="F50" s="22">
        <f>CHOOSE(D50+1, 1, 3, 7, 14, 30, 60, 90, 120)</f>
        <v>1</v>
      </c>
      <c r="G50" s="26">
        <f>E50 + F50</f>
        <v>1</v>
      </c>
    </row>
    <row r="51" spans="1:7">
      <c r="A51" s="6" t="s">
        <v>51</v>
      </c>
      <c r="B51" s="39" t="s">
        <v>58</v>
      </c>
      <c r="C51" s="4" t="str">
        <f ca="1">IF(G51 &lt;= TODAY(), "⚡ STUDY NOW", "✅ Wait")</f>
        <v>⚡ STUDY NOW</v>
      </c>
      <c r="D51" s="42">
        <v>0</v>
      </c>
      <c r="E51" s="26"/>
      <c r="F51" s="22">
        <f>CHOOSE(D51+1, 1, 3, 7, 14, 30, 60, 90, 120)</f>
        <v>1</v>
      </c>
      <c r="G51" s="26">
        <f>E51 + F51</f>
        <v>1</v>
      </c>
    </row>
    <row r="52" spans="1:7">
      <c r="A52" s="6" t="s">
        <v>51</v>
      </c>
      <c r="B52" s="39" t="s">
        <v>59</v>
      </c>
      <c r="C52" s="4" t="str">
        <f ca="1">IF(G52 &lt;= TODAY(), "⚡ STUDY NOW", "✅ Wait")</f>
        <v>⚡ STUDY NOW</v>
      </c>
      <c r="D52" s="42">
        <v>0</v>
      </c>
      <c r="E52" s="26"/>
      <c r="F52" s="22">
        <f>CHOOSE(D52+1, 1, 3, 7, 14, 30, 60, 90, 120)</f>
        <v>1</v>
      </c>
      <c r="G52" s="26">
        <f>E52 + F52</f>
        <v>1</v>
      </c>
    </row>
    <row r="53" spans="1:7">
      <c r="A53" s="6" t="s">
        <v>51</v>
      </c>
      <c r="B53" s="39" t="s">
        <v>60</v>
      </c>
      <c r="C53" s="4" t="str">
        <f ca="1">IF(G53 &lt;= TODAY(), "⚡ STUDY NOW", "✅ Wait")</f>
        <v>⚡ STUDY NOW</v>
      </c>
      <c r="D53" s="42">
        <v>0</v>
      </c>
      <c r="E53" s="26"/>
      <c r="F53" s="22">
        <f>CHOOSE(D53+1, 1, 3, 7, 14, 30, 60, 90, 120)</f>
        <v>1</v>
      </c>
      <c r="G53" s="26">
        <f>E53 + F53</f>
        <v>1</v>
      </c>
    </row>
    <row r="54" spans="1:7">
      <c r="A54" s="6" t="s">
        <v>51</v>
      </c>
      <c r="B54" s="39" t="s">
        <v>61</v>
      </c>
      <c r="C54" s="4" t="str">
        <f ca="1">IF(G54 &lt;= TODAY(), "⚡ STUDY NOW", "✅ Wait")</f>
        <v>⚡ STUDY NOW</v>
      </c>
      <c r="D54" s="42">
        <v>0</v>
      </c>
      <c r="E54" s="26"/>
      <c r="F54" s="22">
        <f>CHOOSE(D54+1, 1, 3, 7, 14, 30, 60, 90, 120)</f>
        <v>1</v>
      </c>
      <c r="G54" s="26">
        <f>E54 + F54</f>
        <v>1</v>
      </c>
    </row>
    <row r="55" spans="1:7">
      <c r="A55" s="6" t="s">
        <v>51</v>
      </c>
      <c r="B55" s="39" t="s">
        <v>62</v>
      </c>
      <c r="C55" s="4" t="str">
        <f ca="1">IF(G55 &lt;= TODAY(), "⚡ STUDY NOW", "✅ Wait")</f>
        <v>⚡ STUDY NOW</v>
      </c>
      <c r="D55" s="42">
        <v>0</v>
      </c>
      <c r="E55" s="26"/>
      <c r="F55" s="22">
        <f>CHOOSE(D55+1, 1, 3, 7, 14, 30, 60, 90, 120)</f>
        <v>1</v>
      </c>
      <c r="G55" s="26">
        <f>E55 + F55</f>
        <v>1</v>
      </c>
    </row>
    <row r="56" spans="1:7">
      <c r="A56" s="6" t="s">
        <v>51</v>
      </c>
      <c r="B56" s="39" t="s">
        <v>63</v>
      </c>
      <c r="C56" s="4" t="str">
        <f ca="1">IF(G56 &lt;= TODAY(), "⚡ STUDY NOW", "✅ Wait")</f>
        <v>⚡ STUDY NOW</v>
      </c>
      <c r="D56" s="42">
        <v>0</v>
      </c>
      <c r="E56" s="26"/>
      <c r="F56" s="22">
        <f>CHOOSE(D56+1, 1, 3, 7, 14, 30, 60, 90, 120)</f>
        <v>1</v>
      </c>
      <c r="G56" s="26">
        <f>E56 + F56</f>
        <v>1</v>
      </c>
    </row>
    <row r="57" spans="1:7">
      <c r="A57" s="6" t="s">
        <v>51</v>
      </c>
      <c r="B57" s="39" t="s">
        <v>64</v>
      </c>
      <c r="C57" s="4" t="str">
        <f ca="1">IF(G57 &lt;= TODAY(), "⚡ STUDY NOW", "✅ Wait")</f>
        <v>⚡ STUDY NOW</v>
      </c>
      <c r="D57" s="42">
        <v>0</v>
      </c>
      <c r="E57" s="26"/>
      <c r="F57" s="22">
        <f>CHOOSE(D57+1, 1, 3, 7, 14, 30, 60, 90, 120)</f>
        <v>1</v>
      </c>
      <c r="G57" s="26">
        <f>E57 + F57</f>
        <v>1</v>
      </c>
    </row>
    <row r="58" spans="1:7">
      <c r="A58" s="6" t="s">
        <v>51</v>
      </c>
      <c r="B58" s="39" t="s">
        <v>65</v>
      </c>
      <c r="C58" s="4" t="str">
        <f ca="1">IF(G58 &lt;= TODAY(), "⚡ STUDY NOW", "✅ Wait")</f>
        <v>⚡ STUDY NOW</v>
      </c>
      <c r="D58" s="42">
        <v>0</v>
      </c>
      <c r="E58" s="26"/>
      <c r="F58" s="22">
        <f>CHOOSE(D58+1, 1, 3, 7, 14, 30, 60, 90, 120)</f>
        <v>1</v>
      </c>
      <c r="G58" s="26">
        <f>E58 + F58</f>
        <v>1</v>
      </c>
    </row>
    <row r="59" spans="1:7">
      <c r="A59" s="6" t="s">
        <v>51</v>
      </c>
      <c r="B59" s="39" t="s">
        <v>66</v>
      </c>
      <c r="C59" s="4" t="str">
        <f ca="1">IF(G59 &lt;= TODAY(), "⚡ STUDY NOW", "✅ Wait")</f>
        <v>⚡ STUDY NOW</v>
      </c>
      <c r="D59" s="42">
        <v>0</v>
      </c>
      <c r="E59" s="26"/>
      <c r="F59" s="22">
        <f>CHOOSE(D59+1, 1, 3, 7, 14, 30, 60, 90, 120)</f>
        <v>1</v>
      </c>
      <c r="G59" s="26">
        <f>E59 + F59</f>
        <v>1</v>
      </c>
    </row>
    <row r="60" spans="1:7">
      <c r="A60" s="6" t="s">
        <v>67</v>
      </c>
      <c r="B60" s="39" t="s">
        <v>68</v>
      </c>
      <c r="C60" s="4" t="str">
        <f ca="1">IF(G60 &lt;= TODAY(), "⚡ STUDY NOW", "✅ Wait")</f>
        <v>⚡ STUDY NOW</v>
      </c>
      <c r="D60" s="42">
        <v>0</v>
      </c>
      <c r="E60" s="26"/>
      <c r="F60" s="22">
        <f>CHOOSE(D60+1, 1, 3, 7, 14, 30, 60, 90, 120)</f>
        <v>1</v>
      </c>
      <c r="G60" s="26">
        <f>E60 + F60</f>
        <v>1</v>
      </c>
    </row>
    <row r="61" spans="1:7">
      <c r="A61" s="6" t="s">
        <v>67</v>
      </c>
      <c r="B61" s="39" t="s">
        <v>69</v>
      </c>
      <c r="C61" s="4" t="str">
        <f ca="1">IF(G61 &lt;= TODAY(), "⚡ STUDY NOW", "✅ Wait")</f>
        <v>⚡ STUDY NOW</v>
      </c>
      <c r="D61" s="42">
        <v>0</v>
      </c>
      <c r="E61" s="26"/>
      <c r="F61" s="22">
        <f>CHOOSE(D61+1, 1, 3, 7, 14, 30, 60, 90, 120)</f>
        <v>1</v>
      </c>
      <c r="G61" s="26">
        <f>E61 + F61</f>
        <v>1</v>
      </c>
    </row>
    <row r="62" spans="1:7">
      <c r="A62" s="6" t="s">
        <v>67</v>
      </c>
      <c r="B62" s="39" t="s">
        <v>70</v>
      </c>
      <c r="C62" s="4" t="str">
        <f ca="1">IF(G62 &lt;= TODAY(), "⚡ STUDY NOW", "✅ Wait")</f>
        <v>⚡ STUDY NOW</v>
      </c>
      <c r="D62" s="42">
        <v>0</v>
      </c>
      <c r="E62" s="26"/>
      <c r="F62" s="22">
        <f>CHOOSE(D62+1, 1, 3, 7, 14, 30, 60, 90, 120)</f>
        <v>1</v>
      </c>
      <c r="G62" s="26">
        <f>E62 + F62</f>
        <v>1</v>
      </c>
    </row>
    <row r="63" spans="1:7">
      <c r="A63" s="6" t="s">
        <v>67</v>
      </c>
      <c r="B63" s="39" t="s">
        <v>71</v>
      </c>
      <c r="C63" s="4" t="str">
        <f ca="1">IF(G63 &lt;= TODAY(), "⚡ STUDY NOW", "✅ Wait")</f>
        <v>⚡ STUDY NOW</v>
      </c>
      <c r="D63" s="42">
        <v>0</v>
      </c>
      <c r="E63" s="26"/>
      <c r="F63" s="22">
        <f>CHOOSE(D63+1, 1, 3, 7, 14, 30, 60, 90, 120)</f>
        <v>1</v>
      </c>
      <c r="G63" s="26">
        <f>E63 + F63</f>
        <v>1</v>
      </c>
    </row>
    <row r="64" spans="1:7">
      <c r="A64" s="6" t="s">
        <v>67</v>
      </c>
      <c r="B64" s="39" t="s">
        <v>72</v>
      </c>
      <c r="C64" s="4" t="str">
        <f ca="1">IF(G64 &lt;= TODAY(), "⚡ STUDY NOW", "✅ Wait")</f>
        <v>⚡ STUDY NOW</v>
      </c>
      <c r="D64" s="42">
        <v>0</v>
      </c>
      <c r="E64" s="26"/>
      <c r="F64" s="22">
        <f>CHOOSE(D64+1, 1, 3, 7, 14, 30, 60, 90, 120)</f>
        <v>1</v>
      </c>
      <c r="G64" s="26">
        <f>E64 + F64</f>
        <v>1</v>
      </c>
    </row>
    <row r="65" spans="1:7">
      <c r="A65" s="6" t="s">
        <v>67</v>
      </c>
      <c r="B65" s="39" t="s">
        <v>73</v>
      </c>
      <c r="C65" s="4" t="str">
        <f ca="1">IF(G65 &lt;= TODAY(), "⚡ STUDY NOW", "✅ Wait")</f>
        <v>⚡ STUDY NOW</v>
      </c>
      <c r="D65" s="42">
        <v>0</v>
      </c>
      <c r="E65" s="26"/>
      <c r="F65" s="22">
        <f>CHOOSE(D65+1, 1, 3, 7, 14, 30, 60, 90, 120)</f>
        <v>1</v>
      </c>
      <c r="G65" s="26">
        <f>E65 + F65</f>
        <v>1</v>
      </c>
    </row>
    <row r="66" spans="1:7">
      <c r="A66" s="6" t="s">
        <v>67</v>
      </c>
      <c r="B66" s="39" t="s">
        <v>74</v>
      </c>
      <c r="C66" s="4" t="str">
        <f ca="1">IF(G66 &lt;= TODAY(), "⚡ STUDY NOW", "✅ Wait")</f>
        <v>⚡ STUDY NOW</v>
      </c>
      <c r="D66" s="42">
        <v>0</v>
      </c>
      <c r="E66" s="26"/>
      <c r="F66" s="22">
        <f>CHOOSE(D66+1, 1, 3, 7, 14, 30, 60, 90, 120)</f>
        <v>1</v>
      </c>
      <c r="G66" s="26">
        <f>E66 + F66</f>
        <v>1</v>
      </c>
    </row>
    <row r="67" spans="1:7">
      <c r="A67" s="6" t="s">
        <v>67</v>
      </c>
      <c r="B67" s="39" t="s">
        <v>75</v>
      </c>
      <c r="C67" s="4" t="str">
        <f ca="1">IF(G67 &lt;= TODAY(), "⚡ STUDY NOW", "✅ Wait")</f>
        <v>⚡ STUDY NOW</v>
      </c>
      <c r="D67" s="42">
        <v>0</v>
      </c>
      <c r="E67" s="26"/>
      <c r="F67" s="22">
        <f>CHOOSE(D67+1, 1, 3, 7, 14, 30, 60, 90, 120)</f>
        <v>1</v>
      </c>
      <c r="G67" s="26">
        <f>E67 + F67</f>
        <v>1</v>
      </c>
    </row>
    <row r="68" spans="1:7">
      <c r="A68" s="6" t="s">
        <v>67</v>
      </c>
      <c r="B68" s="39" t="s">
        <v>76</v>
      </c>
      <c r="C68" s="4" t="str">
        <f ca="1">IF(G68 &lt;= TODAY(), "⚡ STUDY NOW", "✅ Wait")</f>
        <v>⚡ STUDY NOW</v>
      </c>
      <c r="D68" s="42">
        <v>0</v>
      </c>
      <c r="E68" s="26"/>
      <c r="F68" s="22">
        <f>CHOOSE(D68+1, 1, 3, 7, 14, 30, 60, 90, 120)</f>
        <v>1</v>
      </c>
      <c r="G68" s="26">
        <f>E68 + F68</f>
        <v>1</v>
      </c>
    </row>
    <row r="69" spans="1:7">
      <c r="A69" s="6" t="s">
        <v>67</v>
      </c>
      <c r="B69" s="39" t="s">
        <v>77</v>
      </c>
      <c r="C69" s="4" t="str">
        <f ca="1">IF(G69 &lt;= TODAY(), "⚡ STUDY NOW", "✅ Wait")</f>
        <v>⚡ STUDY NOW</v>
      </c>
      <c r="D69" s="42">
        <v>0</v>
      </c>
      <c r="E69" s="26"/>
      <c r="F69" s="22">
        <f>CHOOSE(D69+1, 1, 3, 7, 14, 30, 60, 90, 120)</f>
        <v>1</v>
      </c>
      <c r="G69" s="26">
        <f>E69 + F69</f>
        <v>1</v>
      </c>
    </row>
    <row r="70" spans="1:7">
      <c r="A70" s="6" t="s">
        <v>78</v>
      </c>
      <c r="B70" s="39" t="s">
        <v>79</v>
      </c>
      <c r="C70" s="4" t="str">
        <f ca="1">IF(G70 &lt;= TODAY(), "⚡ STUDY NOW", "✅ Wait")</f>
        <v>⚡ STUDY NOW</v>
      </c>
      <c r="D70" s="42">
        <v>0</v>
      </c>
      <c r="E70" s="26"/>
      <c r="F70" s="22">
        <f>CHOOSE(D70+1, 1, 3, 7, 14, 30, 60, 90, 120)</f>
        <v>1</v>
      </c>
      <c r="G70" s="26">
        <f>E70 + F70</f>
        <v>1</v>
      </c>
    </row>
    <row r="71" spans="1:7">
      <c r="A71" s="6" t="s">
        <v>78</v>
      </c>
      <c r="B71" s="39" t="s">
        <v>80</v>
      </c>
      <c r="C71" s="4" t="str">
        <f ca="1">IF(G71 &lt;= TODAY(), "⚡ STUDY NOW", "✅ Wait")</f>
        <v>⚡ STUDY NOW</v>
      </c>
      <c r="D71" s="42">
        <v>0</v>
      </c>
      <c r="E71" s="26"/>
      <c r="F71" s="22">
        <f>CHOOSE(D71+1, 1, 3, 7, 14, 30, 60, 90, 120)</f>
        <v>1</v>
      </c>
      <c r="G71" s="26">
        <f>E71 + F71</f>
        <v>1</v>
      </c>
    </row>
    <row r="72" spans="1:7">
      <c r="A72" s="6" t="s">
        <v>78</v>
      </c>
      <c r="B72" s="39" t="s">
        <v>81</v>
      </c>
      <c r="C72" s="4" t="str">
        <f ca="1">IF(G72 &lt;= TODAY(), "⚡ STUDY NOW", "✅ Wait")</f>
        <v>⚡ STUDY NOW</v>
      </c>
      <c r="D72" s="42">
        <v>0</v>
      </c>
      <c r="E72" s="26"/>
      <c r="F72" s="22">
        <f>CHOOSE(D72+1, 1, 3, 7, 14, 30, 60, 90, 120)</f>
        <v>1</v>
      </c>
      <c r="G72" s="26">
        <f>E72 + F72</f>
        <v>1</v>
      </c>
    </row>
    <row r="73" spans="1:7" ht="15.5" customHeight="1">
      <c r="A73" s="6" t="s">
        <v>78</v>
      </c>
      <c r="B73" s="39" t="s">
        <v>82</v>
      </c>
      <c r="C73" s="4" t="str">
        <f ca="1">IF(G73 &lt;= TODAY(), "⚡ STUDY NOW", "✅ Wait")</f>
        <v>⚡ STUDY NOW</v>
      </c>
      <c r="D73" s="42">
        <v>0</v>
      </c>
      <c r="E73" s="26"/>
      <c r="F73" s="22">
        <f>CHOOSE(D73+1, 1, 3, 7, 14, 30, 60, 90, 120)</f>
        <v>1</v>
      </c>
      <c r="G73" s="26">
        <f>E73 + F73</f>
        <v>1</v>
      </c>
    </row>
    <row r="74" spans="1:7">
      <c r="A74" s="6" t="s">
        <v>78</v>
      </c>
      <c r="B74" s="39" t="s">
        <v>83</v>
      </c>
      <c r="C74" s="4" t="str">
        <f ca="1">IF(G74 &lt;= TODAY(), "⚡ STUDY NOW", "✅ Wait")</f>
        <v>⚡ STUDY NOW</v>
      </c>
      <c r="D74" s="42">
        <v>0</v>
      </c>
      <c r="E74" s="26"/>
      <c r="F74" s="22">
        <f>CHOOSE(D74+1, 1, 3, 7, 14, 30, 60, 90, 120)</f>
        <v>1</v>
      </c>
      <c r="G74" s="26">
        <f>E74 + F74</f>
        <v>1</v>
      </c>
    </row>
    <row r="75" spans="1:7">
      <c r="A75" s="6" t="s">
        <v>78</v>
      </c>
      <c r="B75" s="39" t="s">
        <v>84</v>
      </c>
      <c r="C75" s="4" t="str">
        <f ca="1">IF(G75 &lt;= TODAY(), "⚡ STUDY NOW", "✅ Wait")</f>
        <v>⚡ STUDY NOW</v>
      </c>
      <c r="D75" s="42">
        <v>0</v>
      </c>
      <c r="E75" s="26"/>
      <c r="F75" s="22">
        <f>CHOOSE(D75+1, 1, 3, 7, 14, 30, 60, 90, 120)</f>
        <v>1</v>
      </c>
      <c r="G75" s="26">
        <f>E75 + F75</f>
        <v>1</v>
      </c>
    </row>
    <row r="76" spans="1:7">
      <c r="A76" s="6" t="s">
        <v>78</v>
      </c>
      <c r="B76" s="39" t="s">
        <v>85</v>
      </c>
      <c r="C76" s="4" t="str">
        <f ca="1">IF(G76 &lt;= TODAY(), "⚡ STUDY NOW", "✅ Wait")</f>
        <v>⚡ STUDY NOW</v>
      </c>
      <c r="D76" s="42">
        <v>0</v>
      </c>
      <c r="E76" s="26"/>
      <c r="F76" s="22">
        <f>CHOOSE(D76+1, 1, 3, 7, 14, 30, 60, 90, 120)</f>
        <v>1</v>
      </c>
      <c r="G76" s="26">
        <f>E76 + F76</f>
        <v>1</v>
      </c>
    </row>
    <row r="77" spans="1:7">
      <c r="A77" s="6" t="s">
        <v>78</v>
      </c>
      <c r="B77" s="39" t="s">
        <v>86</v>
      </c>
      <c r="C77" s="4" t="str">
        <f ca="1">IF(G77 &lt;= TODAY(), "⚡ STUDY NOW", "✅ Wait")</f>
        <v>⚡ STUDY NOW</v>
      </c>
      <c r="D77" s="42">
        <v>0</v>
      </c>
      <c r="E77" s="26"/>
      <c r="F77" s="22">
        <f>CHOOSE(D77+1, 1, 3, 7, 14, 30, 60, 90, 120)</f>
        <v>1</v>
      </c>
      <c r="G77" s="26">
        <f>E77 + F77</f>
        <v>1</v>
      </c>
    </row>
    <row r="78" spans="1:7">
      <c r="A78" s="6" t="s">
        <v>78</v>
      </c>
      <c r="B78" s="39" t="s">
        <v>87</v>
      </c>
      <c r="C78" s="4" t="str">
        <f ca="1">IF(G78 &lt;= TODAY(), "⚡ STUDY NOW", "✅ Wait")</f>
        <v>⚡ STUDY NOW</v>
      </c>
      <c r="D78" s="42">
        <v>0</v>
      </c>
      <c r="E78" s="26"/>
      <c r="F78" s="22">
        <f>CHOOSE(D78+1, 1, 3, 7, 14, 30, 60, 90, 120)</f>
        <v>1</v>
      </c>
      <c r="G78" s="26">
        <f>E78 + F78</f>
        <v>1</v>
      </c>
    </row>
    <row r="79" spans="1:7">
      <c r="A79" s="6" t="s">
        <v>78</v>
      </c>
      <c r="B79" s="39" t="s">
        <v>88</v>
      </c>
      <c r="C79" s="4" t="str">
        <f ca="1">IF(G79 &lt;= TODAY(), "⚡ STUDY NOW", "✅ Wait")</f>
        <v>⚡ STUDY NOW</v>
      </c>
      <c r="D79" s="42">
        <v>0</v>
      </c>
      <c r="E79" s="26"/>
      <c r="F79" s="22">
        <f>CHOOSE(D79+1, 1, 3, 7, 14, 30, 60, 90, 120)</f>
        <v>1</v>
      </c>
      <c r="G79" s="26">
        <f>E79 + F79</f>
        <v>1</v>
      </c>
    </row>
    <row r="80" spans="1:7">
      <c r="A80" s="6" t="s">
        <v>78</v>
      </c>
      <c r="B80" s="39" t="s">
        <v>89</v>
      </c>
      <c r="C80" s="4" t="str">
        <f ca="1">IF(G80 &lt;= TODAY(), "⚡ STUDY NOW", "✅ Wait")</f>
        <v>⚡ STUDY NOW</v>
      </c>
      <c r="D80" s="42">
        <v>0</v>
      </c>
      <c r="E80" s="26"/>
      <c r="F80" s="22">
        <f>CHOOSE(D80+1, 1, 3, 7, 14, 30, 60, 90, 120)</f>
        <v>1</v>
      </c>
      <c r="G80" s="26">
        <f>E80 + F80</f>
        <v>1</v>
      </c>
    </row>
    <row r="81" spans="1:7">
      <c r="A81" s="6" t="s">
        <v>78</v>
      </c>
      <c r="B81" s="39" t="s">
        <v>90</v>
      </c>
      <c r="C81" s="4" t="str">
        <f ca="1">IF(G81 &lt;= TODAY(), "⚡ STUDY NOW", "✅ Wait")</f>
        <v>⚡ STUDY NOW</v>
      </c>
      <c r="D81" s="42">
        <v>0</v>
      </c>
      <c r="E81" s="26"/>
      <c r="F81" s="22">
        <f>CHOOSE(D81+1, 1, 3, 7, 14, 30, 60, 90, 120)</f>
        <v>1</v>
      </c>
      <c r="G81" s="26">
        <f>E81 + F81</f>
        <v>1</v>
      </c>
    </row>
    <row r="82" spans="1:7">
      <c r="A82" s="6" t="s">
        <v>102</v>
      </c>
      <c r="B82" s="39" t="s">
        <v>91</v>
      </c>
      <c r="C82" s="4" t="str">
        <f ca="1">IF(G82 &lt;= TODAY(), "⚡ STUDY NOW", "✅ Wait")</f>
        <v>⚡ STUDY NOW</v>
      </c>
      <c r="D82" s="42">
        <v>0</v>
      </c>
      <c r="E82" s="26"/>
      <c r="F82" s="22">
        <f>CHOOSE(D82+1, 1, 3, 7, 14, 30, 60, 90, 120)</f>
        <v>1</v>
      </c>
      <c r="G82" s="26">
        <f>E82 + F82</f>
        <v>1</v>
      </c>
    </row>
    <row r="83" spans="1:7">
      <c r="A83" s="6" t="s">
        <v>102</v>
      </c>
      <c r="B83" s="39" t="s">
        <v>92</v>
      </c>
      <c r="C83" s="4" t="str">
        <f ca="1">IF(G83 &lt;= TODAY(), "⚡ STUDY NOW", "✅ Wait")</f>
        <v>⚡ STUDY NOW</v>
      </c>
      <c r="D83" s="42">
        <v>0</v>
      </c>
      <c r="E83" s="26"/>
      <c r="F83" s="22">
        <f>CHOOSE(D83+1, 1, 3, 7, 14, 30, 60, 90, 120)</f>
        <v>1</v>
      </c>
      <c r="G83" s="26">
        <f>E83 + F83</f>
        <v>1</v>
      </c>
    </row>
    <row r="84" spans="1:7">
      <c r="A84" s="6" t="s">
        <v>102</v>
      </c>
      <c r="B84" s="39" t="s">
        <v>93</v>
      </c>
      <c r="C84" s="4" t="str">
        <f ca="1">IF(G84 &lt;= TODAY(), "⚡ STUDY NOW", "✅ Wait")</f>
        <v>⚡ STUDY NOW</v>
      </c>
      <c r="D84" s="42">
        <v>0</v>
      </c>
      <c r="E84" s="26"/>
      <c r="F84" s="22">
        <f>CHOOSE(D84+1, 1, 3, 7, 14, 30, 60, 90, 120)</f>
        <v>1</v>
      </c>
      <c r="G84" s="26">
        <f>E84 + F84</f>
        <v>1</v>
      </c>
    </row>
    <row r="85" spans="1:7">
      <c r="A85" s="6" t="s">
        <v>102</v>
      </c>
      <c r="B85" s="39" t="s">
        <v>94</v>
      </c>
      <c r="C85" s="4" t="str">
        <f ca="1">IF(G85 &lt;= TODAY(), "⚡ STUDY NOW", "✅ Wait")</f>
        <v>⚡ STUDY NOW</v>
      </c>
      <c r="D85" s="42">
        <v>0</v>
      </c>
      <c r="E85" s="26"/>
      <c r="F85" s="22">
        <f>CHOOSE(D85+1, 1, 3, 7, 14, 30, 60, 90, 120)</f>
        <v>1</v>
      </c>
      <c r="G85" s="26">
        <f>E85 + F85</f>
        <v>1</v>
      </c>
    </row>
    <row r="86" spans="1:7">
      <c r="A86" s="6" t="s">
        <v>102</v>
      </c>
      <c r="B86" s="39" t="s">
        <v>95</v>
      </c>
      <c r="C86" s="4" t="str">
        <f ca="1">IF(G86 &lt;= TODAY(), "⚡ STUDY NOW", "✅ Wait")</f>
        <v>⚡ STUDY NOW</v>
      </c>
      <c r="D86" s="42">
        <v>0</v>
      </c>
      <c r="E86" s="26"/>
      <c r="F86" s="22">
        <f>CHOOSE(D86+1, 1, 3, 7, 14, 30, 60, 90, 120)</f>
        <v>1</v>
      </c>
      <c r="G86" s="26">
        <f>E86 + F86</f>
        <v>1</v>
      </c>
    </row>
    <row r="87" spans="1:7">
      <c r="A87" s="6" t="s">
        <v>102</v>
      </c>
      <c r="B87" s="39" t="s">
        <v>96</v>
      </c>
      <c r="C87" s="4" t="str">
        <f ca="1">IF(G87 &lt;= TODAY(), "⚡ STUDY NOW", "✅ Wait")</f>
        <v>⚡ STUDY NOW</v>
      </c>
      <c r="D87" s="42">
        <v>0</v>
      </c>
      <c r="E87" s="26"/>
      <c r="F87" s="22">
        <f>CHOOSE(D87+1, 1, 3, 7, 14, 30, 60, 90, 120)</f>
        <v>1</v>
      </c>
      <c r="G87" s="26">
        <f>E87 + F87</f>
        <v>1</v>
      </c>
    </row>
    <row r="88" spans="1:7">
      <c r="A88" s="6" t="s">
        <v>102</v>
      </c>
      <c r="B88" s="39" t="s">
        <v>97</v>
      </c>
      <c r="C88" s="4" t="str">
        <f ca="1">IF(G88 &lt;= TODAY(), "⚡ STUDY NOW", "✅ Wait")</f>
        <v>⚡ STUDY NOW</v>
      </c>
      <c r="D88" s="42">
        <v>0</v>
      </c>
      <c r="E88" s="26"/>
      <c r="F88" s="22">
        <f>CHOOSE(D88+1, 1, 3, 7, 14, 30, 60, 90, 120)</f>
        <v>1</v>
      </c>
      <c r="G88" s="26">
        <f>E88 + F88</f>
        <v>1</v>
      </c>
    </row>
    <row r="89" spans="1:7">
      <c r="A89" s="6" t="s">
        <v>102</v>
      </c>
      <c r="B89" s="39" t="s">
        <v>98</v>
      </c>
      <c r="C89" s="4" t="str">
        <f ca="1">IF(G89 &lt;= TODAY(), "⚡ STUDY NOW", "✅ Wait")</f>
        <v>⚡ STUDY NOW</v>
      </c>
      <c r="D89" s="42">
        <v>0</v>
      </c>
      <c r="E89" s="26"/>
      <c r="F89" s="22">
        <f>CHOOSE(D89+1, 1, 3, 7, 14, 30, 60, 90, 120)</f>
        <v>1</v>
      </c>
      <c r="G89" s="26">
        <f>E89 + F89</f>
        <v>1</v>
      </c>
    </row>
    <row r="90" spans="1:7">
      <c r="A90" s="6" t="s">
        <v>102</v>
      </c>
      <c r="B90" s="39" t="s">
        <v>99</v>
      </c>
      <c r="C90" s="4" t="str">
        <f ca="1">IF(G90 &lt;= TODAY(), "⚡ STUDY NOW", "✅ Wait")</f>
        <v>⚡ STUDY NOW</v>
      </c>
      <c r="D90" s="42">
        <v>0</v>
      </c>
      <c r="E90" s="26"/>
      <c r="F90" s="22">
        <f>CHOOSE(D90+1, 1, 3, 7, 14, 30, 60, 90, 120)</f>
        <v>1</v>
      </c>
      <c r="G90" s="26">
        <f>E90 + F90</f>
        <v>1</v>
      </c>
    </row>
    <row r="91" spans="1:7">
      <c r="A91" s="6" t="s">
        <v>102</v>
      </c>
      <c r="B91" s="39" t="s">
        <v>100</v>
      </c>
      <c r="C91" s="4" t="str">
        <f ca="1">IF(G91 &lt;= TODAY(), "⚡ STUDY NOW", "✅ Wait")</f>
        <v>⚡ STUDY NOW</v>
      </c>
      <c r="D91" s="42">
        <v>0</v>
      </c>
      <c r="E91" s="26"/>
      <c r="F91" s="22">
        <f>CHOOSE(D91+1, 1, 3, 7, 14, 30, 60, 90, 120)</f>
        <v>1</v>
      </c>
      <c r="G91" s="26">
        <f>E91 + F91</f>
        <v>1</v>
      </c>
    </row>
    <row r="92" spans="1:7" ht="16" thickBot="1">
      <c r="A92" s="7" t="s">
        <v>102</v>
      </c>
      <c r="B92" s="39" t="s">
        <v>101</v>
      </c>
      <c r="C92" s="5" t="str">
        <f ca="1">IF(G92 &lt;= TODAY(), "⚡ STUDY NOW", "✅ Wait")</f>
        <v>⚡ STUDY NOW</v>
      </c>
      <c r="D92" s="42">
        <v>0</v>
      </c>
      <c r="E92" s="27"/>
      <c r="F92" s="23">
        <f>CHOOSE(D92+1, 1, 3, 7, 14, 30, 60, 90, 120)</f>
        <v>1</v>
      </c>
      <c r="G92" s="27">
        <f>E92 + F92</f>
        <v>1</v>
      </c>
    </row>
  </sheetData>
  <autoFilter ref="A2:G92" xr:uid="{D04E34A0-B214-4418-97F7-D0AD3B93B92A}">
    <sortState xmlns:xlrd2="http://schemas.microsoft.com/office/spreadsheetml/2017/richdata2" ref="A3:G92">
      <sortCondition ref="D2:D92"/>
    </sortState>
  </autoFilter>
  <sortState xmlns:xlrd2="http://schemas.microsoft.com/office/spreadsheetml/2017/richdata2" ref="A3:G691">
    <sortCondition ref="G2"/>
  </sortState>
  <mergeCells count="1">
    <mergeCell ref="A1:G1"/>
  </mergeCells>
  <conditionalFormatting sqref="C2:C1048576">
    <cfRule type="containsText" dxfId="11" priority="12" operator="containsText" text="⚡ STUDY NOW">
      <formula>NOT(ISERROR(SEARCH("⚡ STUDY NOW",C2)))</formula>
    </cfRule>
    <cfRule type="containsText" dxfId="10" priority="13" operator="containsText" text="✅ Wait">
      <formula>NOT(ISERROR(SEARCH("✅ Wait",C2)))</formula>
    </cfRule>
    <cfRule type="containsText" dxfId="9" priority="14" operator="containsText" text="⚡ STUDY NOW">
      <formula>NOT(ISERROR(SEARCH("⚡ STUDY NOW",C2)))</formula>
    </cfRule>
  </conditionalFormatting>
  <conditionalFormatting sqref="A1:A1048576">
    <cfRule type="containsText" dxfId="8" priority="4" operator="containsText" text="Rhumatologie">
      <formula>NOT(ISERROR(SEARCH("Rhumatologie",A1)))</formula>
    </cfRule>
    <cfRule type="containsText" dxfId="7" priority="5" operator="containsText" text="Immuno">
      <formula>NOT(ISERROR(SEARCH("Immuno",A1)))</formula>
    </cfRule>
    <cfRule type="containsText" dxfId="6" priority="6" operator="containsText" text="Génétique">
      <formula>NOT(ISERROR(SEARCH("Génétique",A1)))</formula>
    </cfRule>
    <cfRule type="containsText" dxfId="5" priority="7" operator="containsText" text="Maladies de système">
      <formula>NOT(ISERROR(SEARCH("Maladies de système",A1)))</formula>
    </cfRule>
    <cfRule type="containsText" dxfId="4" priority="8" operator="containsText" text="Anatomopathologie">
      <formula>NOT(ISERROR(SEARCH("Anatomopathologie",A1)))</formula>
    </cfRule>
    <cfRule type="containsText" dxfId="3" priority="9" operator="containsText" text="MPR">
      <formula>NOT(ISERROR(SEARCH("MPR",A1)))</formula>
    </cfRule>
    <cfRule type="containsText" dxfId="2" priority="10" operator="containsText" text="Rhumatologie">
      <formula>NOT(ISERROR(SEARCH("Rhumatologie",A1)))</formula>
    </cfRule>
    <cfRule type="containsText" dxfId="1" priority="11" operator="containsText" text="Tramatologie">
      <formula>NOT(ISERROR(SEARCH("Tramatologie",A1)))</formula>
    </cfRule>
  </conditionalFormatting>
  <conditionalFormatting sqref="D3:D1048576">
    <cfRule type="iconSet" priority="2">
      <iconSet iconSet="5Rating">
        <cfvo type="percent" val="0"/>
        <cfvo type="num" val="2"/>
        <cfvo type="num" val="3"/>
        <cfvo type="num" val="4"/>
        <cfvo type="num" val="5"/>
      </iconSet>
    </cfRule>
  </conditionalFormatting>
  <conditionalFormatting sqref="G3:G1048576">
    <cfRule type="timePeriod" dxfId="0" priority="3" timePeriod="thisWeek">
      <formula>AND(TODAY()-ROUNDDOWN(G3,0)&lt;=WEEKDAY(TODAY())-1,ROUNDDOWN(G3,0)-TODAY()&lt;=7-WEEKDAY(TODAY()))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479F-678C-4E3E-83C0-C2D428D0EEC6}">
  <dimension ref="A1:M10"/>
  <sheetViews>
    <sheetView tabSelected="1" workbookViewId="0">
      <selection activeCell="D2" sqref="D2"/>
    </sheetView>
  </sheetViews>
  <sheetFormatPr defaultRowHeight="14.5"/>
  <cols>
    <col min="1" max="1" width="19.08984375" customWidth="1"/>
    <col min="2" max="2" width="13.7265625" customWidth="1"/>
    <col min="4" max="4" width="11.08984375" style="1" customWidth="1"/>
    <col min="5" max="5" width="20.1796875" style="2" customWidth="1"/>
    <col min="6" max="6" width="14.7265625" customWidth="1"/>
    <col min="13" max="13" width="8.7265625" customWidth="1"/>
  </cols>
  <sheetData>
    <row r="1" spans="1:13" ht="20">
      <c r="A1" s="57" t="s">
        <v>374</v>
      </c>
      <c r="B1" s="30"/>
    </row>
    <row r="2" spans="1:13" ht="19">
      <c r="A2" s="31" t="s">
        <v>148</v>
      </c>
      <c r="B2" s="32">
        <f>COUNTA('S8'!$E:$E)-1</f>
        <v>1</v>
      </c>
      <c r="D2" s="58" t="s">
        <v>160</v>
      </c>
      <c r="E2" s="61">
        <f ca="1">TODAY()</f>
        <v>46063</v>
      </c>
    </row>
    <row r="3" spans="1:13" ht="19">
      <c r="A3" t="s">
        <v>375</v>
      </c>
      <c r="B3" s="33">
        <f>B4-B2</f>
        <v>90</v>
      </c>
      <c r="D3" s="59" t="s">
        <v>159</v>
      </c>
      <c r="E3" s="60" t="str">
        <f ca="1">TEXT(MAX(0, DATE(2026, 6, 6) - TODAY()), "0") &amp; " days left"</f>
        <v>116 days left</v>
      </c>
      <c r="F3">
        <f ca="1">DATE(2026,6,6) - TODAY()</f>
        <v>116</v>
      </c>
    </row>
    <row r="4" spans="1:13" ht="19">
      <c r="A4" s="34" t="s">
        <v>147</v>
      </c>
      <c r="B4" s="35">
        <f>COUNTA('S8'!$A:$A)-1</f>
        <v>91</v>
      </c>
      <c r="E4" s="1"/>
      <c r="M4" s="49" t="s">
        <v>151</v>
      </c>
    </row>
    <row r="5" spans="1:13">
      <c r="M5" s="50" t="s">
        <v>152</v>
      </c>
    </row>
    <row r="6" spans="1:13">
      <c r="E6" s="24"/>
      <c r="M6" s="50" t="s">
        <v>153</v>
      </c>
    </row>
    <row r="7" spans="1:13">
      <c r="M7" s="50" t="s">
        <v>155</v>
      </c>
    </row>
    <row r="8" spans="1:13">
      <c r="M8" s="50" t="s">
        <v>154</v>
      </c>
    </row>
    <row r="9" spans="1:13">
      <c r="M9" s="51" t="s">
        <v>156</v>
      </c>
    </row>
    <row r="10" spans="1:13">
      <c r="M10" s="51" t="s">
        <v>157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FB89-9AE8-4AD9-8F8E-1CB455FC8816}">
  <dimension ref="A1"/>
  <sheetViews>
    <sheetView workbookViewId="0"/>
  </sheetViews>
  <sheetFormatPr defaultRowHeight="14.5"/>
  <sheetData>
    <row r="1" spans="1:1">
      <c r="A1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4482-1D11-45B0-9D63-2B2FBF87E6F1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8E1B-2C24-470B-BD00-F3AB9AB09725}">
  <dimension ref="A1:C75"/>
  <sheetViews>
    <sheetView workbookViewId="0">
      <selection activeCell="P14" sqref="P14"/>
    </sheetView>
  </sheetViews>
  <sheetFormatPr defaultRowHeight="14.5"/>
  <cols>
    <col min="1" max="2" width="8.7265625" style="1"/>
  </cols>
  <sheetData>
    <row r="1" spans="1:2">
      <c r="A1" t="s">
        <v>149</v>
      </c>
      <c r="B1"/>
    </row>
    <row r="2" spans="1:2" ht="23">
      <c r="A2" s="10" t="s">
        <v>103</v>
      </c>
      <c r="B2"/>
    </row>
    <row r="3" spans="1:2">
      <c r="A3"/>
      <c r="B3"/>
    </row>
    <row r="4" spans="1:2">
      <c r="A4" s="11" t="s">
        <v>104</v>
      </c>
      <c r="B4"/>
    </row>
    <row r="5" spans="1:2">
      <c r="A5"/>
      <c r="B5"/>
    </row>
    <row r="6" spans="1:2">
      <c r="A6" s="12" t="s">
        <v>105</v>
      </c>
      <c r="B6"/>
    </row>
    <row r="7" spans="1:2">
      <c r="A7" s="13"/>
      <c r="B7"/>
    </row>
    <row r="8" spans="1:2">
      <c r="A8" s="14" t="s">
        <v>106</v>
      </c>
      <c r="B8"/>
    </row>
    <row r="9" spans="1:2">
      <c r="A9" s="13"/>
      <c r="B9"/>
    </row>
    <row r="10" spans="1:2">
      <c r="A10" s="14" t="s">
        <v>107</v>
      </c>
      <c r="B10"/>
    </row>
    <row r="11" spans="1:2">
      <c r="A11" s="13"/>
      <c r="B11"/>
    </row>
    <row r="12" spans="1:2">
      <c r="A12" s="14" t="s">
        <v>108</v>
      </c>
      <c r="B12"/>
    </row>
    <row r="13" spans="1:2">
      <c r="A13" s="13"/>
      <c r="B13"/>
    </row>
    <row r="14" spans="1:2">
      <c r="A14" s="15" t="s">
        <v>109</v>
      </c>
      <c r="B14"/>
    </row>
    <row r="15" spans="1:2">
      <c r="A15"/>
      <c r="B15"/>
    </row>
    <row r="16" spans="1:2">
      <c r="A16" s="12" t="s">
        <v>110</v>
      </c>
      <c r="B16"/>
    </row>
    <row r="17" spans="1:2">
      <c r="A17" s="13"/>
      <c r="B17"/>
    </row>
    <row r="18" spans="1:2">
      <c r="A18" s="14" t="s">
        <v>111</v>
      </c>
      <c r="B18"/>
    </row>
    <row r="19" spans="1:2">
      <c r="A19" s="13"/>
      <c r="B19"/>
    </row>
    <row r="20" spans="1:2">
      <c r="A20" s="16" t="s">
        <v>112</v>
      </c>
      <c r="B20"/>
    </row>
    <row r="21" spans="1:2">
      <c r="A21" s="13"/>
      <c r="B21"/>
    </row>
    <row r="22" spans="1:2">
      <c r="A22" s="14" t="s">
        <v>113</v>
      </c>
      <c r="B22"/>
    </row>
    <row r="23" spans="1:2">
      <c r="A23"/>
      <c r="B23"/>
    </row>
    <row r="24" spans="1:2">
      <c r="A24" s="12" t="s">
        <v>114</v>
      </c>
      <c r="B24"/>
    </row>
    <row r="25" spans="1:2">
      <c r="A25" s="13"/>
      <c r="B25"/>
    </row>
    <row r="26" spans="1:2">
      <c r="A26" s="16" t="s">
        <v>115</v>
      </c>
      <c r="B26"/>
    </row>
    <row r="27" spans="1:2">
      <c r="A27" s="13"/>
      <c r="B27"/>
    </row>
    <row r="28" spans="1:2">
      <c r="A28" s="14"/>
      <c r="B28"/>
    </row>
    <row r="29" spans="1:2">
      <c r="A29" s="17" t="s">
        <v>116</v>
      </c>
      <c r="B29"/>
    </row>
    <row r="30" spans="1:2">
      <c r="A30" s="13"/>
      <c r="B30"/>
    </row>
    <row r="31" spans="1:2">
      <c r="A31" s="16" t="s">
        <v>117</v>
      </c>
      <c r="B31"/>
    </row>
    <row r="32" spans="1:2">
      <c r="A32" s="13"/>
      <c r="B32"/>
    </row>
    <row r="33" spans="1:3">
      <c r="A33" s="16" t="s">
        <v>118</v>
      </c>
      <c r="B33"/>
    </row>
    <row r="34" spans="1:3">
      <c r="A34"/>
      <c r="B34"/>
    </row>
    <row r="35" spans="1:3">
      <c r="A35"/>
      <c r="B35"/>
    </row>
    <row r="36" spans="1:3">
      <c r="A36"/>
      <c r="B36"/>
    </row>
    <row r="37" spans="1:3" ht="23">
      <c r="A37" s="10" t="s">
        <v>119</v>
      </c>
      <c r="B37"/>
    </row>
    <row r="38" spans="1:3">
      <c r="A38"/>
      <c r="B38"/>
    </row>
    <row r="39" spans="1:3">
      <c r="A39" s="11" t="s">
        <v>120</v>
      </c>
      <c r="B39"/>
    </row>
    <row r="40" spans="1:3" ht="15" thickBot="1">
      <c r="A40"/>
      <c r="B40"/>
    </row>
    <row r="41" spans="1:3" ht="28.5" thickBot="1">
      <c r="A41" s="18" t="s">
        <v>121</v>
      </c>
      <c r="B41" s="18" t="s">
        <v>122</v>
      </c>
      <c r="C41" s="18" t="s">
        <v>123</v>
      </c>
    </row>
    <row r="42" spans="1:3" ht="84.5" thickBot="1">
      <c r="A42" s="19" t="s">
        <v>124</v>
      </c>
      <c r="B42" s="18" t="s">
        <v>125</v>
      </c>
      <c r="C42" s="19" t="s">
        <v>126</v>
      </c>
    </row>
    <row r="43" spans="1:3" ht="84.5" thickBot="1">
      <c r="A43" s="19" t="s">
        <v>127</v>
      </c>
      <c r="B43" s="18" t="s">
        <v>128</v>
      </c>
      <c r="C43" s="19" t="s">
        <v>129</v>
      </c>
    </row>
    <row r="44" spans="1:3" ht="70.5" thickBot="1">
      <c r="A44" s="19" t="s">
        <v>130</v>
      </c>
      <c r="B44" s="18" t="s">
        <v>131</v>
      </c>
      <c r="C44" s="19" t="s">
        <v>132</v>
      </c>
    </row>
    <row r="45" spans="1:3">
      <c r="A45" s="16" t="s">
        <v>133</v>
      </c>
      <c r="B45"/>
    </row>
    <row r="46" spans="1:3">
      <c r="A46"/>
      <c r="B46"/>
    </row>
    <row r="47" spans="1:3">
      <c r="A47"/>
      <c r="B47"/>
    </row>
    <row r="48" spans="1:3">
      <c r="A48"/>
      <c r="B48"/>
    </row>
    <row r="49" spans="1:2" ht="23">
      <c r="A49" s="10" t="s">
        <v>134</v>
      </c>
      <c r="B49"/>
    </row>
    <row r="50" spans="1:2">
      <c r="A50" s="13"/>
      <c r="B50"/>
    </row>
    <row r="51" spans="1:2">
      <c r="A51" s="14" t="s">
        <v>135</v>
      </c>
      <c r="B51"/>
    </row>
    <row r="52" spans="1:2">
      <c r="A52" s="13"/>
      <c r="B52"/>
    </row>
    <row r="53" spans="1:2">
      <c r="A53" s="14" t="s">
        <v>136</v>
      </c>
      <c r="B53"/>
    </row>
    <row r="54" spans="1:2">
      <c r="A54" s="13"/>
      <c r="B54"/>
    </row>
    <row r="55" spans="1:2">
      <c r="A55" s="14" t="s">
        <v>137</v>
      </c>
      <c r="B55"/>
    </row>
    <row r="56" spans="1:2">
      <c r="A56" s="13"/>
      <c r="B56"/>
    </row>
    <row r="57" spans="1:2">
      <c r="A57" s="14" t="s">
        <v>138</v>
      </c>
      <c r="B57"/>
    </row>
    <row r="58" spans="1:2">
      <c r="A58" s="13"/>
      <c r="B58"/>
    </row>
    <row r="59" spans="1:2">
      <c r="A59" s="15" t="s">
        <v>139</v>
      </c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 ht="23">
      <c r="A63" s="10" t="s">
        <v>140</v>
      </c>
      <c r="B63"/>
    </row>
    <row r="64" spans="1:2">
      <c r="A64" s="13"/>
      <c r="B64"/>
    </row>
    <row r="65" spans="1:2">
      <c r="A65" s="16" t="s">
        <v>141</v>
      </c>
      <c r="B65"/>
    </row>
    <row r="66" spans="1:2">
      <c r="A66" s="13"/>
      <c r="B66"/>
    </row>
    <row r="67" spans="1:2">
      <c r="A67" s="14" t="s">
        <v>142</v>
      </c>
      <c r="B67"/>
    </row>
    <row r="68" spans="1:2">
      <c r="A68" s="13"/>
      <c r="B68"/>
    </row>
    <row r="69" spans="1:2">
      <c r="A69" s="16" t="s">
        <v>143</v>
      </c>
      <c r="B69"/>
    </row>
    <row r="70" spans="1:2">
      <c r="A70" s="13"/>
      <c r="B70"/>
    </row>
    <row r="71" spans="1:2">
      <c r="A71" s="16" t="s">
        <v>144</v>
      </c>
      <c r="B71"/>
    </row>
    <row r="72" spans="1:2">
      <c r="A72" s="13"/>
      <c r="B72"/>
    </row>
    <row r="73" spans="1:2">
      <c r="A73" s="16" t="s">
        <v>145</v>
      </c>
      <c r="B73"/>
    </row>
    <row r="74" spans="1:2">
      <c r="A74" s="13"/>
      <c r="B74"/>
    </row>
    <row r="75" spans="1:2">
      <c r="A75" s="14" t="s">
        <v>146</v>
      </c>
      <c r="B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6F37-DEAD-48D1-A4DE-C8DDF0410E11}">
  <dimension ref="A1:A294"/>
  <sheetViews>
    <sheetView topLeftCell="A46" workbookViewId="0">
      <selection activeCell="A19" sqref="A19"/>
    </sheetView>
  </sheetViews>
  <sheetFormatPr defaultRowHeight="14.5"/>
  <sheetData>
    <row r="1" spans="1:1" ht="31">
      <c r="A1" s="52" t="s">
        <v>162</v>
      </c>
    </row>
    <row r="2" spans="1:1">
      <c r="A2" s="13"/>
    </row>
    <row r="3" spans="1:1">
      <c r="A3" s="53" t="s">
        <v>163</v>
      </c>
    </row>
    <row r="4" spans="1:1">
      <c r="A4" s="53" t="s">
        <v>164</v>
      </c>
    </row>
    <row r="6" spans="1:1" ht="31">
      <c r="A6" s="52" t="s">
        <v>165</v>
      </c>
    </row>
    <row r="8" spans="1:1" ht="23.5">
      <c r="A8" s="54" t="s">
        <v>166</v>
      </c>
    </row>
    <row r="10" spans="1:1" ht="17.5">
      <c r="A10" s="55" t="s">
        <v>167</v>
      </c>
    </row>
    <row r="11" spans="1:1">
      <c r="A11" s="13"/>
    </row>
    <row r="12" spans="1:1">
      <c r="A12" s="13" t="s">
        <v>168</v>
      </c>
    </row>
    <row r="13" spans="1:1">
      <c r="A13" s="13" t="s">
        <v>169</v>
      </c>
    </row>
    <row r="14" spans="1:1">
      <c r="A14" s="13" t="s">
        <v>170</v>
      </c>
    </row>
    <row r="15" spans="1:1">
      <c r="A15" s="13" t="s">
        <v>171</v>
      </c>
    </row>
    <row r="16" spans="1:1">
      <c r="A16" s="13" t="s">
        <v>172</v>
      </c>
    </row>
    <row r="17" spans="1:1">
      <c r="A17" s="13" t="s">
        <v>173</v>
      </c>
    </row>
    <row r="18" spans="1:1">
      <c r="A18" s="13" t="s">
        <v>174</v>
      </c>
    </row>
    <row r="19" spans="1:1">
      <c r="A19" s="13" t="s">
        <v>175</v>
      </c>
    </row>
    <row r="21" spans="1:1" ht="17.5">
      <c r="A21" s="55" t="s">
        <v>176</v>
      </c>
    </row>
    <row r="22" spans="1:1">
      <c r="A22" s="13"/>
    </row>
    <row r="23" spans="1:1">
      <c r="A23" s="13" t="s">
        <v>177</v>
      </c>
    </row>
    <row r="24" spans="1:1">
      <c r="A24" s="13" t="s">
        <v>178</v>
      </c>
    </row>
    <row r="25" spans="1:1">
      <c r="A25" s="13" t="s">
        <v>179</v>
      </c>
    </row>
    <row r="26" spans="1:1">
      <c r="A26" s="13" t="s">
        <v>180</v>
      </c>
    </row>
    <row r="28" spans="1:1" ht="17.5">
      <c r="A28" s="55" t="s">
        <v>181</v>
      </c>
    </row>
    <row r="29" spans="1:1">
      <c r="A29" s="13"/>
    </row>
    <row r="30" spans="1:1">
      <c r="A30" s="13" t="s">
        <v>182</v>
      </c>
    </row>
    <row r="31" spans="1:1">
      <c r="A31" s="13" t="s">
        <v>183</v>
      </c>
    </row>
    <row r="32" spans="1:1">
      <c r="A32" s="13" t="s">
        <v>184</v>
      </c>
    </row>
    <row r="33" spans="1:1">
      <c r="A33" s="13" t="s">
        <v>185</v>
      </c>
    </row>
    <row r="35" spans="1:1" ht="23.5">
      <c r="A35" s="54" t="s">
        <v>186</v>
      </c>
    </row>
    <row r="36" spans="1:1">
      <c r="A36" s="13"/>
    </row>
    <row r="37" spans="1:1">
      <c r="A37" s="13" t="s">
        <v>187</v>
      </c>
    </row>
    <row r="38" spans="1:1">
      <c r="A38" s="13" t="s">
        <v>188</v>
      </c>
    </row>
    <row r="40" spans="1:1" ht="17.5">
      <c r="A40" s="55" t="s">
        <v>189</v>
      </c>
    </row>
    <row r="41" spans="1:1">
      <c r="A41" s="13"/>
    </row>
    <row r="42" spans="1:1">
      <c r="A42" s="13" t="s">
        <v>190</v>
      </c>
    </row>
    <row r="43" spans="1:1">
      <c r="A43" s="13" t="s">
        <v>191</v>
      </c>
    </row>
    <row r="44" spans="1:1">
      <c r="A44" s="13" t="s">
        <v>192</v>
      </c>
    </row>
    <row r="46" spans="1:1" ht="17.5">
      <c r="A46" s="55" t="s">
        <v>193</v>
      </c>
    </row>
    <row r="47" spans="1:1">
      <c r="A47" s="13"/>
    </row>
    <row r="48" spans="1:1">
      <c r="A48" s="13" t="s">
        <v>194</v>
      </c>
    </row>
    <row r="49" spans="1:1">
      <c r="A49" s="13" t="s">
        <v>195</v>
      </c>
    </row>
    <row r="50" spans="1:1">
      <c r="A50" s="13" t="s">
        <v>196</v>
      </c>
    </row>
    <row r="52" spans="1:1" ht="17.5">
      <c r="A52" s="55" t="s">
        <v>197</v>
      </c>
    </row>
    <row r="53" spans="1:1">
      <c r="A53" s="13"/>
    </row>
    <row r="54" spans="1:1">
      <c r="A54" s="13" t="s">
        <v>198</v>
      </c>
    </row>
    <row r="55" spans="1:1">
      <c r="A55" s="13" t="s">
        <v>199</v>
      </c>
    </row>
    <row r="56" spans="1:1">
      <c r="A56" s="13" t="s">
        <v>200</v>
      </c>
    </row>
    <row r="57" spans="1:1">
      <c r="A57" s="13" t="s">
        <v>201</v>
      </c>
    </row>
    <row r="58" spans="1:1">
      <c r="A58" s="13" t="s">
        <v>202</v>
      </c>
    </row>
    <row r="59" spans="1:1">
      <c r="A59" s="13" t="s">
        <v>203</v>
      </c>
    </row>
    <row r="60" spans="1:1">
      <c r="A60" s="13" t="s">
        <v>204</v>
      </c>
    </row>
    <row r="62" spans="1:1" ht="23.5">
      <c r="A62" s="54" t="s">
        <v>205</v>
      </c>
    </row>
    <row r="64" spans="1:1" ht="17.5">
      <c r="A64" s="55" t="s">
        <v>206</v>
      </c>
    </row>
    <row r="65" spans="1:1">
      <c r="A65" s="13"/>
    </row>
    <row r="66" spans="1:1">
      <c r="A66" s="13" t="s">
        <v>207</v>
      </c>
    </row>
    <row r="67" spans="1:1">
      <c r="A67" s="13" t="s">
        <v>208</v>
      </c>
    </row>
    <row r="68" spans="1:1">
      <c r="A68" s="13" t="s">
        <v>209</v>
      </c>
    </row>
    <row r="69" spans="1:1">
      <c r="A69" s="13" t="s">
        <v>210</v>
      </c>
    </row>
    <row r="70" spans="1:1">
      <c r="A70" s="13" t="s">
        <v>211</v>
      </c>
    </row>
    <row r="72" spans="1:1" ht="17.5">
      <c r="A72" s="55" t="s">
        <v>212</v>
      </c>
    </row>
    <row r="73" spans="1:1">
      <c r="A73" s="13"/>
    </row>
    <row r="74" spans="1:1">
      <c r="A74" s="13" t="s">
        <v>213</v>
      </c>
    </row>
    <row r="75" spans="1:1">
      <c r="A75" s="13" t="s">
        <v>214</v>
      </c>
    </row>
    <row r="76" spans="1:1">
      <c r="A76" s="13" t="s">
        <v>215</v>
      </c>
    </row>
    <row r="77" spans="1:1">
      <c r="A77" s="13" t="s">
        <v>216</v>
      </c>
    </row>
    <row r="78" spans="1:1">
      <c r="A78" s="13" t="s">
        <v>217</v>
      </c>
    </row>
    <row r="79" spans="1:1">
      <c r="A79" s="13" t="s">
        <v>218</v>
      </c>
    </row>
    <row r="81" spans="1:1" ht="23.5">
      <c r="A81" s="54" t="s">
        <v>219</v>
      </c>
    </row>
    <row r="83" spans="1:1" ht="17.5">
      <c r="A83" s="55" t="s">
        <v>220</v>
      </c>
    </row>
    <row r="84" spans="1:1">
      <c r="A84" s="13"/>
    </row>
    <row r="85" spans="1:1">
      <c r="A85" s="13" t="s">
        <v>221</v>
      </c>
    </row>
    <row r="86" spans="1:1">
      <c r="A86" s="13" t="s">
        <v>222</v>
      </c>
    </row>
    <row r="87" spans="1:1">
      <c r="A87" s="13" t="s">
        <v>223</v>
      </c>
    </row>
    <row r="88" spans="1:1">
      <c r="A88" s="13" t="s">
        <v>224</v>
      </c>
    </row>
    <row r="89" spans="1:1">
      <c r="A89" s="13" t="s">
        <v>225</v>
      </c>
    </row>
    <row r="90" spans="1:1">
      <c r="A90" s="13" t="s">
        <v>226</v>
      </c>
    </row>
    <row r="91" spans="1:1">
      <c r="A91" s="13" t="s">
        <v>227</v>
      </c>
    </row>
    <row r="92" spans="1:1">
      <c r="A92" s="13" t="s">
        <v>228</v>
      </c>
    </row>
    <row r="94" spans="1:1" ht="17.5">
      <c r="A94" s="55" t="s">
        <v>229</v>
      </c>
    </row>
    <row r="95" spans="1:1">
      <c r="A95" s="13"/>
    </row>
    <row r="96" spans="1:1">
      <c r="A96" s="13" t="s">
        <v>230</v>
      </c>
    </row>
    <row r="97" spans="1:1">
      <c r="A97" s="13" t="s">
        <v>231</v>
      </c>
    </row>
    <row r="98" spans="1:1">
      <c r="A98" s="13" t="s">
        <v>232</v>
      </c>
    </row>
    <row r="100" spans="1:1" ht="17.5">
      <c r="A100" s="55" t="s">
        <v>233</v>
      </c>
    </row>
    <row r="101" spans="1:1">
      <c r="A101" s="13"/>
    </row>
    <row r="102" spans="1:1">
      <c r="A102" s="13" t="s">
        <v>234</v>
      </c>
    </row>
    <row r="103" spans="1:1">
      <c r="A103" s="13" t="s">
        <v>235</v>
      </c>
    </row>
    <row r="104" spans="1:1">
      <c r="A104" s="13" t="s">
        <v>236</v>
      </c>
    </row>
    <row r="105" spans="1:1">
      <c r="A105" s="13" t="s">
        <v>237</v>
      </c>
    </row>
    <row r="107" spans="1:1" ht="17.5">
      <c r="A107" s="55" t="s">
        <v>238</v>
      </c>
    </row>
    <row r="108" spans="1:1">
      <c r="A108" s="13"/>
    </row>
    <row r="109" spans="1:1">
      <c r="A109" s="13" t="s">
        <v>239</v>
      </c>
    </row>
    <row r="110" spans="1:1">
      <c r="A110" s="13" t="s">
        <v>240</v>
      </c>
    </row>
    <row r="112" spans="1:1" ht="17.5">
      <c r="A112" s="55" t="s">
        <v>241</v>
      </c>
    </row>
    <row r="113" spans="1:1">
      <c r="A113" s="13"/>
    </row>
    <row r="114" spans="1:1">
      <c r="A114" s="13" t="s">
        <v>242</v>
      </c>
    </row>
    <row r="115" spans="1:1">
      <c r="A115" s="13" t="s">
        <v>243</v>
      </c>
    </row>
    <row r="116" spans="1:1">
      <c r="A116" s="13" t="s">
        <v>244</v>
      </c>
    </row>
    <row r="118" spans="1:1" ht="17.5">
      <c r="A118" s="55" t="s">
        <v>245</v>
      </c>
    </row>
    <row r="119" spans="1:1">
      <c r="A119" s="13"/>
    </row>
    <row r="120" spans="1:1">
      <c r="A120" s="13" t="s">
        <v>246</v>
      </c>
    </row>
    <row r="121" spans="1:1">
      <c r="A121" s="13" t="s">
        <v>247</v>
      </c>
    </row>
    <row r="123" spans="1:1" ht="31">
      <c r="A123" s="52" t="s">
        <v>248</v>
      </c>
    </row>
    <row r="125" spans="1:1" ht="23.5">
      <c r="A125" s="54" t="s">
        <v>249</v>
      </c>
    </row>
    <row r="127" spans="1:1">
      <c r="A127" s="56" t="s">
        <v>250</v>
      </c>
    </row>
    <row r="128" spans="1:1">
      <c r="A128" s="13"/>
    </row>
    <row r="129" spans="1:1">
      <c r="A129" s="13" t="s">
        <v>251</v>
      </c>
    </row>
    <row r="130" spans="1:1">
      <c r="A130" s="13" t="s">
        <v>252</v>
      </c>
    </row>
    <row r="131" spans="1:1">
      <c r="A131" s="13" t="s">
        <v>253</v>
      </c>
    </row>
    <row r="132" spans="1:1">
      <c r="A132" s="13" t="s">
        <v>254</v>
      </c>
    </row>
    <row r="133" spans="1:1">
      <c r="A133" s="13" t="s">
        <v>255</v>
      </c>
    </row>
    <row r="134" spans="1:1">
      <c r="A134" s="13" t="s">
        <v>256</v>
      </c>
    </row>
    <row r="136" spans="1:1" ht="17.5">
      <c r="A136" s="55" t="s">
        <v>257</v>
      </c>
    </row>
    <row r="137" spans="1:1">
      <c r="A137" s="13"/>
    </row>
    <row r="138" spans="1:1">
      <c r="A138" s="13" t="s">
        <v>258</v>
      </c>
    </row>
    <row r="139" spans="1:1">
      <c r="A139" s="13" t="s">
        <v>259</v>
      </c>
    </row>
    <row r="140" spans="1:1">
      <c r="A140" s="13" t="s">
        <v>260</v>
      </c>
    </row>
    <row r="141" spans="1:1">
      <c r="A141" s="13" t="s">
        <v>261</v>
      </c>
    </row>
    <row r="143" spans="1:1" ht="17.5">
      <c r="A143" s="55" t="s">
        <v>262</v>
      </c>
    </row>
    <row r="144" spans="1:1">
      <c r="A144" s="13"/>
    </row>
    <row r="145" spans="1:1">
      <c r="A145" s="13" t="s">
        <v>263</v>
      </c>
    </row>
    <row r="146" spans="1:1">
      <c r="A146" s="13" t="s">
        <v>264</v>
      </c>
    </row>
    <row r="147" spans="1:1">
      <c r="A147" s="13" t="s">
        <v>265</v>
      </c>
    </row>
    <row r="148" spans="1:1">
      <c r="A148" s="13" t="s">
        <v>266</v>
      </c>
    </row>
    <row r="149" spans="1:1">
      <c r="A149" s="13" t="s">
        <v>267</v>
      </c>
    </row>
    <row r="151" spans="1:1" ht="17.5">
      <c r="A151" s="55" t="s">
        <v>268</v>
      </c>
    </row>
    <row r="152" spans="1:1">
      <c r="A152" s="13"/>
    </row>
    <row r="153" spans="1:1">
      <c r="A153" s="13" t="s">
        <v>269</v>
      </c>
    </row>
    <row r="154" spans="1:1">
      <c r="A154" s="13" t="s">
        <v>270</v>
      </c>
    </row>
    <row r="155" spans="1:1">
      <c r="A155" s="13" t="s">
        <v>271</v>
      </c>
    </row>
    <row r="156" spans="1:1">
      <c r="A156" s="13" t="s">
        <v>272</v>
      </c>
    </row>
    <row r="157" spans="1:1">
      <c r="A157" s="13" t="s">
        <v>273</v>
      </c>
    </row>
    <row r="158" spans="1:1">
      <c r="A158" s="13" t="s">
        <v>274</v>
      </c>
    </row>
    <row r="159" spans="1:1">
      <c r="A159" s="13" t="s">
        <v>275</v>
      </c>
    </row>
    <row r="160" spans="1:1">
      <c r="A160" s="13" t="s">
        <v>276</v>
      </c>
    </row>
    <row r="162" spans="1:1" ht="23.5">
      <c r="A162" s="54" t="s">
        <v>277</v>
      </c>
    </row>
    <row r="164" spans="1:1" ht="17.5">
      <c r="A164" s="55" t="s">
        <v>278</v>
      </c>
    </row>
    <row r="165" spans="1:1">
      <c r="A165" s="13"/>
    </row>
    <row r="166" spans="1:1">
      <c r="A166" s="13" t="s">
        <v>279</v>
      </c>
    </row>
    <row r="167" spans="1:1">
      <c r="A167" s="13" t="s">
        <v>280</v>
      </c>
    </row>
    <row r="168" spans="1:1">
      <c r="A168" s="13" t="s">
        <v>281</v>
      </c>
    </row>
    <row r="170" spans="1:1" ht="17.5">
      <c r="A170" s="55" t="s">
        <v>282</v>
      </c>
    </row>
    <row r="171" spans="1:1">
      <c r="A171" s="13"/>
    </row>
    <row r="172" spans="1:1">
      <c r="A172" s="13" t="s">
        <v>283</v>
      </c>
    </row>
    <row r="173" spans="1:1">
      <c r="A173" s="13" t="s">
        <v>284</v>
      </c>
    </row>
    <row r="174" spans="1:1">
      <c r="A174" s="13" t="s">
        <v>285</v>
      </c>
    </row>
    <row r="175" spans="1:1">
      <c r="A175" s="13" t="s">
        <v>286</v>
      </c>
    </row>
    <row r="177" spans="1:1" ht="17.5">
      <c r="A177" s="55" t="s">
        <v>287</v>
      </c>
    </row>
    <row r="178" spans="1:1">
      <c r="A178" s="13"/>
    </row>
    <row r="179" spans="1:1">
      <c r="A179" s="13" t="s">
        <v>288</v>
      </c>
    </row>
    <row r="180" spans="1:1">
      <c r="A180" s="13" t="s">
        <v>289</v>
      </c>
    </row>
    <row r="181" spans="1:1">
      <c r="A181" s="13" t="s">
        <v>290</v>
      </c>
    </row>
    <row r="182" spans="1:1">
      <c r="A182" s="13" t="s">
        <v>291</v>
      </c>
    </row>
    <row r="184" spans="1:1" ht="31">
      <c r="A184" s="52" t="s">
        <v>292</v>
      </c>
    </row>
    <row r="186" spans="1:1" ht="23.5">
      <c r="A186" s="54" t="s">
        <v>293</v>
      </c>
    </row>
    <row r="188" spans="1:1" ht="17.5">
      <c r="A188" s="55" t="s">
        <v>294</v>
      </c>
    </row>
    <row r="189" spans="1:1">
      <c r="A189" s="13"/>
    </row>
    <row r="190" spans="1:1">
      <c r="A190" s="13" t="s">
        <v>295</v>
      </c>
    </row>
    <row r="191" spans="1:1">
      <c r="A191" s="13" t="s">
        <v>296</v>
      </c>
    </row>
    <row r="192" spans="1:1">
      <c r="A192" s="13" t="s">
        <v>297</v>
      </c>
    </row>
    <row r="193" spans="1:1">
      <c r="A193" s="13" t="s">
        <v>298</v>
      </c>
    </row>
    <row r="194" spans="1:1">
      <c r="A194" s="13" t="s">
        <v>299</v>
      </c>
    </row>
    <row r="195" spans="1:1">
      <c r="A195" s="13" t="s">
        <v>300</v>
      </c>
    </row>
    <row r="197" spans="1:1" ht="17.5">
      <c r="A197" s="55" t="s">
        <v>301</v>
      </c>
    </row>
    <row r="198" spans="1:1">
      <c r="A198" s="13"/>
    </row>
    <row r="199" spans="1:1">
      <c r="A199" s="13" t="s">
        <v>302</v>
      </c>
    </row>
    <row r="200" spans="1:1">
      <c r="A200" s="13" t="s">
        <v>303</v>
      </c>
    </row>
    <row r="201" spans="1:1">
      <c r="A201" s="13" t="s">
        <v>304</v>
      </c>
    </row>
    <row r="202" spans="1:1">
      <c r="A202" s="13" t="s">
        <v>305</v>
      </c>
    </row>
    <row r="203" spans="1:1">
      <c r="A203" s="13" t="s">
        <v>306</v>
      </c>
    </row>
    <row r="204" spans="1:1">
      <c r="A204" s="13" t="s">
        <v>307</v>
      </c>
    </row>
    <row r="205" spans="1:1">
      <c r="A205" s="13" t="s">
        <v>308</v>
      </c>
    </row>
    <row r="206" spans="1:1">
      <c r="A206" s="13" t="s">
        <v>309</v>
      </c>
    </row>
    <row r="207" spans="1:1">
      <c r="A207" s="13" t="s">
        <v>310</v>
      </c>
    </row>
    <row r="208" spans="1:1">
      <c r="A208" s="13" t="s">
        <v>311</v>
      </c>
    </row>
    <row r="210" spans="1:1" ht="23.5">
      <c r="A210" s="54" t="s">
        <v>312</v>
      </c>
    </row>
    <row r="212" spans="1:1" ht="17.5">
      <c r="A212" s="55" t="s">
        <v>313</v>
      </c>
    </row>
    <row r="213" spans="1:1">
      <c r="A213" s="13"/>
    </row>
    <row r="214" spans="1:1">
      <c r="A214" s="13" t="s">
        <v>314</v>
      </c>
    </row>
    <row r="215" spans="1:1">
      <c r="A215" s="13" t="s">
        <v>315</v>
      </c>
    </row>
    <row r="216" spans="1:1">
      <c r="A216" s="13" t="s">
        <v>316</v>
      </c>
    </row>
    <row r="218" spans="1:1" ht="17.5">
      <c r="A218" s="55" t="s">
        <v>317</v>
      </c>
    </row>
    <row r="219" spans="1:1">
      <c r="A219" s="13"/>
    </row>
    <row r="220" spans="1:1">
      <c r="A220" s="13" t="s">
        <v>318</v>
      </c>
    </row>
    <row r="221" spans="1:1">
      <c r="A221" s="13" t="s">
        <v>319</v>
      </c>
    </row>
    <row r="222" spans="1:1">
      <c r="A222" s="13" t="s">
        <v>320</v>
      </c>
    </row>
    <row r="223" spans="1:1">
      <c r="A223" s="13" t="s">
        <v>321</v>
      </c>
    </row>
    <row r="224" spans="1:1">
      <c r="A224" s="13" t="s">
        <v>322</v>
      </c>
    </row>
    <row r="226" spans="1:1" ht="17.5">
      <c r="A226" s="55" t="s">
        <v>323</v>
      </c>
    </row>
    <row r="227" spans="1:1">
      <c r="A227" s="13"/>
    </row>
    <row r="228" spans="1:1">
      <c r="A228" s="13" t="s">
        <v>324</v>
      </c>
    </row>
    <row r="229" spans="1:1">
      <c r="A229" s="13" t="s">
        <v>325</v>
      </c>
    </row>
    <row r="230" spans="1:1">
      <c r="A230" s="13" t="s">
        <v>326</v>
      </c>
    </row>
    <row r="231" spans="1:1">
      <c r="A231" s="13" t="s">
        <v>327</v>
      </c>
    </row>
    <row r="233" spans="1:1" ht="17.5">
      <c r="A233" s="55" t="s">
        <v>328</v>
      </c>
    </row>
    <row r="234" spans="1:1">
      <c r="A234" s="13"/>
    </row>
    <row r="235" spans="1:1">
      <c r="A235" s="13" t="s">
        <v>329</v>
      </c>
    </row>
    <row r="237" spans="1:1" ht="17.5">
      <c r="A237" s="55" t="s">
        <v>330</v>
      </c>
    </row>
    <row r="238" spans="1:1">
      <c r="A238" s="13"/>
    </row>
    <row r="239" spans="1:1">
      <c r="A239" s="13" t="s">
        <v>331</v>
      </c>
    </row>
    <row r="240" spans="1:1">
      <c r="A240" s="13" t="s">
        <v>332</v>
      </c>
    </row>
    <row r="241" spans="1:1">
      <c r="A241" s="13" t="s">
        <v>333</v>
      </c>
    </row>
    <row r="242" spans="1:1">
      <c r="A242" s="13" t="s">
        <v>334</v>
      </c>
    </row>
    <row r="243" spans="1:1">
      <c r="A243" s="13" t="s">
        <v>335</v>
      </c>
    </row>
    <row r="244" spans="1:1">
      <c r="A244" s="13" t="s">
        <v>336</v>
      </c>
    </row>
    <row r="245" spans="1:1">
      <c r="A245" s="13" t="s">
        <v>337</v>
      </c>
    </row>
    <row r="247" spans="1:1" ht="31">
      <c r="A247" s="52" t="s">
        <v>338</v>
      </c>
    </row>
    <row r="249" spans="1:1" ht="23.5">
      <c r="A249" s="54" t="s">
        <v>339</v>
      </c>
    </row>
    <row r="251" spans="1:1" ht="17.5">
      <c r="A251" s="55" t="s">
        <v>340</v>
      </c>
    </row>
    <row r="252" spans="1:1">
      <c r="A252" s="13"/>
    </row>
    <row r="253" spans="1:1">
      <c r="A253" s="13" t="s">
        <v>341</v>
      </c>
    </row>
    <row r="254" spans="1:1">
      <c r="A254" s="13" t="s">
        <v>342</v>
      </c>
    </row>
    <row r="255" spans="1:1">
      <c r="A255" s="13" t="s">
        <v>343</v>
      </c>
    </row>
    <row r="256" spans="1:1">
      <c r="A256" s="13" t="s">
        <v>344</v>
      </c>
    </row>
    <row r="258" spans="1:1" ht="17.5">
      <c r="A258" s="55" t="s">
        <v>345</v>
      </c>
    </row>
    <row r="259" spans="1:1">
      <c r="A259" s="13"/>
    </row>
    <row r="260" spans="1:1">
      <c r="A260" s="13" t="s">
        <v>346</v>
      </c>
    </row>
    <row r="261" spans="1:1">
      <c r="A261" s="13" t="s">
        <v>347</v>
      </c>
    </row>
    <row r="262" spans="1:1">
      <c r="A262" s="13" t="s">
        <v>348</v>
      </c>
    </row>
    <row r="263" spans="1:1">
      <c r="A263" s="13" t="s">
        <v>349</v>
      </c>
    </row>
    <row r="264" spans="1:1">
      <c r="A264" s="13" t="s">
        <v>350</v>
      </c>
    </row>
    <row r="265" spans="1:1">
      <c r="A265" s="13" t="s">
        <v>351</v>
      </c>
    </row>
    <row r="266" spans="1:1">
      <c r="A266" s="13" t="s">
        <v>352</v>
      </c>
    </row>
    <row r="267" spans="1:1">
      <c r="A267" s="13" t="s">
        <v>353</v>
      </c>
    </row>
    <row r="268" spans="1:1">
      <c r="A268" s="13" t="s">
        <v>354</v>
      </c>
    </row>
    <row r="269" spans="1:1">
      <c r="A269" s="13" t="s">
        <v>355</v>
      </c>
    </row>
    <row r="270" spans="1:1">
      <c r="A270" s="13" t="s">
        <v>356</v>
      </c>
    </row>
    <row r="271" spans="1:1">
      <c r="A271" s="13" t="s">
        <v>357</v>
      </c>
    </row>
    <row r="272" spans="1:1">
      <c r="A272" s="13" t="s">
        <v>358</v>
      </c>
    </row>
    <row r="273" spans="1:1">
      <c r="A273" s="13" t="s">
        <v>359</v>
      </c>
    </row>
    <row r="274" spans="1:1">
      <c r="A274" s="13" t="s">
        <v>360</v>
      </c>
    </row>
    <row r="276" spans="1:1" ht="23.5">
      <c r="A276" s="54" t="s">
        <v>361</v>
      </c>
    </row>
    <row r="278" spans="1:1" ht="17.5">
      <c r="A278" s="55" t="s">
        <v>362</v>
      </c>
    </row>
    <row r="279" spans="1:1">
      <c r="A279" s="13"/>
    </row>
    <row r="280" spans="1:1">
      <c r="A280" s="13" t="s">
        <v>363</v>
      </c>
    </row>
    <row r="281" spans="1:1">
      <c r="A281" s="13" t="s">
        <v>364</v>
      </c>
    </row>
    <row r="282" spans="1:1">
      <c r="A282" s="13" t="s">
        <v>365</v>
      </c>
    </row>
    <row r="284" spans="1:1" ht="17.5">
      <c r="A284" s="55" t="s">
        <v>366</v>
      </c>
    </row>
    <row r="285" spans="1:1">
      <c r="A285" s="13"/>
    </row>
    <row r="286" spans="1:1">
      <c r="A286" s="13" t="s">
        <v>367</v>
      </c>
    </row>
    <row r="287" spans="1:1">
      <c r="A287" s="13" t="s">
        <v>368</v>
      </c>
    </row>
    <row r="288" spans="1:1">
      <c r="A288" s="13" t="s">
        <v>369</v>
      </c>
    </row>
    <row r="290" spans="1:1" ht="17.5">
      <c r="A290" s="55" t="s">
        <v>370</v>
      </c>
    </row>
    <row r="291" spans="1:1">
      <c r="A291" s="13"/>
    </row>
    <row r="292" spans="1:1">
      <c r="A292" s="13" t="s">
        <v>371</v>
      </c>
    </row>
    <row r="293" spans="1:1">
      <c r="A293" s="13" t="s">
        <v>372</v>
      </c>
    </row>
    <row r="294" spans="1:1">
      <c r="A294" s="13" t="s">
        <v>373</v>
      </c>
    </row>
  </sheetData>
  <hyperlinks>
    <hyperlink ref="A3" r:id="rId1" display="https://drive.google.com/drive/folders/1wT64h4QBNpQQ4rS5M9voY5Y-4cv-RYE7?usp=drive_link" xr:uid="{457D9016-58CB-4F24-8205-4E1827734814}"/>
    <hyperlink ref="A4" r:id="rId2" display="https://linktr.ee/fmpmpromo22.23?utm_source=linktree_profile_share&amp;ltsid=7999f4e4-83d4-4378-9791-10389cf2335d" xr:uid="{B8311554-D0C9-4DBC-A794-3F1C8058D5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S8</vt:lpstr>
      <vt:lpstr>AIO</vt:lpstr>
      <vt:lpstr>Hebdomadaire</vt:lpstr>
      <vt:lpstr>Sheet2</vt:lpstr>
      <vt:lpstr>Guide</vt:lpstr>
      <vt:lpstr>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</dc:creator>
  <cp:lastModifiedBy>tool</cp:lastModifiedBy>
  <dcterms:created xsi:type="dcterms:W3CDTF">2026-02-10T12:46:37Z</dcterms:created>
  <dcterms:modified xsi:type="dcterms:W3CDTF">2026-02-10T15:33:44Z</dcterms:modified>
</cp:coreProperties>
</file>