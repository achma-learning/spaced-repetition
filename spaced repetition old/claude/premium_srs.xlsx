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📈 Dashboard" sheetId="1" state="visible" r:id="rId3"/>
    <sheet name="📚 My Reviews" sheetId="2" state="visible" r:id="rId4"/>
    <sheet name="📊 Review History" sheetId="3" state="visible" r:id="rId5"/>
    <sheet name="❓ Quick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<sst xmlns="http://schemas.openxmlformats.org/spreadsheetml/2006/main" count="123" uniqueCount="109">
  <si>
    <t xml:space="preserve">📈 YOUR LEARNING DASHBOARD</t>
  </si>
  <si>
    <t xml:space="preserve">Today:</t>
  </si>
  <si>
    <t xml:space="preserve">📊 REVIEW STATUS</t>
  </si>
  <si>
    <t xml:space="preserve">🔴 Overdue:</t>
  </si>
  <si>
    <t xml:space="preserve">🟡 Due Today:</t>
  </si>
  <si>
    <t xml:space="preserve">🟠 Due Soon (≤2d):</t>
  </si>
  <si>
    <t xml:space="preserve">🟢 Scheduled:</t>
  </si>
  <si>
    <t xml:space="preserve">✅ Mastered:</t>
  </si>
  <si>
    <t xml:space="preserve">📚 LEARNING PROGRESS</t>
  </si>
  <si>
    <t xml:space="preserve">Total Active Cards:</t>
  </si>
  <si>
    <t xml:space="preserve">Reviews Completed:</t>
  </si>
  <si>
    <t xml:space="preserve">Avg Reviews/Day:</t>
  </si>
  <si>
    <t xml:space="preserve">Retention Rate:</t>
  </si>
  <si>
    <t xml:space="preserve">📅 PREDICTED WORKLOAD (Next 7 Days)</t>
  </si>
  <si>
    <t xml:space="preserve">Date</t>
  </si>
  <si>
    <t xml:space="preserve">Day</t>
  </si>
  <si>
    <t xml:space="preserve">Reviews Due</t>
  </si>
  <si>
    <t xml:space="preserve">Today</t>
  </si>
  <si>
    <t xml:space="preserve">Tomorrow</t>
  </si>
  <si>
    <t xml:space="preserve">Day +2</t>
  </si>
  <si>
    <t xml:space="preserve">Day +3</t>
  </si>
  <si>
    <t xml:space="preserve">Day +4</t>
  </si>
  <si>
    <t xml:space="preserve">Day +5</t>
  </si>
  <si>
    <t xml:space="preserve">Day +6</t>
  </si>
  <si>
    <t xml:space="preserve">⚡ DAILY WORKFLOW (3 SECONDS PER CARD)</t>
  </si>
  <si>
    <t xml:space="preserve">💡 PRO TIPS</t>
  </si>
  <si>
    <t xml:space="preserve">1. Open "📚 My Reviews" sheet</t>
  </si>
  <si>
    <t xml:space="preserve">⌨️ Ctrl+; = Today's date</t>
  </si>
  <si>
    <t xml:space="preserve">2. Filter Status: 🔴 OVERDUE or 🟡 TODAY</t>
  </si>
  <si>
    <t xml:space="preserve">🔍 Ctrl+Shift+L = Toggle filter</t>
  </si>
  <si>
    <t xml:space="preserve">3. For each lesson:</t>
  </si>
  <si>
    <t xml:space="preserve">📋 Ctrl+C/V = Copy/Paste</t>
  </si>
  <si>
    <t xml:space="preserve">   ✓ Study the material</t>
  </si>
  <si>
    <t xml:space="preserve">🎯 20 reviews/day = sustainable</t>
  </si>
  <si>
    <t xml:space="preserve">   ✓ Select "✅ DONE" in Mark column</t>
  </si>
  <si>
    <t xml:space="preserve">🏆 Step 7 = Mastered!</t>
  </si>
  <si>
    <t xml:space="preserve">   ✓ Increase Step by +1 (e.g., 2 → 3)</t>
  </si>
  <si>
    <t xml:space="preserve">📊 Track in History sheet</t>
  </si>
  <si>
    <t xml:space="preserve">   ✓ Copy date from "Quick Date" → paste in "Last Review"</t>
  </si>
  <si>
    <t xml:space="preserve">⚡ Consistency &gt; Volume</t>
  </si>
  <si>
    <t xml:space="preserve">   ✓ (Or press Ctrl+; in Last Review)</t>
  </si>
  <si>
    <t xml:space="preserve">4. Done! Next Review auto-calculates</t>
  </si>
  <si>
    <t xml:space="preserve">5. Optional: Copy row to Review History for tracking</t>
  </si>
  <si>
    <t xml:space="preserve">📚 SPACED REPETITION TRACKER</t>
  </si>
  <si>
    <t xml:space="preserve">⚡ QUICK START: 1) Mark DONE → 2) Step +1 → 3) Press Ctrl+; in "Last Review" → Done! (3 seconds per card)</t>
  </si>
  <si>
    <t xml:space="preserve">Topic</t>
  </si>
  <si>
    <t xml:space="preserve">Lesson</t>
  </si>
  <si>
    <t xml:space="preserve">Step</t>
  </si>
  <si>
    <t xml:space="preserve">Last Review</t>
  </si>
  <si>
    <t xml:space="preserve">Next Review</t>
  </si>
  <si>
    <t xml:space="preserve">Days</t>
  </si>
  <si>
    <t xml:space="preserve">Status</t>
  </si>
  <si>
    <t xml:space="preserve">Mark</t>
  </si>
  <si>
    <t xml:space="preserve">Quick Date</t>
  </si>
  <si>
    <t xml:space="preserve">Anatomy</t>
  </si>
  <si>
    <t xml:space="preserve">Heart chambers &amp; valves</t>
  </si>
  <si>
    <t xml:space="preserve">Microbiology</t>
  </si>
  <si>
    <t xml:space="preserve">Viral replication cycle</t>
  </si>
  <si>
    <t xml:space="preserve">Pharmacology</t>
  </si>
  <si>
    <t xml:space="preserve">Benzodiazepine mechanism</t>
  </si>
  <si>
    <t xml:space="preserve">Physiology</t>
  </si>
  <si>
    <t xml:space="preserve">Cardiac conduction system</t>
  </si>
  <si>
    <t xml:space="preserve">📊 REVIEW HISTORY LOG</t>
  </si>
  <si>
    <t xml:space="preserve">Automatic log of all your reviews. Copy rows from main sheet when you complete them!</t>
  </si>
  <si>
    <t xml:space="preserve">Step Completed</t>
  </si>
  <si>
    <t xml:space="preserve">Step 1 → 2</t>
  </si>
  <si>
    <t xml:space="preserve">Step 2 → 3</t>
  </si>
  <si>
    <t xml:space="preserve">❓ QUICK GUIDE - How Everything Works</t>
  </si>
  <si>
    <t xml:space="preserve">🎯 THE 3-SECOND REVIEW PROCESS</t>
  </si>
  <si>
    <t xml:space="preserve">1️⃣ Mark "✅ DONE" in column H</t>
  </si>
  <si>
    <t xml:space="preserve">   → Row highlights yellow</t>
  </si>
  <si>
    <t xml:space="preserve">   → "Quick Date" shows today automatically</t>
  </si>
  <si>
    <t xml:space="preserve">2️⃣ Increase Step by +1</t>
  </si>
  <si>
    <t xml:space="preserve">   → Example: 2 becomes 3</t>
  </si>
  <si>
    <t xml:space="preserve">3️⃣ Copy date from "Quick Date" (column I) → Paste in "Last Review" (column D)</t>
  </si>
  <si>
    <t xml:space="preserve">   → OR just press Ctrl+; in "Last Review"</t>
  </si>
  <si>
    <t xml:space="preserve">✨ Next Review auto-calculates!</t>
  </si>
  <si>
    <t xml:space="preserve">✨ Status updates automatically!</t>
  </si>
  <si>
    <t xml:space="preserve">📋 INTERVAL SCHEDULE</t>
  </si>
  <si>
    <t xml:space="preserve">Why This Works</t>
  </si>
  <si>
    <t xml:space="preserve">0</t>
  </si>
  <si>
    <t xml:space="preserve">First exposure - learn it</t>
  </si>
  <si>
    <t xml:space="preserve">1</t>
  </si>
  <si>
    <t xml:space="preserve">+1 day</t>
  </si>
  <si>
    <t xml:space="preserve">Recall while fresh</t>
  </si>
  <si>
    <t xml:space="preserve">2</t>
  </si>
  <si>
    <t xml:space="preserve">+3 days</t>
  </si>
  <si>
    <t xml:space="preserve">First spacing gap</t>
  </si>
  <si>
    <t xml:space="preserve">3</t>
  </si>
  <si>
    <t xml:space="preserve">+7 days</t>
  </si>
  <si>
    <t xml:space="preserve">One week test</t>
  </si>
  <si>
    <t xml:space="preserve">4</t>
  </si>
  <si>
    <t xml:space="preserve">+15 days</t>
  </si>
  <si>
    <t xml:space="preserve">Two week retention</t>
  </si>
  <si>
    <t xml:space="preserve">5</t>
  </si>
  <si>
    <t xml:space="preserve">+30 days</t>
  </si>
  <si>
    <t xml:space="preserve">One month - entering long-term</t>
  </si>
  <si>
    <t xml:space="preserve">6</t>
  </si>
  <si>
    <t xml:space="preserve">+60 days</t>
  </si>
  <si>
    <t xml:space="preserve">Two months - solidifying</t>
  </si>
  <si>
    <t xml:space="preserve">7</t>
  </si>
  <si>
    <t xml:space="preserve">+90 days</t>
  </si>
  <si>
    <t xml:space="preserve">✅ MASTERED - review quarterly</t>
  </si>
  <si>
    <t xml:space="preserve">🧠 WHY SPACED REPETITION WORKS</t>
  </si>
  <si>
    <t xml:space="preserve">✓ Fights the forgetting curve - reviews happen just before you forget</t>
  </si>
  <si>
    <t xml:space="preserve">✓ Builds long-term memory - moves info from short to permanent storage</t>
  </si>
  <si>
    <t xml:space="preserve">✓ Efficient - focus time on what you're about to forget</t>
  </si>
  <si>
    <t xml:space="preserve">✓ Proven - used by med students worldwide (Anki has 100M+ downloads)</t>
  </si>
  <si>
    <t xml:space="preserve">✓ Sustainable - 20 cards/day = 7,300 cards/year with high retention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</si>
</sst>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3"/>
      <color rgb="FFFF6600"/>
      <name val="Cambria"/>
      <family val="0"/>
      <charset val="1"/>
    </font>
    <font>
      <b val="true"/>
      <sz val="13"/>
      <color rgb="FFFF9900"/>
      <name val="Cambria"/>
      <family val="0"/>
      <charset val="1"/>
    </font>
    <font>
      <b val="true"/>
      <sz val="13"/>
      <color rgb="FF00B050"/>
      <name val="Cambria"/>
      <family val="0"/>
      <charset val="1"/>
    </font>
    <font>
      <b val="true"/>
      <sz val="13"/>
      <color rgb="FF808080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2"/>
      <color rgb="FF00B05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b val="true"/>
      <u val="single"/>
      <sz val="12"/>
      <color rgb="FF1F4788"/>
      <name val="Cambria"/>
      <family val="0"/>
      <charset val="1"/>
    </font>
    <font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Cambria"/>
      <family val="0"/>
      <charset val="1"/>
    </font>
    <font>
      <b val="true"/>
      <i val="true"/>
      <sz val="9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3"/>
      <color rgb="FF1F4788"/>
      <name val="Cambria"/>
      <family val="0"/>
      <charset val="1"/>
    </font>
    <font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366092"/>
        <bgColor rgb="FF1F4788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366092"/>
      <rgbColor rgb="FF878787"/>
      <rgbColor rgb="FF003366"/>
      <rgbColor rgb="FF00B050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Reviews Due (Next 7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Dashboard'!C18</c:f>
              <c:strCache>
                <c:ptCount val="1"/>
                <c:pt idx="0">
                  <c:v>Reviews Due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Dashboard'!$B$19:$B$25</c:f>
              <c:strCache>
                <c:ptCount val="7"/>
                <c:pt idx="0">
                  <c:v>Today</c:v>
                </c:pt>
                <c:pt idx="1">
                  <c:v>Tomorrow</c:v>
                </c:pt>
                <c:pt idx="2">
                  <c:v>Day +2</c:v>
                </c:pt>
                <c:pt idx="3">
                  <c:v>Day +3</c:v>
                </c:pt>
                <c:pt idx="4">
                  <c:v>Day +4</c:v>
                </c:pt>
                <c:pt idx="5">
                  <c:v>Day +5</c:v>
                </c:pt>
                <c:pt idx="6">
                  <c:v>Day +6</c:v>
                </c:pt>
              </c:strCache>
            </c:strRef>
          </c:cat>
          <c:val>
            <c:numRef>
              <c:f>'📈 Dashboard'!$C$19:$C$25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70887120"/>
        <c:axId val="67103055"/>
      </c:barChart>
      <c:catAx>
        <c:axId val="70887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03055"/>
        <c:crosses val="autoZero"/>
        <c:auto val="1"/>
        <c:lblAlgn val="ctr"/>
        <c:lblOffset val="100"/>
        <c:noMultiLvlLbl val="0"/>
      </c:catAx>
      <c:valAx>
        <c:axId val="67103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87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15</xdr:col>
      <xdr:colOff>473040</xdr:colOff>
      <xdr:row>19</xdr:row>
      <xdr:rowOff>106920</xdr:rowOff>
    </xdr:to>
    <xdr:graphicFrame>
      <xdr:nvGraphicFramePr>
        <xdr:cNvPr id="0" name="Chart 1"/>
        <xdr:cNvGraphicFramePr/>
      </xdr:nvGraphicFramePr>
      <xdr:xfrm>
        <a:off x="3571920" y="819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</v>
      </c>
      <c r="B2" s="2" t="str">
        <f aca="true">TEXT(TODAY(),"DD/MM/YYYY")</f>
        <v>09/02/2026</v>
      </c>
    </row>
    <row r="4" customFormat="false" ht="24.75" hidden="false" customHeight="true" outlineLevel="0" collapsed="false">
      <c r="A4" s="3" t="s">
        <v>2</v>
      </c>
      <c r="B4" s="3"/>
    </row>
    <row r="5" customFormat="false" ht="16.15" hidden="false" customHeight="false" outlineLevel="0" collapsed="false">
      <c r="A5" s="4" t="s">
        <v>3</v>
      </c>
      <c r="B5" s="5" t="n">
        <f aca="false">COUNTIF('📚 My Reviews'!$G:$G,"🔴 OVERDUE")</f>
        <v>1</v>
      </c>
    </row>
    <row r="6" customFormat="false" ht="16.15" hidden="false" customHeight="false" outlineLevel="0" collapsed="false">
      <c r="A6" s="4" t="s">
        <v>4</v>
      </c>
      <c r="B6" s="6" t="n">
        <f aca="false">COUNTIF('📚 My Reviews'!$G:$G,"🟡 TODAY")</f>
        <v>2</v>
      </c>
    </row>
    <row r="7" customFormat="false" ht="16.15" hidden="false" customHeight="false" outlineLevel="0" collapsed="false">
      <c r="A7" s="4" t="s">
        <v>5</v>
      </c>
      <c r="B7" s="7" t="n">
        <f aca="false">COUNTIF('📚 My Reviews'!$G:$G,"🟠 SOON")</f>
        <v>0</v>
      </c>
    </row>
    <row r="8" customFormat="false" ht="16.15" hidden="false" customHeight="false" outlineLevel="0" collapsed="false">
      <c r="A8" s="4" t="s">
        <v>6</v>
      </c>
      <c r="B8" s="8" t="n">
        <f aca="false">COUNTIF('📚 My Reviews'!$G:$G,"🟢 Later")</f>
        <v>1</v>
      </c>
    </row>
    <row r="9" customFormat="false" ht="16.15" hidden="false" customHeight="false" outlineLevel="0" collapsed="false">
      <c r="A9" s="4" t="s">
        <v>7</v>
      </c>
      <c r="B9" s="9" t="n">
        <f aca="false">COUNTIF('📚 My Reviews'!$G:$G,"✅ Mastered")</f>
        <v>0</v>
      </c>
    </row>
    <row r="11" customFormat="false" ht="24.75" hidden="false" customHeight="true" outlineLevel="0" collapsed="false">
      <c r="A11" s="3" t="s">
        <v>8</v>
      </c>
      <c r="B11" s="3"/>
    </row>
    <row r="12" customFormat="false" ht="15" hidden="false" customHeight="false" outlineLevel="0" collapsed="false">
      <c r="A12" s="4" t="s">
        <v>9</v>
      </c>
      <c r="B12" s="10" t="n">
        <f aca="false">COUNTA('📚 My Reviews'!$A:$A)-3</f>
        <v>4</v>
      </c>
    </row>
    <row r="13" customFormat="false" ht="15" hidden="false" customHeight="false" outlineLevel="0" collapsed="false">
      <c r="A13" s="4" t="s">
        <v>10</v>
      </c>
      <c r="B13" s="11" t="n">
        <f aca="false">COUNTA('📊 Review History'!$A:$A)-3</f>
        <v>3</v>
      </c>
    </row>
    <row r="14" customFormat="false" ht="15" hidden="false" customHeight="false" outlineLevel="0" collapsed="false">
      <c r="A14" s="4" t="s">
        <v>11</v>
      </c>
      <c r="B14" s="11" t="n">
        <f aca="false">IF(COUNTA('📊 Review History'!$A:$A)&lt;=3,0,ROUND(COUNTA('📊 Review History'!$A:$A)/30,1))</f>
        <v>0.2</v>
      </c>
    </row>
    <row r="15" customFormat="false" ht="15" hidden="false" customHeight="false" outlineLevel="0" collapsed="false">
      <c r="A15" s="4" t="s">
        <v>12</v>
      </c>
      <c r="B15" s="12" t="str">
        <f aca="false">"Calculated from history"</f>
        <v>Calculated from history</v>
      </c>
    </row>
    <row r="17" customFormat="false" ht="24.75" hidden="false" customHeight="true" outlineLevel="0" collapsed="false">
      <c r="A17" s="3" t="s">
        <v>13</v>
      </c>
      <c r="B17" s="3"/>
      <c r="C17" s="3"/>
    </row>
    <row r="18" customFormat="false" ht="15" hidden="false" customHeight="false" outlineLevel="0" collapsed="false">
      <c r="A18" s="13" t="s">
        <v>14</v>
      </c>
      <c r="B18" s="13" t="s">
        <v>15</v>
      </c>
      <c r="C18" s="13" t="s">
        <v>16</v>
      </c>
    </row>
    <row r="19" customFormat="false" ht="15" hidden="false" customHeight="false" outlineLevel="0" collapsed="false">
      <c r="A19" s="14" t="str">
        <f aca="true">TEXT(TODAY()+0,"DD/MM/YYYY")</f>
        <v>09/02/2026</v>
      </c>
      <c r="B19" s="14" t="s">
        <v>17</v>
      </c>
      <c r="C19" s="15" t="n">
        <f aca="true">COUNTIF('📚 My Reviews'!$E:$E,TODAY()+0)</f>
        <v>2</v>
      </c>
    </row>
    <row r="20" customFormat="false" ht="15" hidden="false" customHeight="false" outlineLevel="0" collapsed="false">
      <c r="A20" s="14" t="str">
        <f aca="true">TEXT(TODAY()+1,"DD/MM/YYYY")</f>
        <v>10/02/2026</v>
      </c>
      <c r="B20" s="14" t="s">
        <v>18</v>
      </c>
      <c r="C20" s="15" t="n">
        <f aca="true">COUNTIF('📚 My Reviews'!$E:$E,TODAY()+1)</f>
        <v>0</v>
      </c>
    </row>
    <row r="21" customFormat="false" ht="15" hidden="false" customHeight="false" outlineLevel="0" collapsed="false">
      <c r="A21" s="14" t="str">
        <f aca="true">TEXT(TODAY()+2,"DD/MM/YYYY")</f>
        <v>11/02/2026</v>
      </c>
      <c r="B21" s="14" t="s">
        <v>19</v>
      </c>
      <c r="C21" s="15" t="n">
        <f aca="true">COUNTIF('📚 My Reviews'!$E:$E,TODAY()+2)</f>
        <v>0</v>
      </c>
    </row>
    <row r="22" customFormat="false" ht="15" hidden="false" customHeight="false" outlineLevel="0" collapsed="false">
      <c r="A22" s="14" t="str">
        <f aca="true">TEXT(TODAY()+3,"DD/MM/YYYY")</f>
        <v>12/02/2026</v>
      </c>
      <c r="B22" s="14" t="s">
        <v>20</v>
      </c>
      <c r="C22" s="15" t="n">
        <f aca="true">COUNTIF('📚 My Reviews'!$E:$E,TODAY()+3)</f>
        <v>0</v>
      </c>
    </row>
    <row r="23" customFormat="false" ht="15" hidden="false" customHeight="false" outlineLevel="0" collapsed="false">
      <c r="A23" s="14" t="str">
        <f aca="true">TEXT(TODAY()+4,"DD/MM/YYYY")</f>
        <v>13/02/2026</v>
      </c>
      <c r="B23" s="14" t="s">
        <v>21</v>
      </c>
      <c r="C23" s="15" t="n">
        <f aca="true">COUNTIF('📚 My Reviews'!$E:$E,TODAY()+4)</f>
        <v>0</v>
      </c>
    </row>
    <row r="24" customFormat="false" ht="15" hidden="false" customHeight="false" outlineLevel="0" collapsed="false">
      <c r="A24" s="14" t="str">
        <f aca="true">TEXT(TODAY()+5,"DD/MM/YYYY")</f>
        <v>14/02/2026</v>
      </c>
      <c r="B24" s="14" t="s">
        <v>22</v>
      </c>
      <c r="C24" s="15" t="n">
        <f aca="true">COUNTIF('📚 My Reviews'!$E:$E,TODAY()+5)</f>
        <v>0</v>
      </c>
    </row>
    <row r="25" customFormat="false" ht="15" hidden="false" customHeight="false" outlineLevel="0" collapsed="false">
      <c r="A25" s="14" t="str">
        <f aca="true">TEXT(TODAY()+6,"DD/MM/YYYY")</f>
        <v>15/02/2026</v>
      </c>
      <c r="B25" s="14" t="s">
        <v>23</v>
      </c>
      <c r="C25" s="15" t="n">
        <f aca="true">COUNTIF('📚 My Reviews'!$E:$E,TODAY()+6)</f>
        <v>0</v>
      </c>
    </row>
    <row r="27" customFormat="false" ht="15" hidden="false" customHeight="false" outlineLevel="0" collapsed="false">
      <c r="A27" s="16" t="s">
        <v>24</v>
      </c>
      <c r="B27" s="16"/>
      <c r="C27" s="16"/>
      <c r="E27" s="17" t="s">
        <v>25</v>
      </c>
    </row>
    <row r="28" customFormat="false" ht="15" hidden="false" customHeight="false" outlineLevel="0" collapsed="false">
      <c r="A28" s="18" t="s">
        <v>26</v>
      </c>
      <c r="B28" s="18"/>
      <c r="C28" s="18"/>
      <c r="E28" s="19" t="s">
        <v>27</v>
      </c>
    </row>
    <row r="29" customFormat="false" ht="15" hidden="false" customHeight="false" outlineLevel="0" collapsed="false">
      <c r="A29" s="18" t="s">
        <v>28</v>
      </c>
      <c r="B29" s="18"/>
      <c r="C29" s="18"/>
      <c r="E29" s="19" t="s">
        <v>29</v>
      </c>
    </row>
    <row r="30" customFormat="false" ht="15" hidden="false" customHeight="false" outlineLevel="0" collapsed="false">
      <c r="A30" s="18" t="s">
        <v>30</v>
      </c>
      <c r="B30" s="18"/>
      <c r="C30" s="18"/>
      <c r="E30" s="19" t="s">
        <v>31</v>
      </c>
    </row>
    <row r="31" customFormat="false" ht="15" hidden="false" customHeight="false" outlineLevel="0" collapsed="false">
      <c r="A31" s="18" t="s">
        <v>32</v>
      </c>
      <c r="B31" s="18"/>
      <c r="C31" s="18"/>
      <c r="E31" s="19" t="s">
        <v>33</v>
      </c>
    </row>
    <row r="32" customFormat="false" ht="15" hidden="false" customHeight="false" outlineLevel="0" collapsed="false">
      <c r="A32" s="18" t="s">
        <v>34</v>
      </c>
      <c r="B32" s="18"/>
      <c r="C32" s="18"/>
      <c r="E32" s="19" t="s">
        <v>35</v>
      </c>
    </row>
    <row r="33" customFormat="false" ht="15" hidden="false" customHeight="false" outlineLevel="0" collapsed="false">
      <c r="A33" s="18" t="s">
        <v>36</v>
      </c>
      <c r="B33" s="18"/>
      <c r="C33" s="18"/>
      <c r="E33" s="19" t="s">
        <v>37</v>
      </c>
    </row>
    <row r="34" customFormat="false" ht="15" hidden="false" customHeight="false" outlineLevel="0" collapsed="false">
      <c r="A34" s="18" t="s">
        <v>38</v>
      </c>
      <c r="B34" s="18"/>
      <c r="C34" s="18"/>
      <c r="E34" s="19" t="s">
        <v>39</v>
      </c>
    </row>
    <row r="35" customFormat="false" ht="15" hidden="false" customHeight="false" outlineLevel="0" collapsed="false">
      <c r="A35" s="18" t="s">
        <v>40</v>
      </c>
      <c r="B35" s="18"/>
      <c r="C35" s="18"/>
    </row>
    <row r="36" customFormat="false" ht="15" hidden="false" customHeight="false" outlineLevel="0" collapsed="false">
      <c r="A36" s="18" t="s">
        <v>41</v>
      </c>
      <c r="B36" s="18"/>
      <c r="C36" s="18"/>
    </row>
    <row r="37" customFormat="false" ht="15" hidden="false" customHeight="false" outlineLevel="0" collapsed="false">
      <c r="A37" s="18" t="s">
        <v>42</v>
      </c>
      <c r="B37" s="18"/>
      <c r="C37" s="18"/>
    </row>
  </sheetData>
  <mergeCells count="15">
    <mergeCell ref="A1:F1"/>
    <mergeCell ref="A4:B4"/>
    <mergeCell ref="A11:B11"/>
    <mergeCell ref="A17:C17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30" hidden="false" customHeight="true" outlineLevel="0" collapsed="false">
      <c r="A1" s="20" t="s">
        <v>43</v>
      </c>
      <c r="B1" s="20"/>
      <c r="C1" s="20"/>
      <c r="D1" s="20"/>
      <c r="E1" s="20"/>
      <c r="F1" s="20"/>
      <c r="G1" s="20"/>
      <c r="H1" s="20"/>
      <c r="I1" s="20"/>
    </row>
    <row r="2" customFormat="false" ht="24.75" hidden="false" customHeight="true" outlineLevel="0" collapsed="false">
      <c r="A2" s="21" t="s">
        <v>44</v>
      </c>
      <c r="B2" s="21"/>
      <c r="C2" s="21"/>
      <c r="D2" s="21"/>
      <c r="E2" s="21"/>
      <c r="F2" s="21"/>
      <c r="G2" s="21"/>
      <c r="H2" s="21"/>
      <c r="I2" s="21"/>
    </row>
    <row r="3" customFormat="false" ht="30" hidden="false" customHeight="true" outlineLevel="0" collapsed="false">
      <c r="A3" s="22" t="s">
        <v>45</v>
      </c>
      <c r="B3" s="22" t="s">
        <v>46</v>
      </c>
      <c r="C3" s="22" t="s">
        <v>47</v>
      </c>
      <c r="D3" s="22" t="s">
        <v>48</v>
      </c>
      <c r="E3" s="22" t="s">
        <v>49</v>
      </c>
      <c r="F3" s="22" t="s">
        <v>50</v>
      </c>
      <c r="G3" s="22" t="s">
        <v>51</v>
      </c>
      <c r="H3" s="22" t="s">
        <v>52</v>
      </c>
      <c r="I3" s="22" t="s">
        <v>53</v>
      </c>
    </row>
    <row r="4" customFormat="false" ht="15" hidden="false" customHeight="false" outlineLevel="0" collapsed="false">
      <c r="A4" s="23" t="s">
        <v>54</v>
      </c>
      <c r="B4" s="23" t="s">
        <v>55</v>
      </c>
      <c r="C4" s="0" t="n">
        <v>3</v>
      </c>
      <c r="D4" s="24" t="n">
        <v>46050</v>
      </c>
      <c r="E4" s="24" t="n">
        <f aca="false">IF(C4="","",IF(D4="","",D4+CHOOSE(MIN(C4+1,8),0,1,3,7,15,30,60,90)))</f>
        <v>46057</v>
      </c>
      <c r="F4" s="25" t="n">
        <f aca="true">IF(E4="","",E4-TODAY())</f>
        <v>-5</v>
      </c>
      <c r="G4" s="0" t="str">
        <f aca="false">IF(A4="","",IF(C4&gt;=7,"✅ Mastered",IF(F4&lt;0,"🔴 OVERDUE",IF(F4=0,"🟡 TODAY",IF(F4&lt;=2,"🟠 SOON","🟢 Later")))))</f>
        <v>🔴 OVERDUE</v>
      </c>
      <c r="I4" s="0" t="str">
        <f aca="true">IF(H4="✅ DONE",TEXT(TODAY(),"DD/MM/YYYY"),"")</f>
        <v/>
      </c>
    </row>
    <row r="5" customFormat="false" ht="15" hidden="false" customHeight="false" outlineLevel="0" collapsed="false">
      <c r="A5" s="23" t="s">
        <v>56</v>
      </c>
      <c r="B5" s="23" t="s">
        <v>57</v>
      </c>
      <c r="C5" s="0" t="n">
        <v>0</v>
      </c>
      <c r="D5" s="24"/>
      <c r="E5" s="24" t="str">
        <f aca="false">IF(C5="","",IF(D5="","",D5+CHOOSE(MIN(C5+1,8),0,1,3,7,15,30,60,90)))</f>
        <v/>
      </c>
      <c r="F5" s="25" t="str">
        <f aca="true">IF(E5="","",E5-TODAY())</f>
        <v/>
      </c>
      <c r="G5" s="0" t="str">
        <f aca="false">IF(A5="","",IF(C5&gt;=7,"✅ Mastered",IF(F5&lt;0,"🔴 OVERDUE",IF(F5=0,"🟡 TODAY",IF(F5&lt;=2,"🟠 SOON","🟢 Later")))))</f>
        <v>🟢 Later</v>
      </c>
      <c r="I5" s="0" t="str">
        <f aca="true">IF(H5="✅ DONE",TEXT(TODAY(),"DD/MM/YYYY"),"")</f>
        <v/>
      </c>
    </row>
    <row r="6" customFormat="false" ht="15" hidden="false" customHeight="false" outlineLevel="0" collapsed="false">
      <c r="A6" s="23" t="s">
        <v>58</v>
      </c>
      <c r="B6" s="23" t="s">
        <v>59</v>
      </c>
      <c r="C6" s="0" t="n">
        <v>2</v>
      </c>
      <c r="D6" s="24" t="n">
        <v>46059</v>
      </c>
      <c r="E6" s="24" t="n">
        <f aca="false">IF(C6="","",IF(D6="","",D6+CHOOSE(MIN(C6+1,8),0,1,3,7,15,30,60,90)))</f>
        <v>46062</v>
      </c>
      <c r="F6" s="25" t="n">
        <f aca="true">IF(E6="","",E6-TODAY())</f>
        <v>0</v>
      </c>
      <c r="G6" s="0" t="str">
        <f aca="false">IF(A6="","",IF(C6&gt;=7,"✅ Mastered",IF(F6&lt;0,"🔴 OVERDUE",IF(F6=0,"🟡 TODAY",IF(F6&lt;=2,"🟠 SOON","🟢 Later")))))</f>
        <v>🟡 TODAY</v>
      </c>
      <c r="I6" s="0" t="str">
        <f aca="true">IF(H6="✅ DONE",TEXT(TODAY(),"DD/MM/YYYY"),"")</f>
        <v/>
      </c>
    </row>
    <row r="7" customFormat="false" ht="15" hidden="false" customHeight="false" outlineLevel="0" collapsed="false">
      <c r="A7" s="23" t="s">
        <v>60</v>
      </c>
      <c r="B7" s="23" t="s">
        <v>61</v>
      </c>
      <c r="C7" s="0" t="n">
        <v>1</v>
      </c>
      <c r="D7" s="24" t="n">
        <v>46061</v>
      </c>
      <c r="E7" s="24" t="n">
        <f aca="false">IF(C7="","",IF(D7="","",D7+CHOOSE(MIN(C7+1,8),0,1,3,7,15,30,60,90)))</f>
        <v>46062</v>
      </c>
      <c r="F7" s="25" t="n">
        <f aca="true">IF(E7="","",E7-TODAY())</f>
        <v>0</v>
      </c>
      <c r="G7" s="0" t="str">
        <f aca="false">IF(A7="","",IF(C7&gt;=7,"✅ Mastered",IF(F7&lt;0,"🔴 OVERDUE",IF(F7=0,"🟡 TODAY",IF(F7&lt;=2,"🟠 SOON","🟢 Later")))))</f>
        <v>🟡 TODAY</v>
      </c>
      <c r="I7" s="0" t="str">
        <f aca="true">IF(H7="✅ DONE",TEXT(TODAY(),"DD/MM/YYYY"),"")</f>
        <v/>
      </c>
    </row>
    <row r="8" customFormat="false" ht="15" hidden="false" customHeight="false" outlineLevel="0" collapsed="false">
      <c r="A8" s="23"/>
      <c r="B8" s="23"/>
      <c r="D8" s="24"/>
      <c r="E8" s="24" t="str">
        <f aca="false">IF(C8="","",IF(D8="","",D8+CHOOSE(MIN(C8+1,8),0,1,3,7,15,30,60,90)))</f>
        <v/>
      </c>
      <c r="F8" s="25" t="str">
        <f aca="true">IF(E8="","",E8-TODAY())</f>
        <v/>
      </c>
      <c r="G8" s="0" t="str">
        <f aca="false">IF(A8="","",IF(C8&gt;=7,"✅ Mastered",IF(F8&lt;0,"🔴 OVERDUE",IF(F8=0,"🟡 TODAY",IF(F8&lt;=2,"🟠 SOON","🟢 Later")))))</f>
        <v/>
      </c>
      <c r="I8" s="0" t="str">
        <f aca="true">IF(H8="✅ DONE",TEXT(TODAY(),"DD/MM/YYYY"),"")</f>
        <v/>
      </c>
    </row>
    <row r="9" customFormat="false" ht="15" hidden="false" customHeight="false" outlineLevel="0" collapsed="false">
      <c r="A9" s="23"/>
      <c r="B9" s="23"/>
      <c r="D9" s="24"/>
      <c r="E9" s="24" t="str">
        <f aca="false">IF(C9="","",IF(D9="","",D9+CHOOSE(MIN(C9+1,8),0,1,3,7,15,30,60,90)))</f>
        <v/>
      </c>
      <c r="F9" s="25" t="str">
        <f aca="true">IF(E9="","",E9-TODAY())</f>
        <v/>
      </c>
      <c r="G9" s="0" t="str">
        <f aca="false">IF(A9="","",IF(C9&gt;=7,"✅ Mastered",IF(F9&lt;0,"🔴 OVERDUE",IF(F9=0,"🟡 TODAY",IF(F9&lt;=2,"🟠 SOON","🟢 Later")))))</f>
        <v/>
      </c>
      <c r="I9" s="0" t="str">
        <f aca="true">IF(H9="✅ DONE",TEXT(TODAY(),"DD/MM/YYYY"),"")</f>
        <v/>
      </c>
    </row>
    <row r="10" customFormat="false" ht="15" hidden="false" customHeight="false" outlineLevel="0" collapsed="false">
      <c r="A10" s="23"/>
      <c r="B10" s="23"/>
      <c r="D10" s="24"/>
      <c r="E10" s="24" t="str">
        <f aca="false">IF(C10="","",IF(D10="","",D10+CHOOSE(MIN(C10+1,8),0,1,3,7,15,30,60,90)))</f>
        <v/>
      </c>
      <c r="F10" s="25" t="str">
        <f aca="true">IF(E10="","",E10-TODAY())</f>
        <v/>
      </c>
      <c r="G10" s="0" t="str">
        <f aca="false">IF(A10="","",IF(C10&gt;=7,"✅ Mastered",IF(F10&lt;0,"🔴 OVERDUE",IF(F10=0,"🟡 TODAY",IF(F10&lt;=2,"🟠 SOON","🟢 Later")))))</f>
        <v/>
      </c>
      <c r="I10" s="0" t="str">
        <f aca="true">IF(H10="✅ DONE",TEXT(TODAY(),"DD/MM/YYYY"),"")</f>
        <v/>
      </c>
    </row>
    <row r="11" customFormat="false" ht="15" hidden="false" customHeight="false" outlineLevel="0" collapsed="false">
      <c r="A11" s="23"/>
      <c r="B11" s="23"/>
      <c r="D11" s="24"/>
      <c r="E11" s="24" t="str">
        <f aca="false">IF(C11="","",IF(D11="","",D11+CHOOSE(MIN(C11+1,8),0,1,3,7,15,30,60,90)))</f>
        <v/>
      </c>
      <c r="F11" s="25" t="str">
        <f aca="true">IF(E11="","",E11-TODAY())</f>
        <v/>
      </c>
      <c r="G11" s="0" t="str">
        <f aca="false">IF(A11="","",IF(C11&gt;=7,"✅ Mastered",IF(F11&lt;0,"🔴 OVERDUE",IF(F11=0,"🟡 TODAY",IF(F11&lt;=2,"🟠 SOON","🟢 Later")))))</f>
        <v/>
      </c>
      <c r="I11" s="0" t="str">
        <f aca="true">IF(H11="✅ DONE",TEXT(TODAY(),"DD/MM/YYYY"),"")</f>
        <v/>
      </c>
    </row>
    <row r="12" customFormat="false" ht="15" hidden="false" customHeight="false" outlineLevel="0" collapsed="false">
      <c r="A12" s="23"/>
      <c r="B12" s="23"/>
      <c r="D12" s="24"/>
      <c r="E12" s="24" t="str">
        <f aca="false">IF(C12="","",IF(D12="","",D12+CHOOSE(MIN(C12+1,8),0,1,3,7,15,30,60,90)))</f>
        <v/>
      </c>
      <c r="F12" s="25" t="str">
        <f aca="true">IF(E12="","",E12-TODAY())</f>
        <v/>
      </c>
      <c r="G12" s="0" t="str">
        <f aca="false">IF(A12="","",IF(C12&gt;=7,"✅ Mastered",IF(F12&lt;0,"🔴 OVERDUE",IF(F12=0,"🟡 TODAY",IF(F12&lt;=2,"🟠 SOON","🟢 Later")))))</f>
        <v/>
      </c>
      <c r="I12" s="0" t="str">
        <f aca="true">IF(H12="✅ DONE",TEXT(TODAY(),"DD/MM/YYYY"),"")</f>
        <v/>
      </c>
    </row>
    <row r="13" customFormat="false" ht="15" hidden="false" customHeight="false" outlineLevel="0" collapsed="false">
      <c r="A13" s="23"/>
      <c r="B13" s="23"/>
      <c r="D13" s="24"/>
      <c r="E13" s="24" t="str">
        <f aca="false">IF(C13="","",IF(D13="","",D13+CHOOSE(MIN(C13+1,8),0,1,3,7,15,30,60,90)))</f>
        <v/>
      </c>
      <c r="F13" s="25" t="str">
        <f aca="true">IF(E13="","",E13-TODAY())</f>
        <v/>
      </c>
      <c r="G13" s="0" t="str">
        <f aca="false">IF(A13="","",IF(C13&gt;=7,"✅ Mastered",IF(F13&lt;0,"🔴 OVERDUE",IF(F13=0,"🟡 TODAY",IF(F13&lt;=2,"🟠 SOON","🟢 Later")))))</f>
        <v/>
      </c>
      <c r="I13" s="0" t="str">
        <f aca="true">IF(H13="✅ DONE",TEXT(TODAY(),"DD/MM/YYYY"),"")</f>
        <v/>
      </c>
    </row>
    <row r="14" customFormat="false" ht="15" hidden="false" customHeight="false" outlineLevel="0" collapsed="false">
      <c r="A14" s="23"/>
      <c r="B14" s="23"/>
      <c r="D14" s="24"/>
      <c r="E14" s="24" t="str">
        <f aca="false">IF(C14="","",IF(D14="","",D14+CHOOSE(MIN(C14+1,8),0,1,3,7,15,30,60,90)))</f>
        <v/>
      </c>
      <c r="F14" s="25" t="str">
        <f aca="true">IF(E14="","",E14-TODAY())</f>
        <v/>
      </c>
      <c r="G14" s="0" t="str">
        <f aca="false">IF(A14="","",IF(C14&gt;=7,"✅ Mastered",IF(F14&lt;0,"🔴 OVERDUE",IF(F14=0,"🟡 TODAY",IF(F14&lt;=2,"🟠 SOON","🟢 Later")))))</f>
        <v/>
      </c>
      <c r="I14" s="0" t="str">
        <f aca="true">IF(H14="✅ DONE",TEXT(TODAY(),"DD/MM/YYYY"),"")</f>
        <v/>
      </c>
    </row>
    <row r="15" customFormat="false" ht="15" hidden="false" customHeight="false" outlineLevel="0" collapsed="false">
      <c r="A15" s="23"/>
      <c r="B15" s="23"/>
      <c r="D15" s="24"/>
      <c r="E15" s="24" t="str">
        <f aca="false">IF(C15="","",IF(D15="","",D15+CHOOSE(MIN(C15+1,8),0,1,3,7,15,30,60,90)))</f>
        <v/>
      </c>
      <c r="F15" s="25" t="str">
        <f aca="true">IF(E15="","",E15-TODAY())</f>
        <v/>
      </c>
      <c r="G15" s="0" t="str">
        <f aca="false">IF(A15="","",IF(C15&gt;=7,"✅ Mastered",IF(F15&lt;0,"🔴 OVERDUE",IF(F15=0,"🟡 TODAY",IF(F15&lt;=2,"🟠 SOON","🟢 Later")))))</f>
        <v/>
      </c>
      <c r="I15" s="0" t="str">
        <f aca="true">IF(H15="✅ DONE",TEXT(TODAY(),"DD/MM/YYYY"),"")</f>
        <v/>
      </c>
    </row>
    <row r="16" customFormat="false" ht="15" hidden="false" customHeight="false" outlineLevel="0" collapsed="false">
      <c r="A16" s="23"/>
      <c r="B16" s="23"/>
      <c r="D16" s="24"/>
      <c r="E16" s="24" t="str">
        <f aca="false">IF(C16="","",IF(D16="","",D16+CHOOSE(MIN(C16+1,8),0,1,3,7,15,30,60,90)))</f>
        <v/>
      </c>
      <c r="F16" s="25" t="str">
        <f aca="true">IF(E16="","",E16-TODAY())</f>
        <v/>
      </c>
      <c r="G16" s="0" t="str">
        <f aca="false">IF(A16="","",IF(C16&gt;=7,"✅ Mastered",IF(F16&lt;0,"🔴 OVERDUE",IF(F16=0,"🟡 TODAY",IF(F16&lt;=2,"🟠 SOON","🟢 Later")))))</f>
        <v/>
      </c>
      <c r="I16" s="0" t="str">
        <f aca="true">IF(H16="✅ DONE",TEXT(TODAY(),"DD/MM/YYYY"),"")</f>
        <v/>
      </c>
    </row>
    <row r="17" customFormat="false" ht="15" hidden="false" customHeight="false" outlineLevel="0" collapsed="false">
      <c r="A17" s="23"/>
      <c r="B17" s="23"/>
      <c r="D17" s="24"/>
      <c r="E17" s="24" t="str">
        <f aca="false">IF(C17="","",IF(D17="","",D17+CHOOSE(MIN(C17+1,8),0,1,3,7,15,30,60,90)))</f>
        <v/>
      </c>
      <c r="F17" s="25" t="str">
        <f aca="true">IF(E17="","",E17-TODAY())</f>
        <v/>
      </c>
      <c r="G17" s="0" t="str">
        <f aca="false">IF(A17="","",IF(C17&gt;=7,"✅ Mastered",IF(F17&lt;0,"🔴 OVERDUE",IF(F17=0,"🟡 TODAY",IF(F17&lt;=2,"🟠 SOON","🟢 Later")))))</f>
        <v/>
      </c>
      <c r="I17" s="0" t="str">
        <f aca="true">IF(H17="✅ DONE",TEXT(TODAY(),"DD/MM/YYYY"),"")</f>
        <v/>
      </c>
    </row>
    <row r="18" customFormat="false" ht="15" hidden="false" customHeight="false" outlineLevel="0" collapsed="false">
      <c r="A18" s="23"/>
      <c r="B18" s="23"/>
      <c r="D18" s="24"/>
      <c r="E18" s="24" t="str">
        <f aca="false">IF(C18="","",IF(D18="","",D18+CHOOSE(MIN(C18+1,8),0,1,3,7,15,30,60,90)))</f>
        <v/>
      </c>
      <c r="F18" s="25" t="str">
        <f aca="true">IF(E18="","",E18-TODAY())</f>
        <v/>
      </c>
      <c r="G18" s="0" t="str">
        <f aca="false">IF(A18="","",IF(C18&gt;=7,"✅ Mastered",IF(F18&lt;0,"🔴 OVERDUE",IF(F18=0,"🟡 TODAY",IF(F18&lt;=2,"🟠 SOON","🟢 Later")))))</f>
        <v/>
      </c>
      <c r="I18" s="0" t="str">
        <f aca="true">IF(H18="✅ DONE",TEXT(TODAY(),"DD/MM/YYYY"),"")</f>
        <v/>
      </c>
    </row>
    <row r="19" customFormat="false" ht="15" hidden="false" customHeight="false" outlineLevel="0" collapsed="false">
      <c r="A19" s="23"/>
      <c r="B19" s="23"/>
      <c r="D19" s="24"/>
      <c r="E19" s="24" t="str">
        <f aca="false">IF(C19="","",IF(D19="","",D19+CHOOSE(MIN(C19+1,8),0,1,3,7,15,30,60,90)))</f>
        <v/>
      </c>
      <c r="F19" s="25" t="str">
        <f aca="true">IF(E19="","",E19-TODAY())</f>
        <v/>
      </c>
      <c r="G19" s="0" t="str">
        <f aca="false">IF(A19="","",IF(C19&gt;=7,"✅ Mastered",IF(F19&lt;0,"🔴 OVERDUE",IF(F19=0,"🟡 TODAY",IF(F19&lt;=2,"🟠 SOON","🟢 Later")))))</f>
        <v/>
      </c>
      <c r="I19" s="0" t="str">
        <f aca="true">IF(H19="✅ DONE",TEXT(TODAY(),"DD/MM/YYYY"),"")</f>
        <v/>
      </c>
    </row>
    <row r="20" customFormat="false" ht="15" hidden="false" customHeight="false" outlineLevel="0" collapsed="false">
      <c r="A20" s="23"/>
      <c r="B20" s="23"/>
      <c r="D20" s="24"/>
      <c r="E20" s="24" t="str">
        <f aca="false">IF(C20="","",IF(D20="","",D20+CHOOSE(MIN(C20+1,8),0,1,3,7,15,30,60,90)))</f>
        <v/>
      </c>
      <c r="F20" s="25" t="str">
        <f aca="true">IF(E20="","",E20-TODAY())</f>
        <v/>
      </c>
      <c r="G20" s="0" t="str">
        <f aca="false">IF(A20="","",IF(C20&gt;=7,"✅ Mastered",IF(F20&lt;0,"🔴 OVERDUE",IF(F20=0,"🟡 TODAY",IF(F20&lt;=2,"🟠 SOON","🟢 Later")))))</f>
        <v/>
      </c>
      <c r="I20" s="0" t="str">
        <f aca="true">IF(H20="✅ DONE",TEXT(TODAY(),"DD/MM/YYYY"),"")</f>
        <v/>
      </c>
    </row>
    <row r="21" customFormat="false" ht="15" hidden="false" customHeight="false" outlineLevel="0" collapsed="false">
      <c r="A21" s="23"/>
      <c r="B21" s="23"/>
      <c r="D21" s="24"/>
      <c r="E21" s="24" t="str">
        <f aca="false">IF(C21="","",IF(D21="","",D21+CHOOSE(MIN(C21+1,8),0,1,3,7,15,30,60,90)))</f>
        <v/>
      </c>
      <c r="F21" s="25" t="str">
        <f aca="true">IF(E21="","",E21-TODAY())</f>
        <v/>
      </c>
      <c r="G21" s="0" t="str">
        <f aca="false">IF(A21="","",IF(C21&gt;=7,"✅ Mastered",IF(F21&lt;0,"🔴 OVERDUE",IF(F21=0,"🟡 TODAY",IF(F21&lt;=2,"🟠 SOON","🟢 Later")))))</f>
        <v/>
      </c>
      <c r="I21" s="0" t="str">
        <f aca="true">IF(H21="✅ DONE",TEXT(TODAY(),"DD/MM/YYYY"),"")</f>
        <v/>
      </c>
    </row>
    <row r="22" customFormat="false" ht="15" hidden="false" customHeight="false" outlineLevel="0" collapsed="false">
      <c r="A22" s="23"/>
      <c r="B22" s="23"/>
      <c r="D22" s="24"/>
      <c r="E22" s="24" t="str">
        <f aca="false">IF(C22="","",IF(D22="","",D22+CHOOSE(MIN(C22+1,8),0,1,3,7,15,30,60,90)))</f>
        <v/>
      </c>
      <c r="F22" s="25" t="str">
        <f aca="true">IF(E22="","",E22-TODAY())</f>
        <v/>
      </c>
      <c r="G22" s="0" t="str">
        <f aca="false">IF(A22="","",IF(C22&gt;=7,"✅ Mastered",IF(F22&lt;0,"🔴 OVERDUE",IF(F22=0,"🟡 TODAY",IF(F22&lt;=2,"🟠 SOON","🟢 Later")))))</f>
        <v/>
      </c>
      <c r="I22" s="0" t="str">
        <f aca="true">IF(H22="✅ DONE",TEXT(TODAY(),"DD/MM/YYYY"),"")</f>
        <v/>
      </c>
    </row>
    <row r="23" customFormat="false" ht="15" hidden="false" customHeight="false" outlineLevel="0" collapsed="false">
      <c r="A23" s="23"/>
      <c r="B23" s="23"/>
      <c r="D23" s="24"/>
      <c r="E23" s="24" t="str">
        <f aca="false">IF(C23="","",IF(D23="","",D23+CHOOSE(MIN(C23+1,8),0,1,3,7,15,30,60,90)))</f>
        <v/>
      </c>
      <c r="F23" s="25" t="str">
        <f aca="true">IF(E23="","",E23-TODAY())</f>
        <v/>
      </c>
      <c r="G23" s="0" t="str">
        <f aca="false">IF(A23="","",IF(C23&gt;=7,"✅ Mastered",IF(F23&lt;0,"🔴 OVERDUE",IF(F23=0,"🟡 TODAY",IF(F23&lt;=2,"🟠 SOON","🟢 Later")))))</f>
        <v/>
      </c>
      <c r="I23" s="0" t="str">
        <f aca="true">IF(H23="✅ DONE",TEXT(TODAY(),"DD/MM/YYYY"),"")</f>
        <v/>
      </c>
    </row>
    <row r="24" customFormat="false" ht="15" hidden="false" customHeight="false" outlineLevel="0" collapsed="false">
      <c r="A24" s="23"/>
      <c r="B24" s="23"/>
      <c r="D24" s="24"/>
      <c r="E24" s="24" t="str">
        <f aca="false">IF(C24="","",IF(D24="","",D24+CHOOSE(MIN(C24+1,8),0,1,3,7,15,30,60,90)))</f>
        <v/>
      </c>
      <c r="F24" s="25" t="str">
        <f aca="true">IF(E24="","",E24-TODAY())</f>
        <v/>
      </c>
      <c r="G24" s="0" t="str">
        <f aca="false">IF(A24="","",IF(C24&gt;=7,"✅ Mastered",IF(F24&lt;0,"🔴 OVERDUE",IF(F24=0,"🟡 TODAY",IF(F24&lt;=2,"🟠 SOON","🟢 Later")))))</f>
        <v/>
      </c>
      <c r="I24" s="0" t="str">
        <f aca="true">IF(H24="✅ DONE",TEXT(TODAY(),"DD/MM/YYYY"),"")</f>
        <v/>
      </c>
    </row>
    <row r="25" customFormat="false" ht="15" hidden="false" customHeight="false" outlineLevel="0" collapsed="false">
      <c r="A25" s="23"/>
      <c r="B25" s="23"/>
      <c r="D25" s="24"/>
      <c r="E25" s="24" t="str">
        <f aca="false">IF(C25="","",IF(D25="","",D25+CHOOSE(MIN(C25+1,8),0,1,3,7,15,30,60,90)))</f>
        <v/>
      </c>
      <c r="F25" s="25" t="str">
        <f aca="true">IF(E25="","",E25-TODAY())</f>
        <v/>
      </c>
      <c r="G25" s="0" t="str">
        <f aca="false">IF(A25="","",IF(C25&gt;=7,"✅ Mastered",IF(F25&lt;0,"🔴 OVERDUE",IF(F25=0,"🟡 TODAY",IF(F25&lt;=2,"🟠 SOON","🟢 Later")))))</f>
        <v/>
      </c>
      <c r="I25" s="0" t="str">
        <f aca="true">IF(H25="✅ DONE",TEXT(TODAY(),"DD/MM/YYYY"),"")</f>
        <v/>
      </c>
    </row>
    <row r="26" customFormat="false" ht="15" hidden="false" customHeight="false" outlineLevel="0" collapsed="false">
      <c r="A26" s="23"/>
      <c r="B26" s="23"/>
      <c r="D26" s="24"/>
      <c r="E26" s="24" t="str">
        <f aca="false">IF(C26="","",IF(D26="","",D26+CHOOSE(MIN(C26+1,8),0,1,3,7,15,30,60,90)))</f>
        <v/>
      </c>
      <c r="F26" s="25" t="str">
        <f aca="true">IF(E26="","",E26-TODAY())</f>
        <v/>
      </c>
      <c r="G26" s="0" t="str">
        <f aca="false">IF(A26="","",IF(C26&gt;=7,"✅ Mastered",IF(F26&lt;0,"🔴 OVERDUE",IF(F26=0,"🟡 TODAY",IF(F26&lt;=2,"🟠 SOON","🟢 Later")))))</f>
        <v/>
      </c>
      <c r="I26" s="0" t="str">
        <f aca="true">IF(H26="✅ DONE",TEXT(TODAY(),"DD/MM/YYYY"),"")</f>
        <v/>
      </c>
    </row>
    <row r="27" customFormat="false" ht="15" hidden="false" customHeight="false" outlineLevel="0" collapsed="false">
      <c r="A27" s="23"/>
      <c r="B27" s="23"/>
      <c r="D27" s="24"/>
      <c r="E27" s="24" t="str">
        <f aca="false">IF(C27="","",IF(D27="","",D27+CHOOSE(MIN(C27+1,8),0,1,3,7,15,30,60,90)))</f>
        <v/>
      </c>
      <c r="F27" s="25" t="str">
        <f aca="true">IF(E27="","",E27-TODAY())</f>
        <v/>
      </c>
      <c r="G27" s="0" t="str">
        <f aca="false">IF(A27="","",IF(C27&gt;=7,"✅ Mastered",IF(F27&lt;0,"🔴 OVERDUE",IF(F27=0,"🟡 TODAY",IF(F27&lt;=2,"🟠 SOON","🟢 Later")))))</f>
        <v/>
      </c>
      <c r="I27" s="0" t="str">
        <f aca="true">IF(H27="✅ DONE",TEXT(TODAY(),"DD/MM/YYYY"),"")</f>
        <v/>
      </c>
    </row>
    <row r="28" customFormat="false" ht="15" hidden="false" customHeight="false" outlineLevel="0" collapsed="false">
      <c r="A28" s="23"/>
      <c r="B28" s="23"/>
      <c r="D28" s="24"/>
      <c r="E28" s="24" t="str">
        <f aca="false">IF(C28="","",IF(D28="","",D28+CHOOSE(MIN(C28+1,8),0,1,3,7,15,30,60,90)))</f>
        <v/>
      </c>
      <c r="F28" s="25" t="str">
        <f aca="true">IF(E28="","",E28-TODAY())</f>
        <v/>
      </c>
      <c r="G28" s="0" t="str">
        <f aca="false">IF(A28="","",IF(C28&gt;=7,"✅ Mastered",IF(F28&lt;0,"🔴 OVERDUE",IF(F28=0,"🟡 TODAY",IF(F28&lt;=2,"🟠 SOON","🟢 Later")))))</f>
        <v/>
      </c>
      <c r="I28" s="0" t="str">
        <f aca="true">IF(H28="✅ DONE",TEXT(TODAY(),"DD/MM/YYYY"),"")</f>
        <v/>
      </c>
    </row>
    <row r="29" customFormat="false" ht="15" hidden="false" customHeight="false" outlineLevel="0" collapsed="false">
      <c r="A29" s="23"/>
      <c r="B29" s="23"/>
      <c r="D29" s="24"/>
      <c r="E29" s="24" t="str">
        <f aca="false">IF(C29="","",IF(D29="","",D29+CHOOSE(MIN(C29+1,8),0,1,3,7,15,30,60,90)))</f>
        <v/>
      </c>
      <c r="F29" s="25" t="str">
        <f aca="true">IF(E29="","",E29-TODAY())</f>
        <v/>
      </c>
      <c r="G29" s="0" t="str">
        <f aca="false">IF(A29="","",IF(C29&gt;=7,"✅ Mastered",IF(F29&lt;0,"🔴 OVERDUE",IF(F29=0,"🟡 TODAY",IF(F29&lt;=2,"🟠 SOON","🟢 Later")))))</f>
        <v/>
      </c>
      <c r="I29" s="0" t="str">
        <f aca="true">IF(H29="✅ DONE",TEXT(TODAY(),"DD/MM/YYYY"),"")</f>
        <v/>
      </c>
    </row>
    <row r="30" customFormat="false" ht="15" hidden="false" customHeight="false" outlineLevel="0" collapsed="false">
      <c r="A30" s="23"/>
      <c r="B30" s="23"/>
      <c r="D30" s="24"/>
      <c r="E30" s="24" t="str">
        <f aca="false">IF(C30="","",IF(D30="","",D30+CHOOSE(MIN(C30+1,8),0,1,3,7,15,30,60,90)))</f>
        <v/>
      </c>
      <c r="F30" s="25" t="str">
        <f aca="true">IF(E30="","",E30-TODAY())</f>
        <v/>
      </c>
      <c r="G30" s="0" t="str">
        <f aca="false">IF(A30="","",IF(C30&gt;=7,"✅ Mastered",IF(F30&lt;0,"🔴 OVERDUE",IF(F30=0,"🟡 TODAY",IF(F30&lt;=2,"🟠 SOON","🟢 Later")))))</f>
        <v/>
      </c>
      <c r="I30" s="0" t="str">
        <f aca="true">IF(H30="✅ DONE",TEXT(TODAY(),"DD/MM/YYYY"),"")</f>
        <v/>
      </c>
    </row>
    <row r="31" customFormat="false" ht="15" hidden="false" customHeight="false" outlineLevel="0" collapsed="false">
      <c r="A31" s="23"/>
      <c r="B31" s="23"/>
      <c r="D31" s="24"/>
      <c r="E31" s="24" t="str">
        <f aca="false">IF(C31="","",IF(D31="","",D31+CHOOSE(MIN(C31+1,8),0,1,3,7,15,30,60,90)))</f>
        <v/>
      </c>
      <c r="F31" s="25" t="str">
        <f aca="true">IF(E31="","",E31-TODAY())</f>
        <v/>
      </c>
      <c r="G31" s="0" t="str">
        <f aca="false">IF(A31="","",IF(C31&gt;=7,"✅ Mastered",IF(F31&lt;0,"🔴 OVERDUE",IF(F31=0,"🟡 TODAY",IF(F31&lt;=2,"🟠 SOON","🟢 Later")))))</f>
        <v/>
      </c>
      <c r="I31" s="0" t="str">
        <f aca="true">IF(H31="✅ DONE",TEXT(TODAY(),"DD/MM/YYYY"),"")</f>
        <v/>
      </c>
    </row>
    <row r="32" customFormat="false" ht="15" hidden="false" customHeight="false" outlineLevel="0" collapsed="false">
      <c r="A32" s="23"/>
      <c r="B32" s="23"/>
      <c r="D32" s="24"/>
      <c r="E32" s="24" t="str">
        <f aca="false">IF(C32="","",IF(D32="","",D32+CHOOSE(MIN(C32+1,8),0,1,3,7,15,30,60,90)))</f>
        <v/>
      </c>
      <c r="F32" s="25" t="str">
        <f aca="true">IF(E32="","",E32-TODAY())</f>
        <v/>
      </c>
      <c r="G32" s="0" t="str">
        <f aca="false">IF(A32="","",IF(C32&gt;=7,"✅ Mastered",IF(F32&lt;0,"🔴 OVERDUE",IF(F32=0,"🟡 TODAY",IF(F32&lt;=2,"🟠 SOON","🟢 Later")))))</f>
        <v/>
      </c>
      <c r="I32" s="0" t="str">
        <f aca="true">IF(H32="✅ DONE",TEXT(TODAY(),"DD/MM/YYYY"),"")</f>
        <v/>
      </c>
    </row>
    <row r="33" customFormat="false" ht="15" hidden="false" customHeight="false" outlineLevel="0" collapsed="false">
      <c r="A33" s="23"/>
      <c r="B33" s="23"/>
      <c r="D33" s="24"/>
      <c r="E33" s="24" t="str">
        <f aca="false">IF(C33="","",IF(D33="","",D33+CHOOSE(MIN(C33+1,8),0,1,3,7,15,30,60,90)))</f>
        <v/>
      </c>
      <c r="F33" s="25" t="str">
        <f aca="true">IF(E33="","",E33-TODAY())</f>
        <v/>
      </c>
      <c r="G33" s="0" t="str">
        <f aca="false">IF(A33="","",IF(C33&gt;=7,"✅ Mastered",IF(F33&lt;0,"🔴 OVERDUE",IF(F33=0,"🟡 TODAY",IF(F33&lt;=2,"🟠 SOON","🟢 Later")))))</f>
        <v/>
      </c>
      <c r="I33" s="0" t="str">
        <f aca="true">IF(H33="✅ DONE",TEXT(TODAY(),"DD/MM/YYYY"),"")</f>
        <v/>
      </c>
    </row>
    <row r="34" customFormat="false" ht="15" hidden="false" customHeight="false" outlineLevel="0" collapsed="false">
      <c r="A34" s="23"/>
      <c r="B34" s="23"/>
      <c r="D34" s="24"/>
      <c r="E34" s="24" t="str">
        <f aca="false">IF(C34="","",IF(D34="","",D34+CHOOSE(MIN(C34+1,8),0,1,3,7,15,30,60,90)))</f>
        <v/>
      </c>
      <c r="F34" s="25" t="str">
        <f aca="true">IF(E34="","",E34-TODAY())</f>
        <v/>
      </c>
      <c r="G34" s="0" t="str">
        <f aca="false">IF(A34="","",IF(C34&gt;=7,"✅ Mastered",IF(F34&lt;0,"🔴 OVERDUE",IF(F34=0,"🟡 TODAY",IF(F34&lt;=2,"🟠 SOON","🟢 Later")))))</f>
        <v/>
      </c>
      <c r="I34" s="0" t="str">
        <f aca="true">IF(H34="✅ DONE",TEXT(TODAY(),"DD/MM/YYYY"),"")</f>
        <v/>
      </c>
    </row>
    <row r="35" customFormat="false" ht="15" hidden="false" customHeight="false" outlineLevel="0" collapsed="false">
      <c r="A35" s="23"/>
      <c r="B35" s="23"/>
      <c r="D35" s="24"/>
      <c r="E35" s="24" t="str">
        <f aca="false">IF(C35="","",IF(D35="","",D35+CHOOSE(MIN(C35+1,8),0,1,3,7,15,30,60,90)))</f>
        <v/>
      </c>
      <c r="F35" s="25" t="str">
        <f aca="true">IF(E35="","",E35-TODAY())</f>
        <v/>
      </c>
      <c r="G35" s="0" t="str">
        <f aca="false">IF(A35="","",IF(C35&gt;=7,"✅ Mastered",IF(F35&lt;0,"🔴 OVERDUE",IF(F35=0,"🟡 TODAY",IF(F35&lt;=2,"🟠 SOON","🟢 Later")))))</f>
        <v/>
      </c>
      <c r="I35" s="0" t="str">
        <f aca="true">IF(H35="✅ DONE",TEXT(TODAY(),"DD/MM/YYYY"),"")</f>
        <v/>
      </c>
    </row>
    <row r="36" customFormat="false" ht="15" hidden="false" customHeight="false" outlineLevel="0" collapsed="false">
      <c r="A36" s="23"/>
      <c r="B36" s="23"/>
      <c r="D36" s="24"/>
      <c r="E36" s="24" t="str">
        <f aca="false">IF(C36="","",IF(D36="","",D36+CHOOSE(MIN(C36+1,8),0,1,3,7,15,30,60,90)))</f>
        <v/>
      </c>
      <c r="F36" s="25" t="str">
        <f aca="true">IF(E36="","",E36-TODAY())</f>
        <v/>
      </c>
      <c r="G36" s="0" t="str">
        <f aca="false">IF(A36="","",IF(C36&gt;=7,"✅ Mastered",IF(F36&lt;0,"🔴 OVERDUE",IF(F36=0,"🟡 TODAY",IF(F36&lt;=2,"🟠 SOON","🟢 Later")))))</f>
        <v/>
      </c>
      <c r="I36" s="0" t="str">
        <f aca="true">IF(H36="✅ DONE",TEXT(TODAY(),"DD/MM/YYYY"),"")</f>
        <v/>
      </c>
    </row>
    <row r="37" customFormat="false" ht="15" hidden="false" customHeight="false" outlineLevel="0" collapsed="false">
      <c r="A37" s="23"/>
      <c r="B37" s="23"/>
      <c r="D37" s="24"/>
      <c r="E37" s="24" t="str">
        <f aca="false">IF(C37="","",IF(D37="","",D37+CHOOSE(MIN(C37+1,8),0,1,3,7,15,30,60,90)))</f>
        <v/>
      </c>
      <c r="F37" s="25" t="str">
        <f aca="true">IF(E37="","",E37-TODAY())</f>
        <v/>
      </c>
      <c r="G37" s="0" t="str">
        <f aca="false">IF(A37="","",IF(C37&gt;=7,"✅ Mastered",IF(F37&lt;0,"🔴 OVERDUE",IF(F37=0,"🟡 TODAY",IF(F37&lt;=2,"🟠 SOON","🟢 Later")))))</f>
        <v/>
      </c>
      <c r="I37" s="0" t="str">
        <f aca="true">IF(H37="✅ DONE",TEXT(TODAY(),"DD/MM/YYYY"),"")</f>
        <v/>
      </c>
    </row>
    <row r="38" customFormat="false" ht="15" hidden="false" customHeight="false" outlineLevel="0" collapsed="false">
      <c r="A38" s="23"/>
      <c r="B38" s="23"/>
      <c r="D38" s="24"/>
      <c r="E38" s="24" t="str">
        <f aca="false">IF(C38="","",IF(D38="","",D38+CHOOSE(MIN(C38+1,8),0,1,3,7,15,30,60,90)))</f>
        <v/>
      </c>
      <c r="F38" s="25" t="str">
        <f aca="true">IF(E38="","",E38-TODAY())</f>
        <v/>
      </c>
      <c r="G38" s="0" t="str">
        <f aca="false">IF(A38="","",IF(C38&gt;=7,"✅ Mastered",IF(F38&lt;0,"🔴 OVERDUE",IF(F38=0,"🟡 TODAY",IF(F38&lt;=2,"🟠 SOON","🟢 Later")))))</f>
        <v/>
      </c>
      <c r="I38" s="0" t="str">
        <f aca="true">IF(H38="✅ DONE",TEXT(TODAY(),"DD/MM/YYYY"),"")</f>
        <v/>
      </c>
    </row>
    <row r="39" customFormat="false" ht="15" hidden="false" customHeight="false" outlineLevel="0" collapsed="false">
      <c r="A39" s="23"/>
      <c r="B39" s="23"/>
      <c r="D39" s="24"/>
      <c r="E39" s="24" t="str">
        <f aca="false">IF(C39="","",IF(D39="","",D39+CHOOSE(MIN(C39+1,8),0,1,3,7,15,30,60,90)))</f>
        <v/>
      </c>
      <c r="F39" s="25" t="str">
        <f aca="true">IF(E39="","",E39-TODAY())</f>
        <v/>
      </c>
      <c r="G39" s="0" t="str">
        <f aca="false">IF(A39="","",IF(C39&gt;=7,"✅ Mastered",IF(F39&lt;0,"🔴 OVERDUE",IF(F39=0,"🟡 TODAY",IF(F39&lt;=2,"🟠 SOON","🟢 Later")))))</f>
        <v/>
      </c>
      <c r="I39" s="0" t="str">
        <f aca="true">IF(H39="✅ DONE",TEXT(TODAY(),"DD/MM/YYYY"),"")</f>
        <v/>
      </c>
    </row>
    <row r="40" customFormat="false" ht="15" hidden="false" customHeight="false" outlineLevel="0" collapsed="false">
      <c r="A40" s="23"/>
      <c r="B40" s="23"/>
      <c r="D40" s="24"/>
      <c r="E40" s="24" t="str">
        <f aca="false">IF(C40="","",IF(D40="","",D40+CHOOSE(MIN(C40+1,8),0,1,3,7,15,30,60,90)))</f>
        <v/>
      </c>
      <c r="F40" s="25" t="str">
        <f aca="true">IF(E40="","",E40-TODAY())</f>
        <v/>
      </c>
      <c r="G40" s="0" t="str">
        <f aca="false">IF(A40="","",IF(C40&gt;=7,"✅ Mastered",IF(F40&lt;0,"🔴 OVERDUE",IF(F40=0,"🟡 TODAY",IF(F40&lt;=2,"🟠 SOON","🟢 Later")))))</f>
        <v/>
      </c>
      <c r="I40" s="0" t="str">
        <f aca="true">IF(H40="✅ DONE",TEXT(TODAY(),"DD/MM/YYYY"),"")</f>
        <v/>
      </c>
    </row>
    <row r="41" customFormat="false" ht="15" hidden="false" customHeight="false" outlineLevel="0" collapsed="false">
      <c r="A41" s="23"/>
      <c r="B41" s="23"/>
      <c r="D41" s="24"/>
      <c r="E41" s="24" t="str">
        <f aca="false">IF(C41="","",IF(D41="","",D41+CHOOSE(MIN(C41+1,8),0,1,3,7,15,30,60,90)))</f>
        <v/>
      </c>
      <c r="F41" s="25" t="str">
        <f aca="true">IF(E41="","",E41-TODAY())</f>
        <v/>
      </c>
      <c r="G41" s="0" t="str">
        <f aca="false">IF(A41="","",IF(C41&gt;=7,"✅ Mastered",IF(F41&lt;0,"🔴 OVERDUE",IF(F41=0,"🟡 TODAY",IF(F41&lt;=2,"🟠 SOON","🟢 Later")))))</f>
        <v/>
      </c>
      <c r="I41" s="0" t="str">
        <f aca="true">IF(H41="✅ DONE",TEXT(TODAY(),"DD/MM/YYYY"),"")</f>
        <v/>
      </c>
    </row>
    <row r="42" customFormat="false" ht="15" hidden="false" customHeight="false" outlineLevel="0" collapsed="false">
      <c r="A42" s="23"/>
      <c r="B42" s="23"/>
      <c r="D42" s="24"/>
      <c r="E42" s="24" t="str">
        <f aca="false">IF(C42="","",IF(D42="","",D42+CHOOSE(MIN(C42+1,8),0,1,3,7,15,30,60,90)))</f>
        <v/>
      </c>
      <c r="F42" s="25" t="str">
        <f aca="true">IF(E42="","",E42-TODAY())</f>
        <v/>
      </c>
      <c r="G42" s="0" t="str">
        <f aca="false">IF(A42="","",IF(C42&gt;=7,"✅ Mastered",IF(F42&lt;0,"🔴 OVERDUE",IF(F42=0,"🟡 TODAY",IF(F42&lt;=2,"🟠 SOON","🟢 Later")))))</f>
        <v/>
      </c>
      <c r="I42" s="0" t="str">
        <f aca="true">IF(H42="✅ DONE",TEXT(TODAY(),"DD/MM/YYYY"),"")</f>
        <v/>
      </c>
    </row>
    <row r="43" customFormat="false" ht="15" hidden="false" customHeight="false" outlineLevel="0" collapsed="false">
      <c r="A43" s="23"/>
      <c r="B43" s="23"/>
      <c r="D43" s="24"/>
      <c r="E43" s="24" t="str">
        <f aca="false">IF(C43="","",IF(D43="","",D43+CHOOSE(MIN(C43+1,8),0,1,3,7,15,30,60,90)))</f>
        <v/>
      </c>
      <c r="F43" s="25" t="str">
        <f aca="true">IF(E43="","",E43-TODAY())</f>
        <v/>
      </c>
      <c r="G43" s="0" t="str">
        <f aca="false">IF(A43="","",IF(C43&gt;=7,"✅ Mastered",IF(F43&lt;0,"🔴 OVERDUE",IF(F43=0,"🟡 TODAY",IF(F43&lt;=2,"🟠 SOON","🟢 Later")))))</f>
        <v/>
      </c>
      <c r="I43" s="0" t="str">
        <f aca="true">IF(H43="✅ DONE",TEXT(TODAY(),"DD/MM/YYYY"),"")</f>
        <v/>
      </c>
    </row>
    <row r="44" customFormat="false" ht="15" hidden="false" customHeight="false" outlineLevel="0" collapsed="false">
      <c r="A44" s="23"/>
      <c r="B44" s="23"/>
      <c r="D44" s="24"/>
      <c r="E44" s="24" t="str">
        <f aca="false">IF(C44="","",IF(D44="","",D44+CHOOSE(MIN(C44+1,8),0,1,3,7,15,30,60,90)))</f>
        <v/>
      </c>
      <c r="F44" s="25" t="str">
        <f aca="true">IF(E44="","",E44-TODAY())</f>
        <v/>
      </c>
      <c r="G44" s="0" t="str">
        <f aca="false">IF(A44="","",IF(C44&gt;=7,"✅ Mastered",IF(F44&lt;0,"🔴 OVERDUE",IF(F44=0,"🟡 TODAY",IF(F44&lt;=2,"🟠 SOON","🟢 Later")))))</f>
        <v/>
      </c>
      <c r="I44" s="0" t="str">
        <f aca="true">IF(H44="✅ DONE",TEXT(TODAY(),"DD/MM/YYYY"),"")</f>
        <v/>
      </c>
    </row>
    <row r="45" customFormat="false" ht="15" hidden="false" customHeight="false" outlineLevel="0" collapsed="false">
      <c r="A45" s="23"/>
      <c r="B45" s="23"/>
      <c r="D45" s="24"/>
      <c r="E45" s="24" t="str">
        <f aca="false">IF(C45="","",IF(D45="","",D45+CHOOSE(MIN(C45+1,8),0,1,3,7,15,30,60,90)))</f>
        <v/>
      </c>
      <c r="F45" s="25" t="str">
        <f aca="true">IF(E45="","",E45-TODAY())</f>
        <v/>
      </c>
      <c r="G45" s="0" t="str">
        <f aca="false">IF(A45="","",IF(C45&gt;=7,"✅ Mastered",IF(F45&lt;0,"🔴 OVERDUE",IF(F45=0,"🟡 TODAY",IF(F45&lt;=2,"🟠 SOON","🟢 Later")))))</f>
        <v/>
      </c>
      <c r="I45" s="0" t="str">
        <f aca="true">IF(H45="✅ DONE",TEXT(TODAY(),"DD/MM/YYYY"),"")</f>
        <v/>
      </c>
    </row>
    <row r="46" customFormat="false" ht="15" hidden="false" customHeight="false" outlineLevel="0" collapsed="false">
      <c r="A46" s="23"/>
      <c r="B46" s="23"/>
      <c r="D46" s="24"/>
      <c r="E46" s="24" t="str">
        <f aca="false">IF(C46="","",IF(D46="","",D46+CHOOSE(MIN(C46+1,8),0,1,3,7,15,30,60,90)))</f>
        <v/>
      </c>
      <c r="F46" s="25" t="str">
        <f aca="true">IF(E46="","",E46-TODAY())</f>
        <v/>
      </c>
      <c r="G46" s="0" t="str">
        <f aca="false">IF(A46="","",IF(C46&gt;=7,"✅ Mastered",IF(F46&lt;0,"🔴 OVERDUE",IF(F46=0,"🟡 TODAY",IF(F46&lt;=2,"🟠 SOON","🟢 Later")))))</f>
        <v/>
      </c>
      <c r="I46" s="0" t="str">
        <f aca="true">IF(H46="✅ DONE",TEXT(TODAY(),"DD/MM/YYYY"),"")</f>
        <v/>
      </c>
    </row>
    <row r="47" customFormat="false" ht="15" hidden="false" customHeight="false" outlineLevel="0" collapsed="false">
      <c r="A47" s="23"/>
      <c r="B47" s="23"/>
      <c r="D47" s="24"/>
      <c r="E47" s="24" t="str">
        <f aca="false">IF(C47="","",IF(D47="","",D47+CHOOSE(MIN(C47+1,8),0,1,3,7,15,30,60,90)))</f>
        <v/>
      </c>
      <c r="F47" s="25" t="str">
        <f aca="true">IF(E47="","",E47-TODAY())</f>
        <v/>
      </c>
      <c r="G47" s="0" t="str">
        <f aca="false">IF(A47="","",IF(C47&gt;=7,"✅ Mastered",IF(F47&lt;0,"🔴 OVERDUE",IF(F47=0,"🟡 TODAY",IF(F47&lt;=2,"🟠 SOON","🟢 Later")))))</f>
        <v/>
      </c>
      <c r="I47" s="0" t="str">
        <f aca="true">IF(H47="✅ DONE",TEXT(TODAY(),"DD/MM/YYYY"),"")</f>
        <v/>
      </c>
    </row>
    <row r="48" customFormat="false" ht="15" hidden="false" customHeight="false" outlineLevel="0" collapsed="false">
      <c r="A48" s="23"/>
      <c r="B48" s="23"/>
      <c r="D48" s="24"/>
      <c r="E48" s="24" t="str">
        <f aca="false">IF(C48="","",IF(D48="","",D48+CHOOSE(MIN(C48+1,8),0,1,3,7,15,30,60,90)))</f>
        <v/>
      </c>
      <c r="F48" s="25" t="str">
        <f aca="true">IF(E48="","",E48-TODAY())</f>
        <v/>
      </c>
      <c r="G48" s="0" t="str">
        <f aca="false">IF(A48="","",IF(C48&gt;=7,"✅ Mastered",IF(F48&lt;0,"🔴 OVERDUE",IF(F48=0,"🟡 TODAY",IF(F48&lt;=2,"🟠 SOON","🟢 Later")))))</f>
        <v/>
      </c>
      <c r="I48" s="0" t="str">
        <f aca="true">IF(H48="✅ DONE",TEXT(TODAY(),"DD/MM/YYYY"),"")</f>
        <v/>
      </c>
    </row>
    <row r="49" customFormat="false" ht="15" hidden="false" customHeight="false" outlineLevel="0" collapsed="false">
      <c r="A49" s="23"/>
      <c r="B49" s="23"/>
      <c r="D49" s="24"/>
      <c r="E49" s="24" t="str">
        <f aca="false">IF(C49="","",IF(D49="","",D49+CHOOSE(MIN(C49+1,8),0,1,3,7,15,30,60,90)))</f>
        <v/>
      </c>
      <c r="F49" s="25" t="str">
        <f aca="true">IF(E49="","",E49-TODAY())</f>
        <v/>
      </c>
      <c r="G49" s="0" t="str">
        <f aca="false">IF(A49="","",IF(C49&gt;=7,"✅ Mastered",IF(F49&lt;0,"🔴 OVERDUE",IF(F49=0,"🟡 TODAY",IF(F49&lt;=2,"🟠 SOON","🟢 Later")))))</f>
        <v/>
      </c>
      <c r="I49" s="0" t="str">
        <f aca="true">IF(H49="✅ DONE",TEXT(TODAY(),"DD/MM/YYYY"),"")</f>
        <v/>
      </c>
    </row>
    <row r="50" customFormat="false" ht="15" hidden="false" customHeight="false" outlineLevel="0" collapsed="false">
      <c r="A50" s="23"/>
      <c r="B50" s="23"/>
      <c r="D50" s="24"/>
      <c r="E50" s="24" t="str">
        <f aca="false">IF(C50="","",IF(D50="","",D50+CHOOSE(MIN(C50+1,8),0,1,3,7,15,30,60,90)))</f>
        <v/>
      </c>
      <c r="F50" s="25" t="str">
        <f aca="true">IF(E50="","",E50-TODAY())</f>
        <v/>
      </c>
      <c r="G50" s="0" t="str">
        <f aca="false">IF(A50="","",IF(C50&gt;=7,"✅ Mastered",IF(F50&lt;0,"🔴 OVERDUE",IF(F50=0,"🟡 TODAY",IF(F50&lt;=2,"🟠 SOON","🟢 Later")))))</f>
        <v/>
      </c>
      <c r="I50" s="0" t="str">
        <f aca="true">IF(H50="✅ DONE",TEXT(TODAY(),"DD/MM/YYYY"),"")</f>
        <v/>
      </c>
    </row>
    <row r="51" customFormat="false" ht="15" hidden="false" customHeight="false" outlineLevel="0" collapsed="false">
      <c r="A51" s="23"/>
      <c r="B51" s="23"/>
      <c r="D51" s="24"/>
      <c r="E51" s="24" t="str">
        <f aca="false">IF(C51="","",IF(D51="","",D51+CHOOSE(MIN(C51+1,8),0,1,3,7,15,30,60,90)))</f>
        <v/>
      </c>
      <c r="F51" s="25" t="str">
        <f aca="true">IF(E51="","",E51-TODAY())</f>
        <v/>
      </c>
      <c r="G51" s="0" t="str">
        <f aca="false">IF(A51="","",IF(C51&gt;=7,"✅ Mastered",IF(F51&lt;0,"🔴 OVERDUE",IF(F51=0,"🟡 TODAY",IF(F51&lt;=2,"🟠 SOON","🟢 Later")))))</f>
        <v/>
      </c>
      <c r="I51" s="0" t="str">
        <f aca="true">IF(H51="✅ DONE",TEXT(TODAY(),"DD/MM/YYYY"),"")</f>
        <v/>
      </c>
    </row>
    <row r="52" customFormat="false" ht="15" hidden="false" customHeight="false" outlineLevel="0" collapsed="false">
      <c r="A52" s="23"/>
      <c r="B52" s="23"/>
      <c r="D52" s="24"/>
      <c r="E52" s="24" t="str">
        <f aca="false">IF(C52="","",IF(D52="","",D52+CHOOSE(MIN(C52+1,8),0,1,3,7,15,30,60,90)))</f>
        <v/>
      </c>
      <c r="F52" s="25" t="str">
        <f aca="true">IF(E52="","",E52-TODAY())</f>
        <v/>
      </c>
      <c r="G52" s="0" t="str">
        <f aca="false">IF(A52="","",IF(C52&gt;=7,"✅ Mastered",IF(F52&lt;0,"🔴 OVERDUE",IF(F52=0,"🟡 TODAY",IF(F52&lt;=2,"🟠 SOON","🟢 Later")))))</f>
        <v/>
      </c>
      <c r="I52" s="0" t="str">
        <f aca="true">IF(H52="✅ DONE",TEXT(TODAY(),"DD/MM/YYYY"),"")</f>
        <v/>
      </c>
    </row>
    <row r="53" customFormat="false" ht="15" hidden="false" customHeight="false" outlineLevel="0" collapsed="false">
      <c r="A53" s="23"/>
      <c r="B53" s="23"/>
      <c r="D53" s="24"/>
      <c r="E53" s="24" t="str">
        <f aca="false">IF(C53="","",IF(D53="","",D53+CHOOSE(MIN(C53+1,8),0,1,3,7,15,30,60,90)))</f>
        <v/>
      </c>
      <c r="F53" s="25" t="str">
        <f aca="true">IF(E53="","",E53-TODAY())</f>
        <v/>
      </c>
      <c r="G53" s="0" t="str">
        <f aca="false">IF(A53="","",IF(C53&gt;=7,"✅ Mastered",IF(F53&lt;0,"🔴 OVERDUE",IF(F53=0,"🟡 TODAY",IF(F53&lt;=2,"🟠 SOON","🟢 Later")))))</f>
        <v/>
      </c>
      <c r="I53" s="0" t="str">
        <f aca="true">IF(H53="✅ DONE",TEXT(TODAY(),"DD/MM/YYYY"),"")</f>
        <v/>
      </c>
    </row>
    <row r="54" customFormat="false" ht="15" hidden="false" customHeight="false" outlineLevel="0" collapsed="false">
      <c r="A54" s="23"/>
      <c r="B54" s="23"/>
      <c r="D54" s="24"/>
      <c r="E54" s="24" t="str">
        <f aca="false">IF(C54="","",IF(D54="","",D54+CHOOSE(MIN(C54+1,8),0,1,3,7,15,30,60,90)))</f>
        <v/>
      </c>
      <c r="F54" s="25" t="str">
        <f aca="true">IF(E54="","",E54-TODAY())</f>
        <v/>
      </c>
      <c r="G54" s="0" t="str">
        <f aca="false">IF(A54="","",IF(C54&gt;=7,"✅ Mastered",IF(F54&lt;0,"🔴 OVERDUE",IF(F54=0,"🟡 TODAY",IF(F54&lt;=2,"🟠 SOON","🟢 Later")))))</f>
        <v/>
      </c>
      <c r="I54" s="0" t="str">
        <f aca="true">IF(H54="✅ DONE",TEXT(TODAY(),"DD/MM/YYYY"),"")</f>
        <v/>
      </c>
    </row>
    <row r="55" customFormat="false" ht="15" hidden="false" customHeight="false" outlineLevel="0" collapsed="false">
      <c r="A55" s="23"/>
      <c r="B55" s="23"/>
      <c r="D55" s="24"/>
      <c r="E55" s="24" t="str">
        <f aca="false">IF(C55="","",IF(D55="","",D55+CHOOSE(MIN(C55+1,8),0,1,3,7,15,30,60,90)))</f>
        <v/>
      </c>
      <c r="F55" s="25" t="str">
        <f aca="true">IF(E55="","",E55-TODAY())</f>
        <v/>
      </c>
      <c r="G55" s="0" t="str">
        <f aca="false">IF(A55="","",IF(C55&gt;=7,"✅ Mastered",IF(F55&lt;0,"🔴 OVERDUE",IF(F55=0,"🟡 TODAY",IF(F55&lt;=2,"🟠 SOON","🟢 Later")))))</f>
        <v/>
      </c>
      <c r="I55" s="0" t="str">
        <f aca="true">IF(H55="✅ DONE",TEXT(TODAY(),"DD/MM/YYYY"),"")</f>
        <v/>
      </c>
    </row>
    <row r="56" customFormat="false" ht="15" hidden="false" customHeight="false" outlineLevel="0" collapsed="false">
      <c r="A56" s="23"/>
      <c r="B56" s="23"/>
      <c r="D56" s="24"/>
      <c r="E56" s="24" t="str">
        <f aca="false">IF(C56="","",IF(D56="","",D56+CHOOSE(MIN(C56+1,8),0,1,3,7,15,30,60,90)))</f>
        <v/>
      </c>
      <c r="F56" s="25" t="str">
        <f aca="true">IF(E56="","",E56-TODAY())</f>
        <v/>
      </c>
      <c r="G56" s="0" t="str">
        <f aca="false">IF(A56="","",IF(C56&gt;=7,"✅ Mastered",IF(F56&lt;0,"🔴 OVERDUE",IF(F56=0,"🟡 TODAY",IF(F56&lt;=2,"🟠 SOON","🟢 Later")))))</f>
        <v/>
      </c>
      <c r="I56" s="0" t="str">
        <f aca="true">IF(H56="✅ DONE",TEXT(TODAY(),"DD/MM/YYYY"),"")</f>
        <v/>
      </c>
    </row>
    <row r="57" customFormat="false" ht="15" hidden="false" customHeight="false" outlineLevel="0" collapsed="false">
      <c r="A57" s="23"/>
      <c r="B57" s="23"/>
      <c r="D57" s="24"/>
      <c r="E57" s="24" t="str">
        <f aca="false">IF(C57="","",IF(D57="","",D57+CHOOSE(MIN(C57+1,8),0,1,3,7,15,30,60,90)))</f>
        <v/>
      </c>
      <c r="F57" s="25" t="str">
        <f aca="true">IF(E57="","",E57-TODAY())</f>
        <v/>
      </c>
      <c r="G57" s="0" t="str">
        <f aca="false">IF(A57="","",IF(C57&gt;=7,"✅ Mastered",IF(F57&lt;0,"🔴 OVERDUE",IF(F57=0,"🟡 TODAY",IF(F57&lt;=2,"🟠 SOON","🟢 Later")))))</f>
        <v/>
      </c>
      <c r="I57" s="0" t="str">
        <f aca="true">IF(H57="✅ DONE",TEXT(TODAY(),"DD/MM/YYYY"),"")</f>
        <v/>
      </c>
    </row>
    <row r="58" customFormat="false" ht="15" hidden="false" customHeight="false" outlineLevel="0" collapsed="false">
      <c r="A58" s="23"/>
      <c r="B58" s="23"/>
      <c r="D58" s="24"/>
      <c r="E58" s="24" t="str">
        <f aca="false">IF(C58="","",IF(D58="","",D58+CHOOSE(MIN(C58+1,8),0,1,3,7,15,30,60,90)))</f>
        <v/>
      </c>
      <c r="F58" s="25" t="str">
        <f aca="true">IF(E58="","",E58-TODAY())</f>
        <v/>
      </c>
      <c r="G58" s="0" t="str">
        <f aca="false">IF(A58="","",IF(C58&gt;=7,"✅ Mastered",IF(F58&lt;0,"🔴 OVERDUE",IF(F58=0,"🟡 TODAY",IF(F58&lt;=2,"🟠 SOON","🟢 Later")))))</f>
        <v/>
      </c>
      <c r="I58" s="0" t="str">
        <f aca="true">IF(H58="✅ DONE",TEXT(TODAY(),"DD/MM/YYYY"),"")</f>
        <v/>
      </c>
    </row>
    <row r="59" customFormat="false" ht="15" hidden="false" customHeight="false" outlineLevel="0" collapsed="false">
      <c r="A59" s="23"/>
      <c r="B59" s="23"/>
      <c r="D59" s="24"/>
      <c r="E59" s="24" t="str">
        <f aca="false">IF(C59="","",IF(D59="","",D59+CHOOSE(MIN(C59+1,8),0,1,3,7,15,30,60,90)))</f>
        <v/>
      </c>
      <c r="F59" s="25" t="str">
        <f aca="true">IF(E59="","",E59-TODAY())</f>
        <v/>
      </c>
      <c r="G59" s="0" t="str">
        <f aca="false">IF(A59="","",IF(C59&gt;=7,"✅ Mastered",IF(F59&lt;0,"🔴 OVERDUE",IF(F59=0,"🟡 TODAY",IF(F59&lt;=2,"🟠 SOON","🟢 Later")))))</f>
        <v/>
      </c>
      <c r="I59" s="0" t="str">
        <f aca="true">IF(H59="✅ DONE",TEXT(TODAY(),"DD/MM/YYYY"),"")</f>
        <v/>
      </c>
    </row>
    <row r="60" customFormat="false" ht="15" hidden="false" customHeight="false" outlineLevel="0" collapsed="false">
      <c r="A60" s="23"/>
      <c r="B60" s="23"/>
      <c r="D60" s="24"/>
      <c r="E60" s="24" t="str">
        <f aca="false">IF(C60="","",IF(D60="","",D60+CHOOSE(MIN(C60+1,8),0,1,3,7,15,30,60,90)))</f>
        <v/>
      </c>
      <c r="F60" s="25" t="str">
        <f aca="true">IF(E60="","",E60-TODAY())</f>
        <v/>
      </c>
      <c r="G60" s="0" t="str">
        <f aca="false">IF(A60="","",IF(C60&gt;=7,"✅ Mastered",IF(F60&lt;0,"🔴 OVERDUE",IF(F60=0,"🟡 TODAY",IF(F60&lt;=2,"🟠 SOON","🟢 Later")))))</f>
        <v/>
      </c>
      <c r="I60" s="0" t="str">
        <f aca="true">IF(H60="✅ DONE",TEXT(TODAY(),"DD/MM/YYYY"),"")</f>
        <v/>
      </c>
    </row>
    <row r="61" customFormat="false" ht="15" hidden="false" customHeight="false" outlineLevel="0" collapsed="false">
      <c r="A61" s="23"/>
      <c r="B61" s="23"/>
      <c r="D61" s="24"/>
      <c r="E61" s="24" t="str">
        <f aca="false">IF(C61="","",IF(D61="","",D61+CHOOSE(MIN(C61+1,8),0,1,3,7,15,30,60,90)))</f>
        <v/>
      </c>
      <c r="F61" s="25" t="str">
        <f aca="true">IF(E61="","",E61-TODAY())</f>
        <v/>
      </c>
      <c r="G61" s="0" t="str">
        <f aca="false">IF(A61="","",IF(C61&gt;=7,"✅ Mastered",IF(F61&lt;0,"🔴 OVERDUE",IF(F61=0,"🟡 TODAY",IF(F61&lt;=2,"🟠 SOON","🟢 Later")))))</f>
        <v/>
      </c>
      <c r="I61" s="0" t="str">
        <f aca="true">IF(H61="✅ DONE",TEXT(TODAY(),"DD/MM/YYYY"),"")</f>
        <v/>
      </c>
    </row>
    <row r="62" customFormat="false" ht="15" hidden="false" customHeight="false" outlineLevel="0" collapsed="false">
      <c r="A62" s="23"/>
      <c r="B62" s="23"/>
      <c r="D62" s="24"/>
      <c r="E62" s="24" t="str">
        <f aca="false">IF(C62="","",IF(D62="","",D62+CHOOSE(MIN(C62+1,8),0,1,3,7,15,30,60,90)))</f>
        <v/>
      </c>
      <c r="F62" s="25" t="str">
        <f aca="true">IF(E62="","",E62-TODAY())</f>
        <v/>
      </c>
      <c r="G62" s="0" t="str">
        <f aca="false">IF(A62="","",IF(C62&gt;=7,"✅ Mastered",IF(F62&lt;0,"🔴 OVERDUE",IF(F62=0,"🟡 TODAY",IF(F62&lt;=2,"🟠 SOON","🟢 Later")))))</f>
        <v/>
      </c>
      <c r="I62" s="0" t="str">
        <f aca="true">IF(H62="✅ DONE",TEXT(TODAY(),"DD/MM/YYYY"),"")</f>
        <v/>
      </c>
    </row>
    <row r="63" customFormat="false" ht="15" hidden="false" customHeight="false" outlineLevel="0" collapsed="false">
      <c r="A63" s="23"/>
      <c r="B63" s="23"/>
      <c r="D63" s="24"/>
      <c r="E63" s="24" t="str">
        <f aca="false">IF(C63="","",IF(D63="","",D63+CHOOSE(MIN(C63+1,8),0,1,3,7,15,30,60,90)))</f>
        <v/>
      </c>
      <c r="F63" s="25" t="str">
        <f aca="true">IF(E63="","",E63-TODAY())</f>
        <v/>
      </c>
      <c r="G63" s="0" t="str">
        <f aca="false">IF(A63="","",IF(C63&gt;=7,"✅ Mastered",IF(F63&lt;0,"🔴 OVERDUE",IF(F63=0,"🟡 TODAY",IF(F63&lt;=2,"🟠 SOON","🟢 Later")))))</f>
        <v/>
      </c>
      <c r="I63" s="0" t="str">
        <f aca="true">IF(H63="✅ DONE",TEXT(TODAY(),"DD/MM/YYYY"),"")</f>
        <v/>
      </c>
    </row>
    <row r="64" customFormat="false" ht="15" hidden="false" customHeight="false" outlineLevel="0" collapsed="false">
      <c r="A64" s="23"/>
      <c r="B64" s="23"/>
      <c r="D64" s="24"/>
      <c r="E64" s="24" t="str">
        <f aca="false">IF(C64="","",IF(D64="","",D64+CHOOSE(MIN(C64+1,8),0,1,3,7,15,30,60,90)))</f>
        <v/>
      </c>
      <c r="F64" s="25" t="str">
        <f aca="true">IF(E64="","",E64-TODAY())</f>
        <v/>
      </c>
      <c r="G64" s="0" t="str">
        <f aca="false">IF(A64="","",IF(C64&gt;=7,"✅ Mastered",IF(F64&lt;0,"🔴 OVERDUE",IF(F64=0,"🟡 TODAY",IF(F64&lt;=2,"🟠 SOON","🟢 Later")))))</f>
        <v/>
      </c>
      <c r="I64" s="0" t="str">
        <f aca="true">IF(H64="✅ DONE",TEXT(TODAY(),"DD/MM/YYYY"),"")</f>
        <v/>
      </c>
    </row>
    <row r="65" customFormat="false" ht="15" hidden="false" customHeight="false" outlineLevel="0" collapsed="false">
      <c r="A65" s="23"/>
      <c r="B65" s="23"/>
      <c r="D65" s="24"/>
      <c r="E65" s="24" t="str">
        <f aca="false">IF(C65="","",IF(D65="","",D65+CHOOSE(MIN(C65+1,8),0,1,3,7,15,30,60,90)))</f>
        <v/>
      </c>
      <c r="F65" s="25" t="str">
        <f aca="true">IF(E65="","",E65-TODAY())</f>
        <v/>
      </c>
      <c r="G65" s="0" t="str">
        <f aca="false">IF(A65="","",IF(C65&gt;=7,"✅ Mastered",IF(F65&lt;0,"🔴 OVERDUE",IF(F65=0,"🟡 TODAY",IF(F65&lt;=2,"🟠 SOON","🟢 Later")))))</f>
        <v/>
      </c>
      <c r="I65" s="0" t="str">
        <f aca="true">IF(H65="✅ DONE",TEXT(TODAY(),"DD/MM/YYYY"),"")</f>
        <v/>
      </c>
    </row>
    <row r="66" customFormat="false" ht="15" hidden="false" customHeight="false" outlineLevel="0" collapsed="false">
      <c r="A66" s="23"/>
      <c r="B66" s="23"/>
      <c r="D66" s="24"/>
      <c r="E66" s="24" t="str">
        <f aca="false">IF(C66="","",IF(D66="","",D66+CHOOSE(MIN(C66+1,8),0,1,3,7,15,30,60,90)))</f>
        <v/>
      </c>
      <c r="F66" s="25" t="str">
        <f aca="true">IF(E66="","",E66-TODAY())</f>
        <v/>
      </c>
      <c r="G66" s="0" t="str">
        <f aca="false">IF(A66="","",IF(C66&gt;=7,"✅ Mastered",IF(F66&lt;0,"🔴 OVERDUE",IF(F66=0,"🟡 TODAY",IF(F66&lt;=2,"🟠 SOON","🟢 Later")))))</f>
        <v/>
      </c>
      <c r="I66" s="0" t="str">
        <f aca="true">IF(H66="✅ DONE",TEXT(TODAY(),"DD/MM/YYYY"),"")</f>
        <v/>
      </c>
    </row>
    <row r="67" customFormat="false" ht="15" hidden="false" customHeight="false" outlineLevel="0" collapsed="false">
      <c r="A67" s="23"/>
      <c r="B67" s="23"/>
      <c r="D67" s="24"/>
      <c r="E67" s="24" t="str">
        <f aca="false">IF(C67="","",IF(D67="","",D67+CHOOSE(MIN(C67+1,8),0,1,3,7,15,30,60,90)))</f>
        <v/>
      </c>
      <c r="F67" s="25" t="str">
        <f aca="true">IF(E67="","",E67-TODAY())</f>
        <v/>
      </c>
      <c r="G67" s="0" t="str">
        <f aca="false">IF(A67="","",IF(C67&gt;=7,"✅ Mastered",IF(F67&lt;0,"🔴 OVERDUE",IF(F67=0,"🟡 TODAY",IF(F67&lt;=2,"🟠 SOON","🟢 Later")))))</f>
        <v/>
      </c>
      <c r="I67" s="0" t="str">
        <f aca="true">IF(H67="✅ DONE",TEXT(TODAY(),"DD/MM/YYYY"),"")</f>
        <v/>
      </c>
    </row>
    <row r="68" customFormat="false" ht="15" hidden="false" customHeight="false" outlineLevel="0" collapsed="false">
      <c r="A68" s="23"/>
      <c r="B68" s="23"/>
      <c r="D68" s="24"/>
      <c r="E68" s="24" t="str">
        <f aca="false">IF(C68="","",IF(D68="","",D68+CHOOSE(MIN(C68+1,8),0,1,3,7,15,30,60,90)))</f>
        <v/>
      </c>
      <c r="F68" s="25" t="str">
        <f aca="true">IF(E68="","",E68-TODAY())</f>
        <v/>
      </c>
      <c r="G68" s="0" t="str">
        <f aca="false">IF(A68="","",IF(C68&gt;=7,"✅ Mastered",IF(F68&lt;0,"🔴 OVERDUE",IF(F68=0,"🟡 TODAY",IF(F68&lt;=2,"🟠 SOON","🟢 Later")))))</f>
        <v/>
      </c>
      <c r="I68" s="0" t="str">
        <f aca="true">IF(H68="✅ DONE",TEXT(TODAY(),"DD/MM/YYYY"),"")</f>
        <v/>
      </c>
    </row>
    <row r="69" customFormat="false" ht="15" hidden="false" customHeight="false" outlineLevel="0" collapsed="false">
      <c r="A69" s="23"/>
      <c r="B69" s="23"/>
      <c r="D69" s="24"/>
      <c r="E69" s="24" t="str">
        <f aca="false">IF(C69="","",IF(D69="","",D69+CHOOSE(MIN(C69+1,8),0,1,3,7,15,30,60,90)))</f>
        <v/>
      </c>
      <c r="F69" s="25" t="str">
        <f aca="true">IF(E69="","",E69-TODAY())</f>
        <v/>
      </c>
      <c r="G69" s="0" t="str">
        <f aca="false">IF(A69="","",IF(C69&gt;=7,"✅ Mastered",IF(F69&lt;0,"🔴 OVERDUE",IF(F69=0,"🟡 TODAY",IF(F69&lt;=2,"🟠 SOON","🟢 Later")))))</f>
        <v/>
      </c>
      <c r="I69" s="0" t="str">
        <f aca="true">IF(H69="✅ DONE",TEXT(TODAY(),"DD/MM/YYYY"),"")</f>
        <v/>
      </c>
    </row>
    <row r="70" customFormat="false" ht="15" hidden="false" customHeight="false" outlineLevel="0" collapsed="false">
      <c r="A70" s="23"/>
      <c r="B70" s="23"/>
      <c r="D70" s="24"/>
      <c r="E70" s="24" t="str">
        <f aca="false">IF(C70="","",IF(D70="","",D70+CHOOSE(MIN(C70+1,8),0,1,3,7,15,30,60,90)))</f>
        <v/>
      </c>
      <c r="F70" s="25" t="str">
        <f aca="true">IF(E70="","",E70-TODAY())</f>
        <v/>
      </c>
      <c r="G70" s="0" t="str">
        <f aca="false">IF(A70="","",IF(C70&gt;=7,"✅ Mastered",IF(F70&lt;0,"🔴 OVERDUE",IF(F70=0,"🟡 TODAY",IF(F70&lt;=2,"🟠 SOON","🟢 Later")))))</f>
        <v/>
      </c>
      <c r="I70" s="0" t="str">
        <f aca="true">IF(H70="✅ DONE",TEXT(TODAY(),"DD/MM/YYYY"),"")</f>
        <v/>
      </c>
    </row>
    <row r="71" customFormat="false" ht="15" hidden="false" customHeight="false" outlineLevel="0" collapsed="false">
      <c r="A71" s="23"/>
      <c r="B71" s="23"/>
      <c r="D71" s="24"/>
      <c r="E71" s="24" t="str">
        <f aca="false">IF(C71="","",IF(D71="","",D71+CHOOSE(MIN(C71+1,8),0,1,3,7,15,30,60,90)))</f>
        <v/>
      </c>
      <c r="F71" s="25" t="str">
        <f aca="true">IF(E71="","",E71-TODAY())</f>
        <v/>
      </c>
      <c r="G71" s="0" t="str">
        <f aca="false">IF(A71="","",IF(C71&gt;=7,"✅ Mastered",IF(F71&lt;0,"🔴 OVERDUE",IF(F71=0,"🟡 TODAY",IF(F71&lt;=2,"🟠 SOON","🟢 Later")))))</f>
        <v/>
      </c>
      <c r="I71" s="0" t="str">
        <f aca="true">IF(H71="✅ DONE",TEXT(TODAY(),"DD/MM/YYYY"),"")</f>
        <v/>
      </c>
    </row>
    <row r="72" customFormat="false" ht="15" hidden="false" customHeight="false" outlineLevel="0" collapsed="false">
      <c r="A72" s="23"/>
      <c r="B72" s="23"/>
      <c r="D72" s="24"/>
      <c r="E72" s="24" t="str">
        <f aca="false">IF(C72="","",IF(D72="","",D72+CHOOSE(MIN(C72+1,8),0,1,3,7,15,30,60,90)))</f>
        <v/>
      </c>
      <c r="F72" s="25" t="str">
        <f aca="true">IF(E72="","",E72-TODAY())</f>
        <v/>
      </c>
      <c r="G72" s="0" t="str">
        <f aca="false">IF(A72="","",IF(C72&gt;=7,"✅ Mastered",IF(F72&lt;0,"🔴 OVERDUE",IF(F72=0,"🟡 TODAY",IF(F72&lt;=2,"🟠 SOON","🟢 Later")))))</f>
        <v/>
      </c>
      <c r="I72" s="0" t="str">
        <f aca="true">IF(H72="✅ DONE",TEXT(TODAY(),"DD/MM/YYYY"),"")</f>
        <v/>
      </c>
    </row>
    <row r="73" customFormat="false" ht="15" hidden="false" customHeight="false" outlineLevel="0" collapsed="false">
      <c r="A73" s="23"/>
      <c r="B73" s="23"/>
      <c r="D73" s="24"/>
      <c r="E73" s="24" t="str">
        <f aca="false">IF(C73="","",IF(D73="","",D73+CHOOSE(MIN(C73+1,8),0,1,3,7,15,30,60,90)))</f>
        <v/>
      </c>
      <c r="F73" s="25" t="str">
        <f aca="true">IF(E73="","",E73-TODAY())</f>
        <v/>
      </c>
      <c r="G73" s="0" t="str">
        <f aca="false">IF(A73="","",IF(C73&gt;=7,"✅ Mastered",IF(F73&lt;0,"🔴 OVERDUE",IF(F73=0,"🟡 TODAY",IF(F73&lt;=2,"🟠 SOON","🟢 Later")))))</f>
        <v/>
      </c>
      <c r="I73" s="0" t="str">
        <f aca="true">IF(H73="✅ DONE",TEXT(TODAY(),"DD/MM/YYYY"),"")</f>
        <v/>
      </c>
    </row>
    <row r="74" customFormat="false" ht="15" hidden="false" customHeight="false" outlineLevel="0" collapsed="false">
      <c r="A74" s="23"/>
      <c r="B74" s="23"/>
      <c r="D74" s="24"/>
      <c r="E74" s="24" t="str">
        <f aca="false">IF(C74="","",IF(D74="","",D74+CHOOSE(MIN(C74+1,8),0,1,3,7,15,30,60,90)))</f>
        <v/>
      </c>
      <c r="F74" s="25" t="str">
        <f aca="true">IF(E74="","",E74-TODAY())</f>
        <v/>
      </c>
      <c r="G74" s="0" t="str">
        <f aca="false">IF(A74="","",IF(C74&gt;=7,"✅ Mastered",IF(F74&lt;0,"🔴 OVERDUE",IF(F74=0,"🟡 TODAY",IF(F74&lt;=2,"🟠 SOON","🟢 Later")))))</f>
        <v/>
      </c>
      <c r="I74" s="0" t="str">
        <f aca="true">IF(H74="✅ DONE",TEXT(TODAY(),"DD/MM/YYYY"),"")</f>
        <v/>
      </c>
    </row>
    <row r="75" customFormat="false" ht="15" hidden="false" customHeight="false" outlineLevel="0" collapsed="false">
      <c r="A75" s="23"/>
      <c r="B75" s="23"/>
      <c r="D75" s="24"/>
      <c r="E75" s="24" t="str">
        <f aca="false">IF(C75="","",IF(D75="","",D75+CHOOSE(MIN(C75+1,8),0,1,3,7,15,30,60,90)))</f>
        <v/>
      </c>
      <c r="F75" s="25" t="str">
        <f aca="true">IF(E75="","",E75-TODAY())</f>
        <v/>
      </c>
      <c r="G75" s="0" t="str">
        <f aca="false">IF(A75="","",IF(C75&gt;=7,"✅ Mastered",IF(F75&lt;0,"🔴 OVERDUE",IF(F75=0,"🟡 TODAY",IF(F75&lt;=2,"🟠 SOON","🟢 Later")))))</f>
        <v/>
      </c>
      <c r="I75" s="0" t="str">
        <f aca="true">IF(H75="✅ DONE",TEXT(TODAY(),"DD/MM/YYYY"),"")</f>
        <v/>
      </c>
    </row>
    <row r="76" customFormat="false" ht="15" hidden="false" customHeight="false" outlineLevel="0" collapsed="false">
      <c r="A76" s="23"/>
      <c r="B76" s="23"/>
      <c r="D76" s="24"/>
      <c r="E76" s="24" t="str">
        <f aca="false">IF(C76="","",IF(D76="","",D76+CHOOSE(MIN(C76+1,8),0,1,3,7,15,30,60,90)))</f>
        <v/>
      </c>
      <c r="F76" s="25" t="str">
        <f aca="true">IF(E76="","",E76-TODAY())</f>
        <v/>
      </c>
      <c r="G76" s="0" t="str">
        <f aca="false">IF(A76="","",IF(C76&gt;=7,"✅ Mastered",IF(F76&lt;0,"🔴 OVERDUE",IF(F76=0,"🟡 TODAY",IF(F76&lt;=2,"🟠 SOON","🟢 Later")))))</f>
        <v/>
      </c>
      <c r="I76" s="0" t="str">
        <f aca="true">IF(H76="✅ DONE",TEXT(TODAY(),"DD/MM/YYYY"),"")</f>
        <v/>
      </c>
    </row>
    <row r="77" customFormat="false" ht="15" hidden="false" customHeight="false" outlineLevel="0" collapsed="false">
      <c r="A77" s="23"/>
      <c r="B77" s="23"/>
      <c r="D77" s="24"/>
      <c r="E77" s="24" t="str">
        <f aca="false">IF(C77="","",IF(D77="","",D77+CHOOSE(MIN(C77+1,8),0,1,3,7,15,30,60,90)))</f>
        <v/>
      </c>
      <c r="F77" s="25" t="str">
        <f aca="true">IF(E77="","",E77-TODAY())</f>
        <v/>
      </c>
      <c r="G77" s="0" t="str">
        <f aca="false">IF(A77="","",IF(C77&gt;=7,"✅ Mastered",IF(F77&lt;0,"🔴 OVERDUE",IF(F77=0,"🟡 TODAY",IF(F77&lt;=2,"🟠 SOON","🟢 Later")))))</f>
        <v/>
      </c>
      <c r="I77" s="0" t="str">
        <f aca="true">IF(H77="✅ DONE",TEXT(TODAY(),"DD/MM/YYYY"),"")</f>
        <v/>
      </c>
    </row>
    <row r="78" customFormat="false" ht="15" hidden="false" customHeight="false" outlineLevel="0" collapsed="false">
      <c r="A78" s="23"/>
      <c r="B78" s="23"/>
      <c r="D78" s="24"/>
      <c r="E78" s="24" t="str">
        <f aca="false">IF(C78="","",IF(D78="","",D78+CHOOSE(MIN(C78+1,8),0,1,3,7,15,30,60,90)))</f>
        <v/>
      </c>
      <c r="F78" s="25" t="str">
        <f aca="true">IF(E78="","",E78-TODAY())</f>
        <v/>
      </c>
      <c r="G78" s="0" t="str">
        <f aca="false">IF(A78="","",IF(C78&gt;=7,"✅ Mastered",IF(F78&lt;0,"🔴 OVERDUE",IF(F78=0,"🟡 TODAY",IF(F78&lt;=2,"🟠 SOON","🟢 Later")))))</f>
        <v/>
      </c>
      <c r="I78" s="0" t="str">
        <f aca="true">IF(H78="✅ DONE",TEXT(TODAY(),"DD/MM/YYYY"),"")</f>
        <v/>
      </c>
    </row>
    <row r="79" customFormat="false" ht="15" hidden="false" customHeight="false" outlineLevel="0" collapsed="false">
      <c r="A79" s="23"/>
      <c r="B79" s="23"/>
      <c r="D79" s="24"/>
      <c r="E79" s="24" t="str">
        <f aca="false">IF(C79="","",IF(D79="","",D79+CHOOSE(MIN(C79+1,8),0,1,3,7,15,30,60,90)))</f>
        <v/>
      </c>
      <c r="F79" s="25" t="str">
        <f aca="true">IF(E79="","",E79-TODAY())</f>
        <v/>
      </c>
      <c r="G79" s="0" t="str">
        <f aca="false">IF(A79="","",IF(C79&gt;=7,"✅ Mastered",IF(F79&lt;0,"🔴 OVERDUE",IF(F79=0,"🟡 TODAY",IF(F79&lt;=2,"🟠 SOON","🟢 Later")))))</f>
        <v/>
      </c>
      <c r="I79" s="0" t="str">
        <f aca="true">IF(H79="✅ DONE",TEXT(TODAY(),"DD/MM/YYYY"),"")</f>
        <v/>
      </c>
    </row>
    <row r="80" customFormat="false" ht="15" hidden="false" customHeight="false" outlineLevel="0" collapsed="false">
      <c r="A80" s="23"/>
      <c r="B80" s="23"/>
      <c r="D80" s="24"/>
      <c r="E80" s="24" t="str">
        <f aca="false">IF(C80="","",IF(D80="","",D80+CHOOSE(MIN(C80+1,8),0,1,3,7,15,30,60,90)))</f>
        <v/>
      </c>
      <c r="F80" s="25" t="str">
        <f aca="true">IF(E80="","",E80-TODAY())</f>
        <v/>
      </c>
      <c r="G80" s="0" t="str">
        <f aca="false">IF(A80="","",IF(C80&gt;=7,"✅ Mastered",IF(F80&lt;0,"🔴 OVERDUE",IF(F80=0,"🟡 TODAY",IF(F80&lt;=2,"🟠 SOON","🟢 Later")))))</f>
        <v/>
      </c>
      <c r="I80" s="0" t="str">
        <f aca="true">IF(H80="✅ DONE",TEXT(TODAY(),"DD/MM/YYYY"),"")</f>
        <v/>
      </c>
    </row>
    <row r="81" customFormat="false" ht="15" hidden="false" customHeight="false" outlineLevel="0" collapsed="false">
      <c r="A81" s="23"/>
      <c r="B81" s="23"/>
      <c r="D81" s="24"/>
      <c r="E81" s="24" t="str">
        <f aca="false">IF(C81="","",IF(D81="","",D81+CHOOSE(MIN(C81+1,8),0,1,3,7,15,30,60,90)))</f>
        <v/>
      </c>
      <c r="F81" s="25" t="str">
        <f aca="true">IF(E81="","",E81-TODAY())</f>
        <v/>
      </c>
      <c r="G81" s="0" t="str">
        <f aca="false">IF(A81="","",IF(C81&gt;=7,"✅ Mastered",IF(F81&lt;0,"🔴 OVERDUE",IF(F81=0,"🟡 TODAY",IF(F81&lt;=2,"🟠 SOON","🟢 Later")))))</f>
        <v/>
      </c>
      <c r="I81" s="0" t="str">
        <f aca="true">IF(H81="✅ DONE",TEXT(TODAY(),"DD/MM/YYYY"),"")</f>
        <v/>
      </c>
    </row>
    <row r="82" customFormat="false" ht="15" hidden="false" customHeight="false" outlineLevel="0" collapsed="false">
      <c r="A82" s="23"/>
      <c r="B82" s="23"/>
      <c r="D82" s="24"/>
      <c r="E82" s="24" t="str">
        <f aca="false">IF(C82="","",IF(D82="","",D82+CHOOSE(MIN(C82+1,8),0,1,3,7,15,30,60,90)))</f>
        <v/>
      </c>
      <c r="F82" s="25" t="str">
        <f aca="true">IF(E82="","",E82-TODAY())</f>
        <v/>
      </c>
      <c r="G82" s="0" t="str">
        <f aca="false">IF(A82="","",IF(C82&gt;=7,"✅ Mastered",IF(F82&lt;0,"🔴 OVERDUE",IF(F82=0,"🟡 TODAY",IF(F82&lt;=2,"🟠 SOON","🟢 Later")))))</f>
        <v/>
      </c>
      <c r="I82" s="0" t="str">
        <f aca="true">IF(H82="✅ DONE",TEXT(TODAY(),"DD/MM/YYYY"),"")</f>
        <v/>
      </c>
    </row>
    <row r="83" customFormat="false" ht="15" hidden="false" customHeight="false" outlineLevel="0" collapsed="false">
      <c r="A83" s="23"/>
      <c r="B83" s="23"/>
      <c r="D83" s="24"/>
      <c r="E83" s="24" t="str">
        <f aca="false">IF(C83="","",IF(D83="","",D83+CHOOSE(MIN(C83+1,8),0,1,3,7,15,30,60,90)))</f>
        <v/>
      </c>
      <c r="F83" s="25" t="str">
        <f aca="true">IF(E83="","",E83-TODAY())</f>
        <v/>
      </c>
      <c r="G83" s="0" t="str">
        <f aca="false">IF(A83="","",IF(C83&gt;=7,"✅ Mastered",IF(F83&lt;0,"🔴 OVERDUE",IF(F83=0,"🟡 TODAY",IF(F83&lt;=2,"🟠 SOON","🟢 Later")))))</f>
        <v/>
      </c>
      <c r="I83" s="0" t="str">
        <f aca="true">IF(H83="✅ DONE",TEXT(TODAY(),"DD/MM/YYYY"),"")</f>
        <v/>
      </c>
    </row>
    <row r="84" customFormat="false" ht="15" hidden="false" customHeight="false" outlineLevel="0" collapsed="false">
      <c r="A84" s="23"/>
      <c r="B84" s="23"/>
      <c r="D84" s="24"/>
      <c r="E84" s="24" t="str">
        <f aca="false">IF(C84="","",IF(D84="","",D84+CHOOSE(MIN(C84+1,8),0,1,3,7,15,30,60,90)))</f>
        <v/>
      </c>
      <c r="F84" s="25" t="str">
        <f aca="true">IF(E84="","",E84-TODAY())</f>
        <v/>
      </c>
      <c r="G84" s="0" t="str">
        <f aca="false">IF(A84="","",IF(C84&gt;=7,"✅ Mastered",IF(F84&lt;0,"🔴 OVERDUE",IF(F84=0,"🟡 TODAY",IF(F84&lt;=2,"🟠 SOON","🟢 Later")))))</f>
        <v/>
      </c>
      <c r="I84" s="0" t="str">
        <f aca="true">IF(H84="✅ DONE",TEXT(TODAY(),"DD/MM/YYYY"),"")</f>
        <v/>
      </c>
    </row>
    <row r="85" customFormat="false" ht="15" hidden="false" customHeight="false" outlineLevel="0" collapsed="false">
      <c r="A85" s="23"/>
      <c r="B85" s="23"/>
      <c r="D85" s="24"/>
      <c r="E85" s="24" t="str">
        <f aca="false">IF(C85="","",IF(D85="","",D85+CHOOSE(MIN(C85+1,8),0,1,3,7,15,30,60,90)))</f>
        <v/>
      </c>
      <c r="F85" s="25" t="str">
        <f aca="true">IF(E85="","",E85-TODAY())</f>
        <v/>
      </c>
      <c r="G85" s="0" t="str">
        <f aca="false">IF(A85="","",IF(C85&gt;=7,"✅ Mastered",IF(F85&lt;0,"🔴 OVERDUE",IF(F85=0,"🟡 TODAY",IF(F85&lt;=2,"🟠 SOON","🟢 Later")))))</f>
        <v/>
      </c>
      <c r="I85" s="0" t="str">
        <f aca="true">IF(H85="✅ DONE",TEXT(TODAY(),"DD/MM/YYYY"),"")</f>
        <v/>
      </c>
    </row>
    <row r="86" customFormat="false" ht="15" hidden="false" customHeight="false" outlineLevel="0" collapsed="false">
      <c r="A86" s="23"/>
      <c r="B86" s="23"/>
      <c r="D86" s="24"/>
      <c r="E86" s="24" t="str">
        <f aca="false">IF(C86="","",IF(D86="","",D86+CHOOSE(MIN(C86+1,8),0,1,3,7,15,30,60,90)))</f>
        <v/>
      </c>
      <c r="F86" s="25" t="str">
        <f aca="true">IF(E86="","",E86-TODAY())</f>
        <v/>
      </c>
      <c r="G86" s="0" t="str">
        <f aca="false">IF(A86="","",IF(C86&gt;=7,"✅ Mastered",IF(F86&lt;0,"🔴 OVERDUE",IF(F86=0,"🟡 TODAY",IF(F86&lt;=2,"🟠 SOON","🟢 Later")))))</f>
        <v/>
      </c>
      <c r="I86" s="0" t="str">
        <f aca="true">IF(H86="✅ DONE",TEXT(TODAY(),"DD/MM/YYYY"),"")</f>
        <v/>
      </c>
    </row>
    <row r="87" customFormat="false" ht="15" hidden="false" customHeight="false" outlineLevel="0" collapsed="false">
      <c r="A87" s="23"/>
      <c r="B87" s="23"/>
      <c r="D87" s="24"/>
      <c r="E87" s="24" t="str">
        <f aca="false">IF(C87="","",IF(D87="","",D87+CHOOSE(MIN(C87+1,8),0,1,3,7,15,30,60,90)))</f>
        <v/>
      </c>
      <c r="F87" s="25" t="str">
        <f aca="true">IF(E87="","",E87-TODAY())</f>
        <v/>
      </c>
      <c r="G87" s="0" t="str">
        <f aca="false">IF(A87="","",IF(C87&gt;=7,"✅ Mastered",IF(F87&lt;0,"🔴 OVERDUE",IF(F87=0,"🟡 TODAY",IF(F87&lt;=2,"🟠 SOON","🟢 Later")))))</f>
        <v/>
      </c>
      <c r="I87" s="0" t="str">
        <f aca="true">IF(H87="✅ DONE",TEXT(TODAY(),"DD/MM/YYYY"),"")</f>
        <v/>
      </c>
    </row>
    <row r="88" customFormat="false" ht="15" hidden="false" customHeight="false" outlineLevel="0" collapsed="false">
      <c r="A88" s="23"/>
      <c r="B88" s="23"/>
      <c r="D88" s="24"/>
      <c r="E88" s="24" t="str">
        <f aca="false">IF(C88="","",IF(D88="","",D88+CHOOSE(MIN(C88+1,8),0,1,3,7,15,30,60,90)))</f>
        <v/>
      </c>
      <c r="F88" s="25" t="str">
        <f aca="true">IF(E88="","",E88-TODAY())</f>
        <v/>
      </c>
      <c r="G88" s="0" t="str">
        <f aca="false">IF(A88="","",IF(C88&gt;=7,"✅ Mastered",IF(F88&lt;0,"🔴 OVERDUE",IF(F88=0,"🟡 TODAY",IF(F88&lt;=2,"🟠 SOON","🟢 Later")))))</f>
        <v/>
      </c>
      <c r="I88" s="0" t="str">
        <f aca="true">IF(H88="✅ DONE",TEXT(TODAY(),"DD/MM/YYYY"),"")</f>
        <v/>
      </c>
    </row>
    <row r="89" customFormat="false" ht="15" hidden="false" customHeight="false" outlineLevel="0" collapsed="false">
      <c r="A89" s="23"/>
      <c r="B89" s="23"/>
      <c r="D89" s="24"/>
      <c r="E89" s="24" t="str">
        <f aca="false">IF(C89="","",IF(D89="","",D89+CHOOSE(MIN(C89+1,8),0,1,3,7,15,30,60,90)))</f>
        <v/>
      </c>
      <c r="F89" s="25" t="str">
        <f aca="true">IF(E89="","",E89-TODAY())</f>
        <v/>
      </c>
      <c r="G89" s="0" t="str">
        <f aca="false">IF(A89="","",IF(C89&gt;=7,"✅ Mastered",IF(F89&lt;0,"🔴 OVERDUE",IF(F89=0,"🟡 TODAY",IF(F89&lt;=2,"🟠 SOON","🟢 Later")))))</f>
        <v/>
      </c>
      <c r="I89" s="0" t="str">
        <f aca="true">IF(H89="✅ DONE",TEXT(TODAY(),"DD/MM/YYYY"),"")</f>
        <v/>
      </c>
    </row>
    <row r="90" customFormat="false" ht="15" hidden="false" customHeight="false" outlineLevel="0" collapsed="false">
      <c r="A90" s="23"/>
      <c r="B90" s="23"/>
      <c r="D90" s="24"/>
      <c r="E90" s="24" t="str">
        <f aca="false">IF(C90="","",IF(D90="","",D90+CHOOSE(MIN(C90+1,8),0,1,3,7,15,30,60,90)))</f>
        <v/>
      </c>
      <c r="F90" s="25" t="str">
        <f aca="true">IF(E90="","",E90-TODAY())</f>
        <v/>
      </c>
      <c r="G90" s="0" t="str">
        <f aca="false">IF(A90="","",IF(C90&gt;=7,"✅ Mastered",IF(F90&lt;0,"🔴 OVERDUE",IF(F90=0,"🟡 TODAY",IF(F90&lt;=2,"🟠 SOON","🟢 Later")))))</f>
        <v/>
      </c>
      <c r="I90" s="0" t="str">
        <f aca="true">IF(H90="✅ DONE",TEXT(TODAY(),"DD/MM/YYYY"),"")</f>
        <v/>
      </c>
    </row>
    <row r="91" customFormat="false" ht="15" hidden="false" customHeight="false" outlineLevel="0" collapsed="false">
      <c r="A91" s="23"/>
      <c r="B91" s="23"/>
      <c r="D91" s="24"/>
      <c r="E91" s="24" t="str">
        <f aca="false">IF(C91="","",IF(D91="","",D91+CHOOSE(MIN(C91+1,8),0,1,3,7,15,30,60,90)))</f>
        <v/>
      </c>
      <c r="F91" s="25" t="str">
        <f aca="true">IF(E91="","",E91-TODAY())</f>
        <v/>
      </c>
      <c r="G91" s="0" t="str">
        <f aca="false">IF(A91="","",IF(C91&gt;=7,"✅ Mastered",IF(F91&lt;0,"🔴 OVERDUE",IF(F91=0,"🟡 TODAY",IF(F91&lt;=2,"🟠 SOON","🟢 Later")))))</f>
        <v/>
      </c>
      <c r="I91" s="0" t="str">
        <f aca="true">IF(H91="✅ DONE",TEXT(TODAY(),"DD/MM/YYYY"),"")</f>
        <v/>
      </c>
    </row>
    <row r="92" customFormat="false" ht="15" hidden="false" customHeight="false" outlineLevel="0" collapsed="false">
      <c r="A92" s="23"/>
      <c r="B92" s="23"/>
      <c r="D92" s="24"/>
      <c r="E92" s="24" t="str">
        <f aca="false">IF(C92="","",IF(D92="","",D92+CHOOSE(MIN(C92+1,8),0,1,3,7,15,30,60,90)))</f>
        <v/>
      </c>
      <c r="F92" s="25" t="str">
        <f aca="true">IF(E92="","",E92-TODAY())</f>
        <v/>
      </c>
      <c r="G92" s="0" t="str">
        <f aca="false">IF(A92="","",IF(C92&gt;=7,"✅ Mastered",IF(F92&lt;0,"🔴 OVERDUE",IF(F92=0,"🟡 TODAY",IF(F92&lt;=2,"🟠 SOON","🟢 Later")))))</f>
        <v/>
      </c>
      <c r="I92" s="0" t="str">
        <f aca="true">IF(H92="✅ DONE",TEXT(TODAY(),"DD/MM/YYYY"),"")</f>
        <v/>
      </c>
    </row>
    <row r="93" customFormat="false" ht="15" hidden="false" customHeight="false" outlineLevel="0" collapsed="false">
      <c r="A93" s="23"/>
      <c r="B93" s="23"/>
      <c r="D93" s="24"/>
      <c r="E93" s="24" t="str">
        <f aca="false">IF(C93="","",IF(D93="","",D93+CHOOSE(MIN(C93+1,8),0,1,3,7,15,30,60,90)))</f>
        <v/>
      </c>
      <c r="F93" s="25" t="str">
        <f aca="true">IF(E93="","",E93-TODAY())</f>
        <v/>
      </c>
      <c r="G93" s="0" t="str">
        <f aca="false">IF(A93="","",IF(C93&gt;=7,"✅ Mastered",IF(F93&lt;0,"🔴 OVERDUE",IF(F93=0,"🟡 TODAY",IF(F93&lt;=2,"🟠 SOON","🟢 Later")))))</f>
        <v/>
      </c>
      <c r="I93" s="0" t="str">
        <f aca="true">IF(H93="✅ DONE",TEXT(TODAY(),"DD/MM/YYYY"),"")</f>
        <v/>
      </c>
    </row>
    <row r="94" customFormat="false" ht="15" hidden="false" customHeight="false" outlineLevel="0" collapsed="false">
      <c r="A94" s="23"/>
      <c r="B94" s="23"/>
      <c r="D94" s="24"/>
      <c r="E94" s="24" t="str">
        <f aca="false">IF(C94="","",IF(D94="","",D94+CHOOSE(MIN(C94+1,8),0,1,3,7,15,30,60,90)))</f>
        <v/>
      </c>
      <c r="F94" s="25" t="str">
        <f aca="true">IF(E94="","",E94-TODAY())</f>
        <v/>
      </c>
      <c r="G94" s="0" t="str">
        <f aca="false">IF(A94="","",IF(C94&gt;=7,"✅ Mastered",IF(F94&lt;0,"🔴 OVERDUE",IF(F94=0,"🟡 TODAY",IF(F94&lt;=2,"🟠 SOON","🟢 Later")))))</f>
        <v/>
      </c>
      <c r="I94" s="0" t="str">
        <f aca="true">IF(H94="✅ DONE",TEXT(TODAY(),"DD/MM/YYYY"),"")</f>
        <v/>
      </c>
    </row>
    <row r="95" customFormat="false" ht="15" hidden="false" customHeight="false" outlineLevel="0" collapsed="false">
      <c r="A95" s="23"/>
      <c r="B95" s="23"/>
      <c r="D95" s="24"/>
      <c r="E95" s="24" t="str">
        <f aca="false">IF(C95="","",IF(D95="","",D95+CHOOSE(MIN(C95+1,8),0,1,3,7,15,30,60,90)))</f>
        <v/>
      </c>
      <c r="F95" s="25" t="str">
        <f aca="true">IF(E95="","",E95-TODAY())</f>
        <v/>
      </c>
      <c r="G95" s="0" t="str">
        <f aca="false">IF(A95="","",IF(C95&gt;=7,"✅ Mastered",IF(F95&lt;0,"🔴 OVERDUE",IF(F95=0,"🟡 TODAY",IF(F95&lt;=2,"🟠 SOON","🟢 Later")))))</f>
        <v/>
      </c>
      <c r="I95" s="0" t="str">
        <f aca="true">IF(H95="✅ DONE",TEXT(TODAY(),"DD/MM/YYYY"),"")</f>
        <v/>
      </c>
    </row>
    <row r="96" customFormat="false" ht="15" hidden="false" customHeight="false" outlineLevel="0" collapsed="false">
      <c r="A96" s="23"/>
      <c r="B96" s="23"/>
      <c r="D96" s="24"/>
      <c r="E96" s="24" t="str">
        <f aca="false">IF(C96="","",IF(D96="","",D96+CHOOSE(MIN(C96+1,8),0,1,3,7,15,30,60,90)))</f>
        <v/>
      </c>
      <c r="F96" s="25" t="str">
        <f aca="true">IF(E96="","",E96-TODAY())</f>
        <v/>
      </c>
      <c r="G96" s="0" t="str">
        <f aca="false">IF(A96="","",IF(C96&gt;=7,"✅ Mastered",IF(F96&lt;0,"🔴 OVERDUE",IF(F96=0,"🟡 TODAY",IF(F96&lt;=2,"🟠 SOON","🟢 Later")))))</f>
        <v/>
      </c>
      <c r="I96" s="0" t="str">
        <f aca="true">IF(H96="✅ DONE",TEXT(TODAY(),"DD/MM/YYYY"),"")</f>
        <v/>
      </c>
    </row>
    <row r="97" customFormat="false" ht="15" hidden="false" customHeight="false" outlineLevel="0" collapsed="false">
      <c r="A97" s="23"/>
      <c r="B97" s="23"/>
      <c r="D97" s="24"/>
      <c r="E97" s="24" t="str">
        <f aca="false">IF(C97="","",IF(D97="","",D97+CHOOSE(MIN(C97+1,8),0,1,3,7,15,30,60,90)))</f>
        <v/>
      </c>
      <c r="F97" s="25" t="str">
        <f aca="true">IF(E97="","",E97-TODAY())</f>
        <v/>
      </c>
      <c r="G97" s="0" t="str">
        <f aca="false">IF(A97="","",IF(C97&gt;=7,"✅ Mastered",IF(F97&lt;0,"🔴 OVERDUE",IF(F97=0,"🟡 TODAY",IF(F97&lt;=2,"🟠 SOON","🟢 Later")))))</f>
        <v/>
      </c>
      <c r="I97" s="0" t="str">
        <f aca="true">IF(H97="✅ DONE",TEXT(TODAY(),"DD/MM/YYYY"),"")</f>
        <v/>
      </c>
    </row>
    <row r="98" customFormat="false" ht="15" hidden="false" customHeight="false" outlineLevel="0" collapsed="false">
      <c r="A98" s="23"/>
      <c r="B98" s="23"/>
      <c r="D98" s="24"/>
      <c r="E98" s="24" t="str">
        <f aca="false">IF(C98="","",IF(D98="","",D98+CHOOSE(MIN(C98+1,8),0,1,3,7,15,30,60,90)))</f>
        <v/>
      </c>
      <c r="F98" s="25" t="str">
        <f aca="true">IF(E98="","",E98-TODAY())</f>
        <v/>
      </c>
      <c r="G98" s="0" t="str">
        <f aca="false">IF(A98="","",IF(C98&gt;=7,"✅ Mastered",IF(F98&lt;0,"🔴 OVERDUE",IF(F98=0,"🟡 TODAY",IF(F98&lt;=2,"🟠 SOON","🟢 Later")))))</f>
        <v/>
      </c>
      <c r="I98" s="0" t="str">
        <f aca="true">IF(H98="✅ DONE",TEXT(TODAY(),"DD/MM/YYYY"),"")</f>
        <v/>
      </c>
    </row>
    <row r="99" customFormat="false" ht="15" hidden="false" customHeight="false" outlineLevel="0" collapsed="false">
      <c r="A99" s="23"/>
      <c r="B99" s="23"/>
      <c r="D99" s="24"/>
      <c r="E99" s="24" t="str">
        <f aca="false">IF(C99="","",IF(D99="","",D99+CHOOSE(MIN(C99+1,8),0,1,3,7,15,30,60,90)))</f>
        <v/>
      </c>
      <c r="F99" s="25" t="str">
        <f aca="true">IF(E99="","",E99-TODAY())</f>
        <v/>
      </c>
      <c r="G99" s="0" t="str">
        <f aca="false">IF(A99="","",IF(C99&gt;=7,"✅ Mastered",IF(F99&lt;0,"🔴 OVERDUE",IF(F99=0,"🟡 TODAY",IF(F99&lt;=2,"🟠 SOON","🟢 Later")))))</f>
        <v/>
      </c>
      <c r="I99" s="0" t="str">
        <f aca="true">IF(H99="✅ DONE",TEXT(TODAY(),"DD/MM/YYYY"),"")</f>
        <v/>
      </c>
    </row>
    <row r="100" customFormat="false" ht="15" hidden="false" customHeight="false" outlineLevel="0" collapsed="false">
      <c r="A100" s="23"/>
      <c r="B100" s="23"/>
      <c r="D100" s="24"/>
      <c r="E100" s="24" t="str">
        <f aca="false">IF(C100="","",IF(D100="","",D100+CHOOSE(MIN(C100+1,8),0,1,3,7,15,30,60,90)))</f>
        <v/>
      </c>
      <c r="F100" s="25" t="str">
        <f aca="true">IF(E100="","",E100-TODAY())</f>
        <v/>
      </c>
      <c r="G100" s="0" t="str">
        <f aca="false">IF(A100="","",IF(C100&gt;=7,"✅ Mastered",IF(F100&lt;0,"🔴 OVERDUE",IF(F100=0,"🟡 TODAY",IF(F100&lt;=2,"🟠 SOON","🟢 Later")))))</f>
        <v/>
      </c>
      <c r="I100" s="0" t="str">
        <f aca="true">IF(H100="✅ DONE",TEXT(TODAY(),"DD/MM/YYYY"),"")</f>
        <v/>
      </c>
    </row>
    <row r="101" customFormat="false" ht="15" hidden="false" customHeight="false" outlineLevel="0" collapsed="false">
      <c r="A101" s="23"/>
      <c r="B101" s="23"/>
      <c r="D101" s="24"/>
      <c r="E101" s="24" t="str">
        <f aca="false">IF(C101="","",IF(D101="","",D101+CHOOSE(MIN(C101+1,8),0,1,3,7,15,30,60,90)))</f>
        <v/>
      </c>
      <c r="F101" s="25" t="str">
        <f aca="true">IF(E101="","",E101-TODAY())</f>
        <v/>
      </c>
      <c r="G101" s="0" t="str">
        <f aca="false">IF(A101="","",IF(C101&gt;=7,"✅ Mastered",IF(F101&lt;0,"🔴 OVERDUE",IF(F101=0,"🟡 TODAY",IF(F101&lt;=2,"🟠 SOON","🟢 Later")))))</f>
        <v/>
      </c>
      <c r="I101" s="0" t="str">
        <f aca="true">IF(H101="✅ DONE",TEXT(TODAY(),"DD/MM/YYYY"),"")</f>
        <v/>
      </c>
    </row>
    <row r="102" customFormat="false" ht="15" hidden="false" customHeight="false" outlineLevel="0" collapsed="false">
      <c r="A102" s="23"/>
      <c r="B102" s="23"/>
      <c r="D102" s="24"/>
      <c r="E102" s="24" t="str">
        <f aca="false">IF(C102="","",IF(D102="","",D102+CHOOSE(MIN(C102+1,8),0,1,3,7,15,30,60,90)))</f>
        <v/>
      </c>
      <c r="F102" s="25" t="str">
        <f aca="true">IF(E102="","",E102-TODAY())</f>
        <v/>
      </c>
      <c r="G102" s="0" t="str">
        <f aca="false">IF(A102="","",IF(C102&gt;=7,"✅ Mastered",IF(F102&lt;0,"🔴 OVERDUE",IF(F102=0,"🟡 TODAY",IF(F102&lt;=2,"🟠 SOON","🟢 Later")))))</f>
        <v/>
      </c>
      <c r="I102" s="0" t="str">
        <f aca="true">IF(H102="✅ DONE",TEXT(TODAY(),"DD/MM/YYYY"),"")</f>
        <v/>
      </c>
    </row>
    <row r="103" customFormat="false" ht="15" hidden="false" customHeight="false" outlineLevel="0" collapsed="false">
      <c r="A103" s="23"/>
      <c r="B103" s="23"/>
      <c r="D103" s="24"/>
      <c r="E103" s="24" t="str">
        <f aca="false">IF(C103="","",IF(D103="","",D103+CHOOSE(MIN(C103+1,8),0,1,3,7,15,30,60,90)))</f>
        <v/>
      </c>
      <c r="F103" s="25" t="str">
        <f aca="true">IF(E103="","",E103-TODAY())</f>
        <v/>
      </c>
      <c r="G103" s="0" t="str">
        <f aca="false">IF(A103="","",IF(C103&gt;=7,"✅ Mastered",IF(F103&lt;0,"🔴 OVERDUE",IF(F103=0,"🟡 TODAY",IF(F103&lt;=2,"🟠 SOON","🟢 Later")))))</f>
        <v/>
      </c>
      <c r="I103" s="0" t="str">
        <f aca="true">IF(H103="✅ DONE",TEXT(TODAY(),"DD/MM/YYYY"),"")</f>
        <v/>
      </c>
    </row>
    <row r="104" customFormat="false" ht="15" hidden="false" customHeight="false" outlineLevel="0" collapsed="false">
      <c r="A104" s="23"/>
      <c r="B104" s="23"/>
      <c r="D104" s="24"/>
      <c r="E104" s="24" t="str">
        <f aca="false">IF(C104="","",IF(D104="","",D104+CHOOSE(MIN(C104+1,8),0,1,3,7,15,30,60,90)))</f>
        <v/>
      </c>
      <c r="F104" s="25" t="str">
        <f aca="true">IF(E104="","",E104-TODAY())</f>
        <v/>
      </c>
      <c r="G104" s="0" t="str">
        <f aca="false">IF(A104="","",IF(C104&gt;=7,"✅ Mastered",IF(F104&lt;0,"🔴 OVERDUE",IF(F104=0,"🟡 TODAY",IF(F104&lt;=2,"🟠 SOON","🟢 Later")))))</f>
        <v/>
      </c>
      <c r="I104" s="0" t="str">
        <f aca="true">IF(H104="✅ DONE",TEXT(TODAY(),"DD/MM/YYYY"),"")</f>
        <v/>
      </c>
    </row>
    <row r="105" customFormat="false" ht="15" hidden="false" customHeight="false" outlineLevel="0" collapsed="false">
      <c r="A105" s="23"/>
      <c r="B105" s="23"/>
      <c r="D105" s="24"/>
      <c r="E105" s="24" t="str">
        <f aca="false">IF(C105="","",IF(D105="","",D105+CHOOSE(MIN(C105+1,8),0,1,3,7,15,30,60,90)))</f>
        <v/>
      </c>
      <c r="F105" s="25" t="str">
        <f aca="true">IF(E105="","",E105-TODAY())</f>
        <v/>
      </c>
      <c r="G105" s="0" t="str">
        <f aca="false">IF(A105="","",IF(C105&gt;=7,"✅ Mastered",IF(F105&lt;0,"🔴 OVERDUE",IF(F105=0,"🟡 TODAY",IF(F105&lt;=2,"🟠 SOON","🟢 Later")))))</f>
        <v/>
      </c>
      <c r="I105" s="0" t="str">
        <f aca="true">IF(H105="✅ DONE",TEXT(TODAY(),"DD/MM/YYYY"),"")</f>
        <v/>
      </c>
    </row>
    <row r="106" customFormat="false" ht="15" hidden="false" customHeight="false" outlineLevel="0" collapsed="false">
      <c r="A106" s="23"/>
      <c r="B106" s="23"/>
      <c r="D106" s="24"/>
      <c r="E106" s="24" t="str">
        <f aca="false">IF(C106="","",IF(D106="","",D106+CHOOSE(MIN(C106+1,8),0,1,3,7,15,30,60,90)))</f>
        <v/>
      </c>
      <c r="F106" s="25" t="str">
        <f aca="true">IF(E106="","",E106-TODAY())</f>
        <v/>
      </c>
      <c r="G106" s="0" t="str">
        <f aca="false">IF(A106="","",IF(C106&gt;=7,"✅ Mastered",IF(F106&lt;0,"🔴 OVERDUE",IF(F106=0,"🟡 TODAY",IF(F106&lt;=2,"🟠 SOON","🟢 Later")))))</f>
        <v/>
      </c>
      <c r="I106" s="0" t="str">
        <f aca="true">IF(H106="✅ DONE",TEXT(TODAY(),"DD/MM/YYYY"),"")</f>
        <v/>
      </c>
    </row>
    <row r="107" customFormat="false" ht="15" hidden="false" customHeight="false" outlineLevel="0" collapsed="false">
      <c r="A107" s="23"/>
      <c r="B107" s="23"/>
      <c r="D107" s="24"/>
      <c r="E107" s="24" t="str">
        <f aca="false">IF(C107="","",IF(D107="","",D107+CHOOSE(MIN(C107+1,8),0,1,3,7,15,30,60,90)))</f>
        <v/>
      </c>
      <c r="F107" s="25" t="str">
        <f aca="true">IF(E107="","",E107-TODAY())</f>
        <v/>
      </c>
      <c r="G107" s="0" t="str">
        <f aca="false">IF(A107="","",IF(C107&gt;=7,"✅ Mastered",IF(F107&lt;0,"🔴 OVERDUE",IF(F107=0,"🟡 TODAY",IF(F107&lt;=2,"🟠 SOON","🟢 Later")))))</f>
        <v/>
      </c>
      <c r="I107" s="0" t="str">
        <f aca="true">IF(H107="✅ DONE",TEXT(TODAY(),"DD/MM/YYYY"),"")</f>
        <v/>
      </c>
    </row>
    <row r="108" customFormat="false" ht="15" hidden="false" customHeight="false" outlineLevel="0" collapsed="false">
      <c r="A108" s="23"/>
      <c r="B108" s="23"/>
      <c r="D108" s="24"/>
      <c r="E108" s="24" t="str">
        <f aca="false">IF(C108="","",IF(D108="","",D108+CHOOSE(MIN(C108+1,8),0,1,3,7,15,30,60,90)))</f>
        <v/>
      </c>
      <c r="F108" s="25" t="str">
        <f aca="true">IF(E108="","",E108-TODAY())</f>
        <v/>
      </c>
      <c r="G108" s="0" t="str">
        <f aca="false">IF(A108="","",IF(C108&gt;=7,"✅ Mastered",IF(F108&lt;0,"🔴 OVERDUE",IF(F108=0,"🟡 TODAY",IF(F108&lt;=2,"🟠 SOON","🟢 Later")))))</f>
        <v/>
      </c>
      <c r="I108" s="0" t="str">
        <f aca="true">IF(H108="✅ DONE",TEXT(TODAY(),"DD/MM/YYYY"),"")</f>
        <v/>
      </c>
    </row>
    <row r="109" customFormat="false" ht="15" hidden="false" customHeight="false" outlineLevel="0" collapsed="false">
      <c r="A109" s="23"/>
      <c r="B109" s="23"/>
      <c r="D109" s="24"/>
      <c r="E109" s="24" t="str">
        <f aca="false">IF(C109="","",IF(D109="","",D109+CHOOSE(MIN(C109+1,8),0,1,3,7,15,30,60,90)))</f>
        <v/>
      </c>
      <c r="F109" s="25" t="str">
        <f aca="true">IF(E109="","",E109-TODAY())</f>
        <v/>
      </c>
      <c r="G109" s="0" t="str">
        <f aca="false">IF(A109="","",IF(C109&gt;=7,"✅ Mastered",IF(F109&lt;0,"🔴 OVERDUE",IF(F109=0,"🟡 TODAY",IF(F109&lt;=2,"🟠 SOON","🟢 Later")))))</f>
        <v/>
      </c>
      <c r="I109" s="0" t="str">
        <f aca="true">IF(H109="✅ DONE",TEXT(TODAY(),"DD/MM/YYYY"),"")</f>
        <v/>
      </c>
    </row>
    <row r="110" customFormat="false" ht="15" hidden="false" customHeight="false" outlineLevel="0" collapsed="false">
      <c r="A110" s="23"/>
      <c r="B110" s="23"/>
      <c r="D110" s="24"/>
      <c r="E110" s="24" t="str">
        <f aca="false">IF(C110="","",IF(D110="","",D110+CHOOSE(MIN(C110+1,8),0,1,3,7,15,30,60,90)))</f>
        <v/>
      </c>
      <c r="F110" s="25" t="str">
        <f aca="true">IF(E110="","",E110-TODAY())</f>
        <v/>
      </c>
      <c r="G110" s="0" t="str">
        <f aca="false">IF(A110="","",IF(C110&gt;=7,"✅ Mastered",IF(F110&lt;0,"🔴 OVERDUE",IF(F110=0,"🟡 TODAY",IF(F110&lt;=2,"🟠 SOON","🟢 Later")))))</f>
        <v/>
      </c>
      <c r="I110" s="0" t="str">
        <f aca="true">IF(H110="✅ DONE",TEXT(TODAY(),"DD/MM/YYYY"),"")</f>
        <v/>
      </c>
    </row>
    <row r="111" customFormat="false" ht="15" hidden="false" customHeight="false" outlineLevel="0" collapsed="false">
      <c r="A111" s="23"/>
      <c r="B111" s="23"/>
      <c r="D111" s="24"/>
      <c r="E111" s="24" t="str">
        <f aca="false">IF(C111="","",IF(D111="","",D111+CHOOSE(MIN(C111+1,8),0,1,3,7,15,30,60,90)))</f>
        <v/>
      </c>
      <c r="F111" s="25" t="str">
        <f aca="true">IF(E111="","",E111-TODAY())</f>
        <v/>
      </c>
      <c r="G111" s="0" t="str">
        <f aca="false">IF(A111="","",IF(C111&gt;=7,"✅ Mastered",IF(F111&lt;0,"🔴 OVERDUE",IF(F111=0,"🟡 TODAY",IF(F111&lt;=2,"🟠 SOON","🟢 Later")))))</f>
        <v/>
      </c>
      <c r="I111" s="0" t="str">
        <f aca="true">IF(H111="✅ DONE",TEXT(TODAY(),"DD/MM/YYYY"),"")</f>
        <v/>
      </c>
    </row>
    <row r="112" customFormat="false" ht="15" hidden="false" customHeight="false" outlineLevel="0" collapsed="false">
      <c r="A112" s="23"/>
      <c r="B112" s="23"/>
      <c r="D112" s="24"/>
      <c r="E112" s="24" t="str">
        <f aca="false">IF(C112="","",IF(D112="","",D112+CHOOSE(MIN(C112+1,8),0,1,3,7,15,30,60,90)))</f>
        <v/>
      </c>
      <c r="F112" s="25" t="str">
        <f aca="true">IF(E112="","",E112-TODAY())</f>
        <v/>
      </c>
      <c r="G112" s="0" t="str">
        <f aca="false">IF(A112="","",IF(C112&gt;=7,"✅ Mastered",IF(F112&lt;0,"🔴 OVERDUE",IF(F112=0,"🟡 TODAY",IF(F112&lt;=2,"🟠 SOON","🟢 Later")))))</f>
        <v/>
      </c>
      <c r="I112" s="0" t="str">
        <f aca="true">IF(H112="✅ DONE",TEXT(TODAY(),"DD/MM/YYYY"),"")</f>
        <v/>
      </c>
    </row>
    <row r="113" customFormat="false" ht="15" hidden="false" customHeight="false" outlineLevel="0" collapsed="false">
      <c r="A113" s="23"/>
      <c r="B113" s="23"/>
      <c r="D113" s="24"/>
      <c r="E113" s="24" t="str">
        <f aca="false">IF(C113="","",IF(D113="","",D113+CHOOSE(MIN(C113+1,8),0,1,3,7,15,30,60,90)))</f>
        <v/>
      </c>
      <c r="F113" s="25" t="str">
        <f aca="true">IF(E113="","",E113-TODAY())</f>
        <v/>
      </c>
      <c r="G113" s="0" t="str">
        <f aca="false">IF(A113="","",IF(C113&gt;=7,"✅ Mastered",IF(F113&lt;0,"🔴 OVERDUE",IF(F113=0,"🟡 TODAY",IF(F113&lt;=2,"🟠 SOON","🟢 Later")))))</f>
        <v/>
      </c>
      <c r="I113" s="0" t="str">
        <f aca="true">IF(H113="✅ DONE",TEXT(TODAY(),"DD/MM/YYYY"),"")</f>
        <v/>
      </c>
    </row>
    <row r="114" customFormat="false" ht="15" hidden="false" customHeight="false" outlineLevel="0" collapsed="false">
      <c r="A114" s="23"/>
      <c r="B114" s="23"/>
      <c r="D114" s="24"/>
      <c r="E114" s="24" t="str">
        <f aca="false">IF(C114="","",IF(D114="","",D114+CHOOSE(MIN(C114+1,8),0,1,3,7,15,30,60,90)))</f>
        <v/>
      </c>
      <c r="F114" s="25" t="str">
        <f aca="true">IF(E114="","",E114-TODAY())</f>
        <v/>
      </c>
      <c r="G114" s="0" t="str">
        <f aca="false">IF(A114="","",IF(C114&gt;=7,"✅ Mastered",IF(F114&lt;0,"🔴 OVERDUE",IF(F114=0,"🟡 TODAY",IF(F114&lt;=2,"🟠 SOON","🟢 Later")))))</f>
        <v/>
      </c>
      <c r="I114" s="0" t="str">
        <f aca="true">IF(H114="✅ DONE",TEXT(TODAY(),"DD/MM/YYYY"),"")</f>
        <v/>
      </c>
    </row>
    <row r="115" customFormat="false" ht="15" hidden="false" customHeight="false" outlineLevel="0" collapsed="false">
      <c r="A115" s="23"/>
      <c r="B115" s="23"/>
      <c r="D115" s="24"/>
      <c r="E115" s="24" t="str">
        <f aca="false">IF(C115="","",IF(D115="","",D115+CHOOSE(MIN(C115+1,8),0,1,3,7,15,30,60,90)))</f>
        <v/>
      </c>
      <c r="F115" s="25" t="str">
        <f aca="true">IF(E115="","",E115-TODAY())</f>
        <v/>
      </c>
      <c r="G115" s="0" t="str">
        <f aca="false">IF(A115="","",IF(C115&gt;=7,"✅ Mastered",IF(F115&lt;0,"🔴 OVERDUE",IF(F115=0,"🟡 TODAY",IF(F115&lt;=2,"🟠 SOON","🟢 Later")))))</f>
        <v/>
      </c>
      <c r="I115" s="0" t="str">
        <f aca="true">IF(H115="✅ DONE",TEXT(TODAY(),"DD/MM/YYYY"),"")</f>
        <v/>
      </c>
    </row>
    <row r="116" customFormat="false" ht="15" hidden="false" customHeight="false" outlineLevel="0" collapsed="false">
      <c r="A116" s="23"/>
      <c r="B116" s="23"/>
      <c r="D116" s="24"/>
      <c r="E116" s="24" t="str">
        <f aca="false">IF(C116="","",IF(D116="","",D116+CHOOSE(MIN(C116+1,8),0,1,3,7,15,30,60,90)))</f>
        <v/>
      </c>
      <c r="F116" s="25" t="str">
        <f aca="true">IF(E116="","",E116-TODAY())</f>
        <v/>
      </c>
      <c r="G116" s="0" t="str">
        <f aca="false">IF(A116="","",IF(C116&gt;=7,"✅ Mastered",IF(F116&lt;0,"🔴 OVERDUE",IF(F116=0,"🟡 TODAY",IF(F116&lt;=2,"🟠 SOON","🟢 Later")))))</f>
        <v/>
      </c>
      <c r="I116" s="0" t="str">
        <f aca="true">IF(H116="✅ DONE",TEXT(TODAY(),"DD/MM/YYYY"),"")</f>
        <v/>
      </c>
    </row>
    <row r="117" customFormat="false" ht="15" hidden="false" customHeight="false" outlineLevel="0" collapsed="false">
      <c r="A117" s="23"/>
      <c r="B117" s="23"/>
      <c r="D117" s="24"/>
      <c r="E117" s="24" t="str">
        <f aca="false">IF(C117="","",IF(D117="","",D117+CHOOSE(MIN(C117+1,8),0,1,3,7,15,30,60,90)))</f>
        <v/>
      </c>
      <c r="F117" s="25" t="str">
        <f aca="true">IF(E117="","",E117-TODAY())</f>
        <v/>
      </c>
      <c r="G117" s="0" t="str">
        <f aca="false">IF(A117="","",IF(C117&gt;=7,"✅ Mastered",IF(F117&lt;0,"🔴 OVERDUE",IF(F117=0,"🟡 TODAY",IF(F117&lt;=2,"🟠 SOON","🟢 Later")))))</f>
        <v/>
      </c>
      <c r="I117" s="0" t="str">
        <f aca="true">IF(H117="✅ DONE",TEXT(TODAY(),"DD/MM/YYYY"),"")</f>
        <v/>
      </c>
    </row>
    <row r="118" customFormat="false" ht="15" hidden="false" customHeight="false" outlineLevel="0" collapsed="false">
      <c r="A118" s="23"/>
      <c r="B118" s="23"/>
      <c r="D118" s="24"/>
      <c r="E118" s="24" t="str">
        <f aca="false">IF(C118="","",IF(D118="","",D118+CHOOSE(MIN(C118+1,8),0,1,3,7,15,30,60,90)))</f>
        <v/>
      </c>
      <c r="F118" s="25" t="str">
        <f aca="true">IF(E118="","",E118-TODAY())</f>
        <v/>
      </c>
      <c r="G118" s="0" t="str">
        <f aca="false">IF(A118="","",IF(C118&gt;=7,"✅ Mastered",IF(F118&lt;0,"🔴 OVERDUE",IF(F118=0,"🟡 TODAY",IF(F118&lt;=2,"🟠 SOON","🟢 Later")))))</f>
        <v/>
      </c>
      <c r="I118" s="0" t="str">
        <f aca="true">IF(H118="✅ DONE",TEXT(TODAY(),"DD/MM/YYYY"),"")</f>
        <v/>
      </c>
    </row>
    <row r="119" customFormat="false" ht="15" hidden="false" customHeight="false" outlineLevel="0" collapsed="false">
      <c r="A119" s="23"/>
      <c r="B119" s="23"/>
      <c r="D119" s="24"/>
      <c r="E119" s="24" t="str">
        <f aca="false">IF(C119="","",IF(D119="","",D119+CHOOSE(MIN(C119+1,8),0,1,3,7,15,30,60,90)))</f>
        <v/>
      </c>
      <c r="F119" s="25" t="str">
        <f aca="true">IF(E119="","",E119-TODAY())</f>
        <v/>
      </c>
      <c r="G119" s="0" t="str">
        <f aca="false">IF(A119="","",IF(C119&gt;=7,"✅ Mastered",IF(F119&lt;0,"🔴 OVERDUE",IF(F119=0,"🟡 TODAY",IF(F119&lt;=2,"🟠 SOON","🟢 Later")))))</f>
        <v/>
      </c>
      <c r="I119" s="0" t="str">
        <f aca="true">IF(H119="✅ DONE",TEXT(TODAY(),"DD/MM/YYYY"),"")</f>
        <v/>
      </c>
    </row>
    <row r="120" customFormat="false" ht="15" hidden="false" customHeight="false" outlineLevel="0" collapsed="false">
      <c r="A120" s="23"/>
      <c r="B120" s="23"/>
      <c r="D120" s="24"/>
      <c r="E120" s="24" t="str">
        <f aca="false">IF(C120="","",IF(D120="","",D120+CHOOSE(MIN(C120+1,8),0,1,3,7,15,30,60,90)))</f>
        <v/>
      </c>
      <c r="F120" s="25" t="str">
        <f aca="true">IF(E120="","",E120-TODAY())</f>
        <v/>
      </c>
      <c r="G120" s="0" t="str">
        <f aca="false">IF(A120="","",IF(C120&gt;=7,"✅ Mastered",IF(F120&lt;0,"🔴 OVERDUE",IF(F120=0,"🟡 TODAY",IF(F120&lt;=2,"🟠 SOON","🟢 Later")))))</f>
        <v/>
      </c>
      <c r="I120" s="0" t="str">
        <f aca="true">IF(H120="✅ DONE",TEXT(TODAY(),"DD/MM/YYYY"),"")</f>
        <v/>
      </c>
    </row>
    <row r="121" customFormat="false" ht="15" hidden="false" customHeight="false" outlineLevel="0" collapsed="false">
      <c r="A121" s="23"/>
      <c r="B121" s="23"/>
      <c r="D121" s="24"/>
      <c r="E121" s="24" t="str">
        <f aca="false">IF(C121="","",IF(D121="","",D121+CHOOSE(MIN(C121+1,8),0,1,3,7,15,30,60,90)))</f>
        <v/>
      </c>
      <c r="F121" s="25" t="str">
        <f aca="true">IF(E121="","",E121-TODAY())</f>
        <v/>
      </c>
      <c r="G121" s="0" t="str">
        <f aca="false">IF(A121="","",IF(C121&gt;=7,"✅ Mastered",IF(F121&lt;0,"🔴 OVERDUE",IF(F121=0,"🟡 TODAY",IF(F121&lt;=2,"🟠 SOON","🟢 Later")))))</f>
        <v/>
      </c>
      <c r="I121" s="0" t="str">
        <f aca="true">IF(H121="✅ DONE",TEXT(TODAY(),"DD/MM/YYYY"),"")</f>
        <v/>
      </c>
    </row>
    <row r="122" customFormat="false" ht="15" hidden="false" customHeight="false" outlineLevel="0" collapsed="false">
      <c r="A122" s="23"/>
      <c r="B122" s="23"/>
      <c r="D122" s="24"/>
      <c r="E122" s="24" t="str">
        <f aca="false">IF(C122="","",IF(D122="","",D122+CHOOSE(MIN(C122+1,8),0,1,3,7,15,30,60,90)))</f>
        <v/>
      </c>
      <c r="F122" s="25" t="str">
        <f aca="true">IF(E122="","",E122-TODAY())</f>
        <v/>
      </c>
      <c r="G122" s="0" t="str">
        <f aca="false">IF(A122="","",IF(C122&gt;=7,"✅ Mastered",IF(F122&lt;0,"🔴 OVERDUE",IF(F122=0,"🟡 TODAY",IF(F122&lt;=2,"🟠 SOON","🟢 Later")))))</f>
        <v/>
      </c>
      <c r="I122" s="0" t="str">
        <f aca="true">IF(H122="✅ DONE",TEXT(TODAY(),"DD/MM/YYYY"),"")</f>
        <v/>
      </c>
    </row>
    <row r="123" customFormat="false" ht="15" hidden="false" customHeight="false" outlineLevel="0" collapsed="false">
      <c r="A123" s="23"/>
      <c r="B123" s="23"/>
      <c r="D123" s="24"/>
      <c r="E123" s="24" t="str">
        <f aca="false">IF(C123="","",IF(D123="","",D123+CHOOSE(MIN(C123+1,8),0,1,3,7,15,30,60,90)))</f>
        <v/>
      </c>
      <c r="F123" s="25" t="str">
        <f aca="true">IF(E123="","",E123-TODAY())</f>
        <v/>
      </c>
      <c r="G123" s="0" t="str">
        <f aca="false">IF(A123="","",IF(C123&gt;=7,"✅ Mastered",IF(F123&lt;0,"🔴 OVERDUE",IF(F123=0,"🟡 TODAY",IF(F123&lt;=2,"🟠 SOON","🟢 Later")))))</f>
        <v/>
      </c>
      <c r="I123" s="0" t="str">
        <f aca="true">IF(H123="✅ DONE",TEXT(TODAY(),"DD/MM/YYYY"),"")</f>
        <v/>
      </c>
    </row>
    <row r="124" customFormat="false" ht="15" hidden="false" customHeight="false" outlineLevel="0" collapsed="false">
      <c r="A124" s="23"/>
      <c r="B124" s="23"/>
      <c r="D124" s="24"/>
      <c r="E124" s="24" t="str">
        <f aca="false">IF(C124="","",IF(D124="","",D124+CHOOSE(MIN(C124+1,8),0,1,3,7,15,30,60,90)))</f>
        <v/>
      </c>
      <c r="F124" s="25" t="str">
        <f aca="true">IF(E124="","",E124-TODAY())</f>
        <v/>
      </c>
      <c r="G124" s="0" t="str">
        <f aca="false">IF(A124="","",IF(C124&gt;=7,"✅ Mastered",IF(F124&lt;0,"🔴 OVERDUE",IF(F124=0,"🟡 TODAY",IF(F124&lt;=2,"🟠 SOON","🟢 Later")))))</f>
        <v/>
      </c>
      <c r="I124" s="0" t="str">
        <f aca="true">IF(H124="✅ DONE",TEXT(TODAY(),"DD/MM/YYYY"),"")</f>
        <v/>
      </c>
    </row>
    <row r="125" customFormat="false" ht="15" hidden="false" customHeight="false" outlineLevel="0" collapsed="false">
      <c r="A125" s="23"/>
      <c r="B125" s="23"/>
      <c r="D125" s="24"/>
      <c r="E125" s="24" t="str">
        <f aca="false">IF(C125="","",IF(D125="","",D125+CHOOSE(MIN(C125+1,8),0,1,3,7,15,30,60,90)))</f>
        <v/>
      </c>
      <c r="F125" s="25" t="str">
        <f aca="true">IF(E125="","",E125-TODAY())</f>
        <v/>
      </c>
      <c r="G125" s="0" t="str">
        <f aca="false">IF(A125="","",IF(C125&gt;=7,"✅ Mastered",IF(F125&lt;0,"🔴 OVERDUE",IF(F125=0,"🟡 TODAY",IF(F125&lt;=2,"🟠 SOON","🟢 Later")))))</f>
        <v/>
      </c>
      <c r="I125" s="0" t="str">
        <f aca="true">IF(H125="✅ DONE",TEXT(TODAY(),"DD/MM/YYYY"),"")</f>
        <v/>
      </c>
    </row>
    <row r="126" customFormat="false" ht="15" hidden="false" customHeight="false" outlineLevel="0" collapsed="false">
      <c r="A126" s="23"/>
      <c r="B126" s="23"/>
      <c r="D126" s="24"/>
      <c r="E126" s="24" t="str">
        <f aca="false">IF(C126="","",IF(D126="","",D126+CHOOSE(MIN(C126+1,8),0,1,3,7,15,30,60,90)))</f>
        <v/>
      </c>
      <c r="F126" s="25" t="str">
        <f aca="true">IF(E126="","",E126-TODAY())</f>
        <v/>
      </c>
      <c r="G126" s="0" t="str">
        <f aca="false">IF(A126="","",IF(C126&gt;=7,"✅ Mastered",IF(F126&lt;0,"🔴 OVERDUE",IF(F126=0,"🟡 TODAY",IF(F126&lt;=2,"🟠 SOON","🟢 Later")))))</f>
        <v/>
      </c>
      <c r="I126" s="0" t="str">
        <f aca="true">IF(H126="✅ DONE",TEXT(TODAY(),"DD/MM/YYYY"),"")</f>
        <v/>
      </c>
    </row>
    <row r="127" customFormat="false" ht="15" hidden="false" customHeight="false" outlineLevel="0" collapsed="false">
      <c r="A127" s="23"/>
      <c r="B127" s="23"/>
      <c r="D127" s="24"/>
      <c r="E127" s="24" t="str">
        <f aca="false">IF(C127="","",IF(D127="","",D127+CHOOSE(MIN(C127+1,8),0,1,3,7,15,30,60,90)))</f>
        <v/>
      </c>
      <c r="F127" s="25" t="str">
        <f aca="true">IF(E127="","",E127-TODAY())</f>
        <v/>
      </c>
      <c r="G127" s="0" t="str">
        <f aca="false">IF(A127="","",IF(C127&gt;=7,"✅ Mastered",IF(F127&lt;0,"🔴 OVERDUE",IF(F127=0,"🟡 TODAY",IF(F127&lt;=2,"🟠 SOON","🟢 Later")))))</f>
        <v/>
      </c>
      <c r="I127" s="0" t="str">
        <f aca="true">IF(H127="✅ DONE",TEXT(TODAY(),"DD/MM/YYYY"),"")</f>
        <v/>
      </c>
    </row>
    <row r="128" customFormat="false" ht="15" hidden="false" customHeight="false" outlineLevel="0" collapsed="false">
      <c r="A128" s="23"/>
      <c r="B128" s="23"/>
      <c r="D128" s="24"/>
      <c r="E128" s="24" t="str">
        <f aca="false">IF(C128="","",IF(D128="","",D128+CHOOSE(MIN(C128+1,8),0,1,3,7,15,30,60,90)))</f>
        <v/>
      </c>
      <c r="F128" s="25" t="str">
        <f aca="true">IF(E128="","",E128-TODAY())</f>
        <v/>
      </c>
      <c r="G128" s="0" t="str">
        <f aca="false">IF(A128="","",IF(C128&gt;=7,"✅ Mastered",IF(F128&lt;0,"🔴 OVERDUE",IF(F128=0,"🟡 TODAY",IF(F128&lt;=2,"🟠 SOON","🟢 Later")))))</f>
        <v/>
      </c>
      <c r="I128" s="0" t="str">
        <f aca="true">IF(H128="✅ DONE",TEXT(TODAY(),"DD/MM/YYYY"),"")</f>
        <v/>
      </c>
    </row>
    <row r="129" customFormat="false" ht="15" hidden="false" customHeight="false" outlineLevel="0" collapsed="false">
      <c r="A129" s="23"/>
      <c r="B129" s="23"/>
      <c r="D129" s="24"/>
      <c r="E129" s="24" t="str">
        <f aca="false">IF(C129="","",IF(D129="","",D129+CHOOSE(MIN(C129+1,8),0,1,3,7,15,30,60,90)))</f>
        <v/>
      </c>
      <c r="F129" s="25" t="str">
        <f aca="true">IF(E129="","",E129-TODAY())</f>
        <v/>
      </c>
      <c r="G129" s="0" t="str">
        <f aca="false">IF(A129="","",IF(C129&gt;=7,"✅ Mastered",IF(F129&lt;0,"🔴 OVERDUE",IF(F129=0,"🟡 TODAY",IF(F129&lt;=2,"🟠 SOON","🟢 Later")))))</f>
        <v/>
      </c>
      <c r="I129" s="0" t="str">
        <f aca="true">IF(H129="✅ DONE",TEXT(TODAY(),"DD/MM/YYYY"),"")</f>
        <v/>
      </c>
    </row>
    <row r="130" customFormat="false" ht="15" hidden="false" customHeight="false" outlineLevel="0" collapsed="false">
      <c r="A130" s="23"/>
      <c r="B130" s="23"/>
      <c r="D130" s="24"/>
      <c r="E130" s="24" t="str">
        <f aca="false">IF(C130="","",IF(D130="","",D130+CHOOSE(MIN(C130+1,8),0,1,3,7,15,30,60,90)))</f>
        <v/>
      </c>
      <c r="F130" s="25" t="str">
        <f aca="true">IF(E130="","",E130-TODAY())</f>
        <v/>
      </c>
      <c r="G130" s="0" t="str">
        <f aca="false">IF(A130="","",IF(C130&gt;=7,"✅ Mastered",IF(F130&lt;0,"🔴 OVERDUE",IF(F130=0,"🟡 TODAY",IF(F130&lt;=2,"🟠 SOON","🟢 Later")))))</f>
        <v/>
      </c>
      <c r="I130" s="0" t="str">
        <f aca="true">IF(H130="✅ DONE",TEXT(TODAY(),"DD/MM/YYYY"),"")</f>
        <v/>
      </c>
    </row>
    <row r="131" customFormat="false" ht="15" hidden="false" customHeight="false" outlineLevel="0" collapsed="false">
      <c r="A131" s="23"/>
      <c r="B131" s="23"/>
      <c r="D131" s="24"/>
      <c r="E131" s="24" t="str">
        <f aca="false">IF(C131="","",IF(D131="","",D131+CHOOSE(MIN(C131+1,8),0,1,3,7,15,30,60,90)))</f>
        <v/>
      </c>
      <c r="F131" s="25" t="str">
        <f aca="true">IF(E131="","",E131-TODAY())</f>
        <v/>
      </c>
      <c r="G131" s="0" t="str">
        <f aca="false">IF(A131="","",IF(C131&gt;=7,"✅ Mastered",IF(F131&lt;0,"🔴 OVERDUE",IF(F131=0,"🟡 TODAY",IF(F131&lt;=2,"🟠 SOON","🟢 Later")))))</f>
        <v/>
      </c>
      <c r="I131" s="0" t="str">
        <f aca="true">IF(H131="✅ DONE",TEXT(TODAY(),"DD/MM/YYYY"),"")</f>
        <v/>
      </c>
    </row>
    <row r="132" customFormat="false" ht="15" hidden="false" customHeight="false" outlineLevel="0" collapsed="false">
      <c r="A132" s="23"/>
      <c r="B132" s="23"/>
      <c r="D132" s="24"/>
      <c r="E132" s="24" t="str">
        <f aca="false">IF(C132="","",IF(D132="","",D132+CHOOSE(MIN(C132+1,8),0,1,3,7,15,30,60,90)))</f>
        <v/>
      </c>
      <c r="F132" s="25" t="str">
        <f aca="true">IF(E132="","",E132-TODAY())</f>
        <v/>
      </c>
      <c r="G132" s="0" t="str">
        <f aca="false">IF(A132="","",IF(C132&gt;=7,"✅ Mastered",IF(F132&lt;0,"🔴 OVERDUE",IF(F132=0,"🟡 TODAY",IF(F132&lt;=2,"🟠 SOON","🟢 Later")))))</f>
        <v/>
      </c>
      <c r="I132" s="0" t="str">
        <f aca="true">IF(H132="✅ DONE",TEXT(TODAY(),"DD/MM/YYYY"),"")</f>
        <v/>
      </c>
    </row>
    <row r="133" customFormat="false" ht="15" hidden="false" customHeight="false" outlineLevel="0" collapsed="false">
      <c r="A133" s="23"/>
      <c r="B133" s="23"/>
      <c r="D133" s="24"/>
      <c r="E133" s="24" t="str">
        <f aca="false">IF(C133="","",IF(D133="","",D133+CHOOSE(MIN(C133+1,8),0,1,3,7,15,30,60,90)))</f>
        <v/>
      </c>
      <c r="F133" s="25" t="str">
        <f aca="true">IF(E133="","",E133-TODAY())</f>
        <v/>
      </c>
      <c r="G133" s="0" t="str">
        <f aca="false">IF(A133="","",IF(C133&gt;=7,"✅ Mastered",IF(F133&lt;0,"🔴 OVERDUE",IF(F133=0,"🟡 TODAY",IF(F133&lt;=2,"🟠 SOON","🟢 Later")))))</f>
        <v/>
      </c>
      <c r="I133" s="0" t="str">
        <f aca="true">IF(H133="✅ DONE",TEXT(TODAY(),"DD/MM/YYYY"),"")</f>
        <v/>
      </c>
    </row>
    <row r="134" customFormat="false" ht="15" hidden="false" customHeight="false" outlineLevel="0" collapsed="false">
      <c r="A134" s="23"/>
      <c r="B134" s="23"/>
      <c r="D134" s="24"/>
      <c r="E134" s="24" t="str">
        <f aca="false">IF(C134="","",IF(D134="","",D134+CHOOSE(MIN(C134+1,8),0,1,3,7,15,30,60,90)))</f>
        <v/>
      </c>
      <c r="F134" s="25" t="str">
        <f aca="true">IF(E134="","",E134-TODAY())</f>
        <v/>
      </c>
      <c r="G134" s="0" t="str">
        <f aca="false">IF(A134="","",IF(C134&gt;=7,"✅ Mastered",IF(F134&lt;0,"🔴 OVERDUE",IF(F134=0,"🟡 TODAY",IF(F134&lt;=2,"🟠 SOON","🟢 Later")))))</f>
        <v/>
      </c>
      <c r="I134" s="0" t="str">
        <f aca="true">IF(H134="✅ DONE",TEXT(TODAY(),"DD/MM/YYYY"),"")</f>
        <v/>
      </c>
    </row>
    <row r="135" customFormat="false" ht="15" hidden="false" customHeight="false" outlineLevel="0" collapsed="false">
      <c r="A135" s="23"/>
      <c r="B135" s="23"/>
      <c r="D135" s="24"/>
      <c r="E135" s="24" t="str">
        <f aca="false">IF(C135="","",IF(D135="","",D135+CHOOSE(MIN(C135+1,8),0,1,3,7,15,30,60,90)))</f>
        <v/>
      </c>
      <c r="F135" s="25" t="str">
        <f aca="true">IF(E135="","",E135-TODAY())</f>
        <v/>
      </c>
      <c r="G135" s="0" t="str">
        <f aca="false">IF(A135="","",IF(C135&gt;=7,"✅ Mastered",IF(F135&lt;0,"🔴 OVERDUE",IF(F135=0,"🟡 TODAY",IF(F135&lt;=2,"🟠 SOON","🟢 Later")))))</f>
        <v/>
      </c>
      <c r="I135" s="0" t="str">
        <f aca="true">IF(H135="✅ DONE",TEXT(TODAY(),"DD/MM/YYYY"),"")</f>
        <v/>
      </c>
    </row>
    <row r="136" customFormat="false" ht="15" hidden="false" customHeight="false" outlineLevel="0" collapsed="false">
      <c r="A136" s="23"/>
      <c r="B136" s="23"/>
      <c r="D136" s="24"/>
      <c r="E136" s="24" t="str">
        <f aca="false">IF(C136="","",IF(D136="","",D136+CHOOSE(MIN(C136+1,8),0,1,3,7,15,30,60,90)))</f>
        <v/>
      </c>
      <c r="F136" s="25" t="str">
        <f aca="true">IF(E136="","",E136-TODAY())</f>
        <v/>
      </c>
      <c r="G136" s="0" t="str">
        <f aca="false">IF(A136="","",IF(C136&gt;=7,"✅ Mastered",IF(F136&lt;0,"🔴 OVERDUE",IF(F136=0,"🟡 TODAY",IF(F136&lt;=2,"🟠 SOON","🟢 Later")))))</f>
        <v/>
      </c>
      <c r="I136" s="0" t="str">
        <f aca="true">IF(H136="✅ DONE",TEXT(TODAY(),"DD/MM/YYYY"),"")</f>
        <v/>
      </c>
    </row>
    <row r="137" customFormat="false" ht="15" hidden="false" customHeight="false" outlineLevel="0" collapsed="false">
      <c r="A137" s="23"/>
      <c r="B137" s="23"/>
      <c r="D137" s="24"/>
      <c r="E137" s="24" t="str">
        <f aca="false">IF(C137="","",IF(D137="","",D137+CHOOSE(MIN(C137+1,8),0,1,3,7,15,30,60,90)))</f>
        <v/>
      </c>
      <c r="F137" s="25" t="str">
        <f aca="true">IF(E137="","",E137-TODAY())</f>
        <v/>
      </c>
      <c r="G137" s="0" t="str">
        <f aca="false">IF(A137="","",IF(C137&gt;=7,"✅ Mastered",IF(F137&lt;0,"🔴 OVERDUE",IF(F137=0,"🟡 TODAY",IF(F137&lt;=2,"🟠 SOON","🟢 Later")))))</f>
        <v/>
      </c>
      <c r="I137" s="0" t="str">
        <f aca="true">IF(H137="✅ DONE",TEXT(TODAY(),"DD/MM/YYYY"),"")</f>
        <v/>
      </c>
    </row>
    <row r="138" customFormat="false" ht="15" hidden="false" customHeight="false" outlineLevel="0" collapsed="false">
      <c r="A138" s="23"/>
      <c r="B138" s="23"/>
      <c r="D138" s="24"/>
      <c r="E138" s="24" t="str">
        <f aca="false">IF(C138="","",IF(D138="","",D138+CHOOSE(MIN(C138+1,8),0,1,3,7,15,30,60,90)))</f>
        <v/>
      </c>
      <c r="F138" s="25" t="str">
        <f aca="true">IF(E138="","",E138-TODAY())</f>
        <v/>
      </c>
      <c r="G138" s="0" t="str">
        <f aca="false">IF(A138="","",IF(C138&gt;=7,"✅ Mastered",IF(F138&lt;0,"🔴 OVERDUE",IF(F138=0,"🟡 TODAY",IF(F138&lt;=2,"🟠 SOON","🟢 Later")))))</f>
        <v/>
      </c>
      <c r="I138" s="0" t="str">
        <f aca="true">IF(H138="✅ DONE",TEXT(TODAY(),"DD/MM/YYYY"),"")</f>
        <v/>
      </c>
    </row>
    <row r="139" customFormat="false" ht="15" hidden="false" customHeight="false" outlineLevel="0" collapsed="false">
      <c r="A139" s="23"/>
      <c r="B139" s="23"/>
      <c r="D139" s="24"/>
      <c r="E139" s="24" t="str">
        <f aca="false">IF(C139="","",IF(D139="","",D139+CHOOSE(MIN(C139+1,8),0,1,3,7,15,30,60,90)))</f>
        <v/>
      </c>
      <c r="F139" s="25" t="str">
        <f aca="true">IF(E139="","",E139-TODAY())</f>
        <v/>
      </c>
      <c r="G139" s="0" t="str">
        <f aca="false">IF(A139="","",IF(C139&gt;=7,"✅ Mastered",IF(F139&lt;0,"🔴 OVERDUE",IF(F139=0,"🟡 TODAY",IF(F139&lt;=2,"🟠 SOON","🟢 Later")))))</f>
        <v/>
      </c>
      <c r="I139" s="0" t="str">
        <f aca="true">IF(H139="✅ DONE",TEXT(TODAY(),"DD/MM/YYYY"),"")</f>
        <v/>
      </c>
    </row>
    <row r="140" customFormat="false" ht="15" hidden="false" customHeight="false" outlineLevel="0" collapsed="false">
      <c r="A140" s="23"/>
      <c r="B140" s="23"/>
      <c r="D140" s="24"/>
      <c r="E140" s="24" t="str">
        <f aca="false">IF(C140="","",IF(D140="","",D140+CHOOSE(MIN(C140+1,8),0,1,3,7,15,30,60,90)))</f>
        <v/>
      </c>
      <c r="F140" s="25" t="str">
        <f aca="true">IF(E140="","",E140-TODAY())</f>
        <v/>
      </c>
      <c r="G140" s="0" t="str">
        <f aca="false">IF(A140="","",IF(C140&gt;=7,"✅ Mastered",IF(F140&lt;0,"🔴 OVERDUE",IF(F140=0,"🟡 TODAY",IF(F140&lt;=2,"🟠 SOON","🟢 Later")))))</f>
        <v/>
      </c>
      <c r="I140" s="0" t="str">
        <f aca="true">IF(H140="✅ DONE",TEXT(TODAY(),"DD/MM/YYYY"),"")</f>
        <v/>
      </c>
    </row>
    <row r="141" customFormat="false" ht="15" hidden="false" customHeight="false" outlineLevel="0" collapsed="false">
      <c r="A141" s="23"/>
      <c r="B141" s="23"/>
      <c r="D141" s="24"/>
      <c r="E141" s="24" t="str">
        <f aca="false">IF(C141="","",IF(D141="","",D141+CHOOSE(MIN(C141+1,8),0,1,3,7,15,30,60,90)))</f>
        <v/>
      </c>
      <c r="F141" s="25" t="str">
        <f aca="true">IF(E141="","",E141-TODAY())</f>
        <v/>
      </c>
      <c r="G141" s="0" t="str">
        <f aca="false">IF(A141="","",IF(C141&gt;=7,"✅ Mastered",IF(F141&lt;0,"🔴 OVERDUE",IF(F141=0,"🟡 TODAY",IF(F141&lt;=2,"🟠 SOON","🟢 Later")))))</f>
        <v/>
      </c>
      <c r="I141" s="0" t="str">
        <f aca="true">IF(H141="✅ DONE",TEXT(TODAY(),"DD/MM/YYYY"),"")</f>
        <v/>
      </c>
    </row>
    <row r="142" customFormat="false" ht="15" hidden="false" customHeight="false" outlineLevel="0" collapsed="false">
      <c r="A142" s="23"/>
      <c r="B142" s="23"/>
      <c r="D142" s="24"/>
      <c r="E142" s="24" t="str">
        <f aca="false">IF(C142="","",IF(D142="","",D142+CHOOSE(MIN(C142+1,8),0,1,3,7,15,30,60,90)))</f>
        <v/>
      </c>
      <c r="F142" s="25" t="str">
        <f aca="true">IF(E142="","",E142-TODAY())</f>
        <v/>
      </c>
      <c r="G142" s="0" t="str">
        <f aca="false">IF(A142="","",IF(C142&gt;=7,"✅ Mastered",IF(F142&lt;0,"🔴 OVERDUE",IF(F142=0,"🟡 TODAY",IF(F142&lt;=2,"🟠 SOON","🟢 Later")))))</f>
        <v/>
      </c>
      <c r="I142" s="0" t="str">
        <f aca="true">IF(H142="✅ DONE",TEXT(TODAY(),"DD/MM/YYYY"),"")</f>
        <v/>
      </c>
    </row>
    <row r="143" customFormat="false" ht="15" hidden="false" customHeight="false" outlineLevel="0" collapsed="false">
      <c r="A143" s="23"/>
      <c r="B143" s="23"/>
      <c r="D143" s="24"/>
      <c r="E143" s="24" t="str">
        <f aca="false">IF(C143="","",IF(D143="","",D143+CHOOSE(MIN(C143+1,8),0,1,3,7,15,30,60,90)))</f>
        <v/>
      </c>
      <c r="F143" s="25" t="str">
        <f aca="true">IF(E143="","",E143-TODAY())</f>
        <v/>
      </c>
      <c r="G143" s="0" t="str">
        <f aca="false">IF(A143="","",IF(C143&gt;=7,"✅ Mastered",IF(F143&lt;0,"🔴 OVERDUE",IF(F143=0,"🟡 TODAY",IF(F143&lt;=2,"🟠 SOON","🟢 Later")))))</f>
        <v/>
      </c>
      <c r="I143" s="0" t="str">
        <f aca="true">IF(H143="✅ DONE",TEXT(TODAY(),"DD/MM/YYYY"),"")</f>
        <v/>
      </c>
    </row>
    <row r="144" customFormat="false" ht="15" hidden="false" customHeight="false" outlineLevel="0" collapsed="false">
      <c r="A144" s="23"/>
      <c r="B144" s="23"/>
      <c r="D144" s="24"/>
      <c r="E144" s="24" t="str">
        <f aca="false">IF(C144="","",IF(D144="","",D144+CHOOSE(MIN(C144+1,8),0,1,3,7,15,30,60,90)))</f>
        <v/>
      </c>
      <c r="F144" s="25" t="str">
        <f aca="true">IF(E144="","",E144-TODAY())</f>
        <v/>
      </c>
      <c r="G144" s="0" t="str">
        <f aca="false">IF(A144="","",IF(C144&gt;=7,"✅ Mastered",IF(F144&lt;0,"🔴 OVERDUE",IF(F144=0,"🟡 TODAY",IF(F144&lt;=2,"🟠 SOON","🟢 Later")))))</f>
        <v/>
      </c>
      <c r="I144" s="0" t="str">
        <f aca="true">IF(H144="✅ DONE",TEXT(TODAY(),"DD/MM/YYYY"),"")</f>
        <v/>
      </c>
    </row>
    <row r="145" customFormat="false" ht="15" hidden="false" customHeight="false" outlineLevel="0" collapsed="false">
      <c r="A145" s="23"/>
      <c r="B145" s="23"/>
      <c r="D145" s="24"/>
      <c r="E145" s="24" t="str">
        <f aca="false">IF(C145="","",IF(D145="","",D145+CHOOSE(MIN(C145+1,8),0,1,3,7,15,30,60,90)))</f>
        <v/>
      </c>
      <c r="F145" s="25" t="str">
        <f aca="true">IF(E145="","",E145-TODAY())</f>
        <v/>
      </c>
      <c r="G145" s="0" t="str">
        <f aca="false">IF(A145="","",IF(C145&gt;=7,"✅ Mastered",IF(F145&lt;0,"🔴 OVERDUE",IF(F145=0,"🟡 TODAY",IF(F145&lt;=2,"🟠 SOON","🟢 Later")))))</f>
        <v/>
      </c>
      <c r="I145" s="0" t="str">
        <f aca="true">IF(H145="✅ DONE",TEXT(TODAY(),"DD/MM/YYYY"),"")</f>
        <v/>
      </c>
    </row>
    <row r="146" customFormat="false" ht="15" hidden="false" customHeight="false" outlineLevel="0" collapsed="false">
      <c r="A146" s="23"/>
      <c r="B146" s="23"/>
      <c r="D146" s="24"/>
      <c r="E146" s="24" t="str">
        <f aca="false">IF(C146="","",IF(D146="","",D146+CHOOSE(MIN(C146+1,8),0,1,3,7,15,30,60,90)))</f>
        <v/>
      </c>
      <c r="F146" s="25" t="str">
        <f aca="true">IF(E146="","",E146-TODAY())</f>
        <v/>
      </c>
      <c r="G146" s="0" t="str">
        <f aca="false">IF(A146="","",IF(C146&gt;=7,"✅ Mastered",IF(F146&lt;0,"🔴 OVERDUE",IF(F146=0,"🟡 TODAY",IF(F146&lt;=2,"🟠 SOON","🟢 Later")))))</f>
        <v/>
      </c>
      <c r="I146" s="0" t="str">
        <f aca="true">IF(H146="✅ DONE",TEXT(TODAY(),"DD/MM/YYYY"),"")</f>
        <v/>
      </c>
    </row>
    <row r="147" customFormat="false" ht="15" hidden="false" customHeight="false" outlineLevel="0" collapsed="false">
      <c r="A147" s="23"/>
      <c r="B147" s="23"/>
      <c r="D147" s="24"/>
      <c r="E147" s="24" t="str">
        <f aca="false">IF(C147="","",IF(D147="","",D147+CHOOSE(MIN(C147+1,8),0,1,3,7,15,30,60,90)))</f>
        <v/>
      </c>
      <c r="F147" s="25" t="str">
        <f aca="true">IF(E147="","",E147-TODAY())</f>
        <v/>
      </c>
      <c r="G147" s="0" t="str">
        <f aca="false">IF(A147="","",IF(C147&gt;=7,"✅ Mastered",IF(F147&lt;0,"🔴 OVERDUE",IF(F147=0,"🟡 TODAY",IF(F147&lt;=2,"🟠 SOON","🟢 Later")))))</f>
        <v/>
      </c>
      <c r="I147" s="0" t="str">
        <f aca="true">IF(H147="✅ DONE",TEXT(TODAY(),"DD/MM/YYYY"),"")</f>
        <v/>
      </c>
    </row>
    <row r="148" customFormat="false" ht="15" hidden="false" customHeight="false" outlineLevel="0" collapsed="false">
      <c r="A148" s="23"/>
      <c r="B148" s="23"/>
      <c r="D148" s="24"/>
      <c r="E148" s="24" t="str">
        <f aca="false">IF(C148="","",IF(D148="","",D148+CHOOSE(MIN(C148+1,8),0,1,3,7,15,30,60,90)))</f>
        <v/>
      </c>
      <c r="F148" s="25" t="str">
        <f aca="true">IF(E148="","",E148-TODAY())</f>
        <v/>
      </c>
      <c r="G148" s="0" t="str">
        <f aca="false">IF(A148="","",IF(C148&gt;=7,"✅ Mastered",IF(F148&lt;0,"🔴 OVERDUE",IF(F148=0,"🟡 TODAY",IF(F148&lt;=2,"🟠 SOON","🟢 Later")))))</f>
        <v/>
      </c>
      <c r="I148" s="0" t="str">
        <f aca="true">IF(H148="✅ DONE",TEXT(TODAY(),"DD/MM/YYYY"),"")</f>
        <v/>
      </c>
    </row>
    <row r="149" customFormat="false" ht="15" hidden="false" customHeight="false" outlineLevel="0" collapsed="false">
      <c r="A149" s="23"/>
      <c r="B149" s="23"/>
      <c r="D149" s="24"/>
      <c r="E149" s="24" t="str">
        <f aca="false">IF(C149="","",IF(D149="","",D149+CHOOSE(MIN(C149+1,8),0,1,3,7,15,30,60,90)))</f>
        <v/>
      </c>
      <c r="F149" s="25" t="str">
        <f aca="true">IF(E149="","",E149-TODAY())</f>
        <v/>
      </c>
      <c r="G149" s="0" t="str">
        <f aca="false">IF(A149="","",IF(C149&gt;=7,"✅ Mastered",IF(F149&lt;0,"🔴 OVERDUE",IF(F149=0,"🟡 TODAY",IF(F149&lt;=2,"🟠 SOON","🟢 Later")))))</f>
        <v/>
      </c>
      <c r="I149" s="0" t="str">
        <f aca="true">IF(H149="✅ DONE",TEXT(TODAY(),"DD/MM/YYYY"),"")</f>
        <v/>
      </c>
    </row>
    <row r="150" customFormat="false" ht="15" hidden="false" customHeight="false" outlineLevel="0" collapsed="false">
      <c r="A150" s="23"/>
      <c r="B150" s="23"/>
      <c r="D150" s="24"/>
      <c r="E150" s="24" t="str">
        <f aca="false">IF(C150="","",IF(D150="","",D150+CHOOSE(MIN(C150+1,8),0,1,3,7,15,30,60,90)))</f>
        <v/>
      </c>
      <c r="F150" s="25" t="str">
        <f aca="true">IF(E150="","",E150-TODAY())</f>
        <v/>
      </c>
      <c r="G150" s="0" t="str">
        <f aca="false">IF(A150="","",IF(C150&gt;=7,"✅ Mastered",IF(F150&lt;0,"🔴 OVERDUE",IF(F150=0,"🟡 TODAY",IF(F150&lt;=2,"🟠 SOON","🟢 Later")))))</f>
        <v/>
      </c>
      <c r="I150" s="0" t="str">
        <f aca="true">IF(H150="✅ DONE",TEXT(TODAY(),"DD/MM/YYYY"),"")</f>
        <v/>
      </c>
    </row>
  </sheetData>
  <mergeCells count="2">
    <mergeCell ref="A1:I1"/>
    <mergeCell ref="A2:I2"/>
  </mergeCells>
  <conditionalFormatting sqref="G4:G150">
    <cfRule type="expression" priority="2" aboveAverage="0" equalAverage="0" bottom="0" percent="0" rank="0" text="" dxfId="0">
      <formula>$H4="✅ DONE"</formula>
    </cfRule>
  </conditionalFormatting>
  <conditionalFormatting sqref="A4:A150">
    <cfRule type="expression" priority="3" aboveAverage="0" equalAverage="0" bottom="0" percent="0" rank="0" text="" dxfId="0">
      <formula>$H4="✅ DONE"</formula>
    </cfRule>
  </conditionalFormatting>
  <conditionalFormatting sqref="B4:B150">
    <cfRule type="expression" priority="4" aboveAverage="0" equalAverage="0" bottom="0" percent="0" rank="0" text="" dxfId="0">
      <formula>$H4="✅ DONE"</formula>
    </cfRule>
  </conditionalFormatting>
  <conditionalFormatting sqref="C4:C150">
    <cfRule type="expression" priority="5" aboveAverage="0" equalAverage="0" bottom="0" percent="0" rank="0" text="" dxfId="0">
      <formula>$H4="✅ DONE"</formula>
    </cfRule>
  </conditionalFormatting>
  <conditionalFormatting sqref="D4:D150">
    <cfRule type="expression" priority="6" aboveAverage="0" equalAverage="0" bottom="0" percent="0" rank="0" text="" dxfId="0">
      <formula>$H4="✅ DONE"</formula>
    </cfRule>
  </conditionalFormatting>
  <conditionalFormatting sqref="E4:E150">
    <cfRule type="expression" priority="7" aboveAverage="0" equalAverage="0" bottom="0" percent="0" rank="0" text="" dxfId="0">
      <formula>$H4="✅ DONE"</formula>
    </cfRule>
  </conditionalFormatting>
  <conditionalFormatting sqref="F4:F150">
    <cfRule type="expression" priority="8" aboveAverage="0" equalAverage="0" bottom="0" percent="0" rank="0" text="" dxfId="0">
      <formula>$H4="✅ DONE"</formula>
    </cfRule>
  </conditionalFormatting>
  <conditionalFormatting sqref="H4:H150">
    <cfRule type="expression" priority="9" aboveAverage="0" equalAverage="0" bottom="0" percent="0" rank="0" text="" dxfId="0">
      <formula>$H4="✅ DONE"</formula>
    </cfRule>
  </conditionalFormatting>
  <conditionalFormatting sqref="I4:I150">
    <cfRule type="expression" priority="10" aboveAverage="0" equalAverage="0" bottom="0" percent="0" rank="0" text="" dxfId="0">
      <formula>$H4="✅ DONE"</formula>
    </cfRule>
  </conditionalFormatting>
  <dataValidations count="1">
    <dataValidation allowBlank="true" errorStyle="stop" operator="between" showDropDown="false" showErrorMessage="false" showInputMessage="false" sqref="H4:H150" type="list">
      <formula1>"—,✅ 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13"/>
  </cols>
  <sheetData>
    <row r="1" customFormat="false" ht="30" hidden="false" customHeight="true" outlineLevel="0" collapsed="false">
      <c r="A1" s="26" t="s">
        <v>62</v>
      </c>
      <c r="B1" s="26"/>
      <c r="C1" s="26"/>
      <c r="D1" s="26"/>
      <c r="E1" s="26"/>
    </row>
    <row r="2" customFormat="false" ht="15" hidden="false" customHeight="false" outlineLevel="0" collapsed="false">
      <c r="A2" s="27" t="s">
        <v>63</v>
      </c>
      <c r="B2" s="27"/>
      <c r="C2" s="27"/>
      <c r="D2" s="27"/>
      <c r="E2" s="27"/>
    </row>
    <row r="3" customFormat="false" ht="15" hidden="false" customHeight="false" outlineLevel="0" collapsed="false">
      <c r="A3" s="28" t="s">
        <v>14</v>
      </c>
      <c r="B3" s="28" t="s">
        <v>45</v>
      </c>
      <c r="C3" s="28" t="s">
        <v>46</v>
      </c>
      <c r="D3" s="28" t="s">
        <v>64</v>
      </c>
      <c r="E3" s="28" t="s">
        <v>49</v>
      </c>
    </row>
    <row r="4" customFormat="false" ht="15" hidden="false" customHeight="false" outlineLevel="0" collapsed="false">
      <c r="A4" s="24" t="n">
        <v>46061</v>
      </c>
      <c r="B4" s="23" t="s">
        <v>60</v>
      </c>
      <c r="C4" s="23" t="s">
        <v>61</v>
      </c>
      <c r="D4" s="23" t="s">
        <v>65</v>
      </c>
      <c r="E4" s="24" t="n">
        <v>46064</v>
      </c>
    </row>
    <row r="5" customFormat="false" ht="15" hidden="false" customHeight="false" outlineLevel="0" collapsed="false">
      <c r="A5" s="24" t="n">
        <v>46059</v>
      </c>
      <c r="B5" s="23" t="s">
        <v>58</v>
      </c>
      <c r="C5" s="23" t="s">
        <v>59</v>
      </c>
      <c r="D5" s="23" t="s">
        <v>65</v>
      </c>
      <c r="E5" s="24" t="n">
        <v>46062</v>
      </c>
    </row>
    <row r="6" customFormat="false" ht="15" hidden="false" customHeight="false" outlineLevel="0" collapsed="false">
      <c r="A6" s="24" t="n">
        <v>46050</v>
      </c>
      <c r="B6" s="23" t="s">
        <v>54</v>
      </c>
      <c r="C6" s="23" t="s">
        <v>55</v>
      </c>
      <c r="D6" s="23" t="s">
        <v>66</v>
      </c>
      <c r="E6" s="24" t="n">
        <v>46057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5"/>
  </cols>
  <sheetData>
    <row r="1" customFormat="false" ht="30" hidden="false" customHeight="true" outlineLevel="0" collapsed="false">
      <c r="A1" s="20" t="s">
        <v>67</v>
      </c>
      <c r="B1" s="20"/>
      <c r="C1" s="20"/>
      <c r="D1" s="20"/>
    </row>
    <row r="3" customFormat="false" ht="16.15" hidden="false" customHeight="false" outlineLevel="0" collapsed="false">
      <c r="A3" s="29" t="s">
        <v>68</v>
      </c>
      <c r="B3" s="29"/>
      <c r="C3" s="29"/>
      <c r="D3" s="29"/>
    </row>
    <row r="4" customFormat="false" ht="15" hidden="false" customHeight="false" outlineLevel="0" collapsed="false">
      <c r="A4" s="30"/>
      <c r="B4" s="30"/>
      <c r="C4" s="30"/>
      <c r="D4" s="30"/>
    </row>
    <row r="5" customFormat="false" ht="15" hidden="false" customHeight="false" outlineLevel="0" collapsed="false">
      <c r="A5" s="30" t="s">
        <v>69</v>
      </c>
      <c r="B5" s="30"/>
      <c r="C5" s="30"/>
      <c r="D5" s="30"/>
    </row>
    <row r="6" customFormat="false" ht="15" hidden="false" customHeight="false" outlineLevel="0" collapsed="false">
      <c r="A6" s="30" t="s">
        <v>70</v>
      </c>
      <c r="B6" s="30"/>
      <c r="C6" s="30"/>
      <c r="D6" s="30"/>
    </row>
    <row r="7" customFormat="false" ht="15" hidden="false" customHeight="false" outlineLevel="0" collapsed="false">
      <c r="A7" s="30" t="s">
        <v>71</v>
      </c>
      <c r="B7" s="30"/>
      <c r="C7" s="30"/>
      <c r="D7" s="30"/>
    </row>
    <row r="8" customFormat="false" ht="15" hidden="false" customHeight="false" outlineLevel="0" collapsed="false">
      <c r="A8" s="30"/>
      <c r="B8" s="30"/>
      <c r="C8" s="30"/>
      <c r="D8" s="30"/>
    </row>
    <row r="9" customFormat="false" ht="15" hidden="false" customHeight="false" outlineLevel="0" collapsed="false">
      <c r="A9" s="30" t="s">
        <v>72</v>
      </c>
      <c r="B9" s="30"/>
      <c r="C9" s="30"/>
      <c r="D9" s="30"/>
    </row>
    <row r="10" customFormat="false" ht="15" hidden="false" customHeight="false" outlineLevel="0" collapsed="false">
      <c r="A10" s="30" t="s">
        <v>73</v>
      </c>
      <c r="B10" s="30"/>
      <c r="C10" s="30"/>
      <c r="D10" s="30"/>
    </row>
    <row r="11" customFormat="false" ht="15" hidden="false" customHeight="false" outlineLevel="0" collapsed="false">
      <c r="A11" s="30"/>
      <c r="B11" s="30"/>
      <c r="C11" s="30"/>
      <c r="D11" s="30"/>
    </row>
    <row r="12" customFormat="false" ht="15" hidden="false" customHeight="false" outlineLevel="0" collapsed="false">
      <c r="A12" s="30" t="s">
        <v>74</v>
      </c>
      <c r="B12" s="30"/>
      <c r="C12" s="30"/>
      <c r="D12" s="30"/>
    </row>
    <row r="13" customFormat="false" ht="15" hidden="false" customHeight="false" outlineLevel="0" collapsed="false">
      <c r="A13" s="30" t="s">
        <v>75</v>
      </c>
      <c r="B13" s="30"/>
      <c r="C13" s="30"/>
      <c r="D13" s="30"/>
    </row>
    <row r="14" customFormat="false" ht="15" hidden="false" customHeight="false" outlineLevel="0" collapsed="false">
      <c r="A14" s="30"/>
      <c r="B14" s="30"/>
      <c r="C14" s="30"/>
      <c r="D14" s="30"/>
    </row>
    <row r="15" customFormat="false" ht="15" hidden="false" customHeight="false" outlineLevel="0" collapsed="false">
      <c r="A15" s="30" t="s">
        <v>76</v>
      </c>
      <c r="B15" s="30"/>
      <c r="C15" s="30"/>
      <c r="D15" s="30"/>
    </row>
    <row r="16" customFormat="false" ht="15" hidden="false" customHeight="false" outlineLevel="0" collapsed="false">
      <c r="A16" s="30" t="s">
        <v>77</v>
      </c>
      <c r="B16" s="30"/>
      <c r="C16" s="30"/>
      <c r="D16" s="30"/>
    </row>
    <row r="18" customFormat="false" ht="16.15" hidden="false" customHeight="false" outlineLevel="0" collapsed="false">
      <c r="A18" s="29" t="s">
        <v>78</v>
      </c>
      <c r="B18" s="29"/>
      <c r="C18" s="29"/>
      <c r="D18" s="29"/>
    </row>
    <row r="19" customFormat="false" ht="15" hidden="false" customHeight="false" outlineLevel="0" collapsed="false">
      <c r="A19" s="31" t="s">
        <v>47</v>
      </c>
      <c r="B19" s="31" t="s">
        <v>49</v>
      </c>
      <c r="C19" s="31" t="s">
        <v>79</v>
      </c>
    </row>
    <row r="20" customFormat="false" ht="15" hidden="false" customHeight="false" outlineLevel="0" collapsed="false">
      <c r="A20" s="32" t="s">
        <v>80</v>
      </c>
      <c r="B20" s="32" t="s">
        <v>17</v>
      </c>
      <c r="C20" s="32" t="s">
        <v>81</v>
      </c>
    </row>
    <row r="21" customFormat="false" ht="15" hidden="false" customHeight="false" outlineLevel="0" collapsed="false">
      <c r="A21" s="32" t="s">
        <v>82</v>
      </c>
      <c r="B21" s="32" t="s">
        <v>83</v>
      </c>
      <c r="C21" s="32" t="s">
        <v>84</v>
      </c>
    </row>
    <row r="22" customFormat="false" ht="15" hidden="false" customHeight="false" outlineLevel="0" collapsed="false">
      <c r="A22" s="32" t="s">
        <v>85</v>
      </c>
      <c r="B22" s="32" t="s">
        <v>86</v>
      </c>
      <c r="C22" s="32" t="s">
        <v>87</v>
      </c>
    </row>
    <row r="23" customFormat="false" ht="15" hidden="false" customHeight="false" outlineLevel="0" collapsed="false">
      <c r="A23" s="32" t="s">
        <v>88</v>
      </c>
      <c r="B23" s="32" t="s">
        <v>89</v>
      </c>
      <c r="C23" s="32" t="s">
        <v>90</v>
      </c>
    </row>
    <row r="24" customFormat="false" ht="15" hidden="false" customHeight="false" outlineLevel="0" collapsed="false">
      <c r="A24" s="32" t="s">
        <v>91</v>
      </c>
      <c r="B24" s="32" t="s">
        <v>92</v>
      </c>
      <c r="C24" s="32" t="s">
        <v>93</v>
      </c>
    </row>
    <row r="25" customFormat="false" ht="15" hidden="false" customHeight="false" outlineLevel="0" collapsed="false">
      <c r="A25" s="32" t="s">
        <v>94</v>
      </c>
      <c r="B25" s="32" t="s">
        <v>95</v>
      </c>
      <c r="C25" s="32" t="s">
        <v>96</v>
      </c>
    </row>
    <row r="26" customFormat="false" ht="15" hidden="false" customHeight="false" outlineLevel="0" collapsed="false">
      <c r="A26" s="32" t="s">
        <v>97</v>
      </c>
      <c r="B26" s="32" t="s">
        <v>98</v>
      </c>
      <c r="C26" s="32" t="s">
        <v>99</v>
      </c>
    </row>
    <row r="27" customFormat="false" ht="15" hidden="false" customHeight="false" outlineLevel="0" collapsed="false">
      <c r="A27" s="32" t="s">
        <v>100</v>
      </c>
      <c r="B27" s="32" t="s">
        <v>101</v>
      </c>
      <c r="C27" s="32" t="s">
        <v>102</v>
      </c>
    </row>
    <row r="30" customFormat="false" ht="16.15" hidden="false" customHeight="false" outlineLevel="0" collapsed="false">
      <c r="A30" s="29" t="s">
        <v>103</v>
      </c>
      <c r="B30" s="29"/>
      <c r="C30" s="29"/>
      <c r="D30" s="29"/>
    </row>
    <row r="31" customFormat="false" ht="15" hidden="false" customHeight="false" outlineLevel="0" collapsed="false">
      <c r="A31" s="30" t="s">
        <v>104</v>
      </c>
      <c r="B31" s="30"/>
      <c r="C31" s="30"/>
      <c r="D31" s="30"/>
    </row>
    <row r="32" customFormat="false" ht="15" hidden="false" customHeight="false" outlineLevel="0" collapsed="false">
      <c r="A32" s="30" t="s">
        <v>105</v>
      </c>
      <c r="B32" s="30"/>
      <c r="C32" s="30"/>
      <c r="D32" s="30"/>
    </row>
    <row r="33" customFormat="false" ht="15" hidden="false" customHeight="false" outlineLevel="0" collapsed="false">
      <c r="A33" s="30" t="s">
        <v>106</v>
      </c>
      <c r="B33" s="30"/>
      <c r="C33" s="30"/>
      <c r="D33" s="30"/>
    </row>
    <row r="34" customFormat="false" ht="15" hidden="false" customHeight="false" outlineLevel="0" collapsed="false">
      <c r="A34" s="30" t="s">
        <v>107</v>
      </c>
      <c r="B34" s="30"/>
      <c r="C34" s="30"/>
      <c r="D34" s="30"/>
    </row>
    <row r="35" customFormat="false" ht="15" hidden="false" customHeight="false" outlineLevel="0" collapsed="false">
      <c r="A35" s="30" t="s">
        <v>108</v>
      </c>
      <c r="B35" s="30"/>
      <c r="C35" s="30"/>
      <c r="D35" s="30"/>
    </row>
  </sheetData>
  <mergeCells count="22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8:D18"/>
    <mergeCell ref="A30:D30"/>
    <mergeCell ref="A31:D31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2026-02-09T21:57:12Z</dcterms:created>
  <dc:creator>openpyxl</dc:creator>
  <dc:description/>
  <dc:language>en-US</dc:language>
  <cp:lastModifiedBy/>
  <dcterms:modified xsi:type="dcterms:W3CDTF">2026-02-09T21:57:19Z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