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📖 Guide" sheetId="1" state="visible" r:id="rId3"/>
    <sheet name="⚡ TODAY" sheetId="2" state="visible" r:id="rId4"/>
    <sheet name="Database" sheetId="3" state="visible" r:id="rId5"/>
    <sheet name="📊 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<sst xmlns="http://schemas.openxmlformats.org/spreadsheetml/2006/main" count="106" uniqueCount="97">
  <si>
    <t xml:space="preserve">📖 QUICK START GUIDE</t>
  </si>
  <si>
    <t xml:space="preserve">⚡ DAILY WORKFLOW (10 SECONDS PER CARD)</t>
  </si>
  <si>
    <t xml:space="preserve">1️⃣ Open "⚡ TODAY" sheet</t>
  </si>
  <si>
    <t xml:space="preserve">   → See compact list (no gaps!) of due lessons</t>
  </si>
  <si>
    <t xml:space="preserve">   → Note the ROW# in column A</t>
  </si>
  <si>
    <t xml:space="preserve">2️⃣ For each lesson:</t>
  </si>
  <si>
    <t xml:space="preserve">   a) Study the material</t>
  </si>
  <si>
    <t xml:space="preserve">   b) Rate difficulty:</t>
  </si>
  <si>
    <t xml:space="preserve">      😊 Easy = "I nailed this, skip ahead!"</t>
  </si>
  <si>
    <t xml:space="preserve">      👍 Good = "Got it, normal progress"</t>
  </si>
  <si>
    <t xml:space="preserve">      😐 Hard = "Tough, review again same level"</t>
  </si>
  <si>
    <t xml:space="preserve">      🔴 Again = "Need more practice, go back"</t>
  </si>
  <si>
    <t xml:space="preserve">   c) Mark "✅ DONE"</t>
  </si>
  <si>
    <t xml:space="preserve">   → Row turns BRIGHT GREEN ✅</t>
  </si>
  <si>
    <t xml:space="preserve">3️⃣ Update Database:</t>
  </si>
  <si>
    <t xml:space="preserve">   a) Note the ROW# from green highlighted row (column A)</t>
  </si>
  <si>
    <t xml:space="preserve">   b) Go to "Database" sheet</t>
  </si>
  <si>
    <t xml:space="preserve">   c) Find that row number</t>
  </si>
  <si>
    <t xml:space="preserve">   d) Copy New Level (green) → Paste into col D</t>
  </si>
  <si>
    <t xml:space="preserve">   e) Copy New Date (green) → Paste into col E</t>
  </si>
  <si>
    <t xml:space="preserve">      (Or just press Ctrl+; to enter today)</t>
  </si>
  <si>
    <t xml:space="preserve">4️⃣ Done! Lesson disappears from TODAY sheet ✨</t>
  </si>
  <si>
    <t xml:space="preserve">🎯 KEY FEATURES</t>
  </si>
  <si>
    <t xml:space="preserve">✅ NO GAPS: Due lessons show compactly (perfect for 100+ lessons)</t>
  </si>
  <si>
    <t xml:space="preserve">✅ ROW# VISIBLE: Easy to find lessons in Database</t>
  </si>
  <si>
    <t xml:space="preserve">✅ GREEN HIGHLIGHT: Completed reviews stand out clearly</t>
  </si>
  <si>
    <t xml:space="preserve">✅ SMART INTERVALS: Easy topics → longer gaps, Hard topics → shorter</t>
  </si>
  <si>
    <t xml:space="preserve">✅ OVERDUE SAFE: Always calculates from TODAY, not the past</t>
  </si>
  <si>
    <t xml:space="preserve">✅ SCALES: Works with 200 lessons in Database</t>
  </si>
  <si>
    <t xml:space="preserve">📊 DIFFICULTY SYSTEM</t>
  </si>
  <si>
    <t xml:space="preserve">Level</t>
  </si>
  <si>
    <t xml:space="preserve">Base Interval</t>
  </si>
  <si>
    <t xml:space="preserve">Easy Topic (×1.3)</t>
  </si>
  <si>
    <t xml:space="preserve">Hard Topic (×0.7)</t>
  </si>
  <si>
    <t xml:space="preserve">0</t>
  </si>
  <si>
    <t xml:space="preserve">0 days</t>
  </si>
  <si>
    <t xml:space="preserve">1</t>
  </si>
  <si>
    <t xml:space="preserve">1 day</t>
  </si>
  <si>
    <t xml:space="preserve">2</t>
  </si>
  <si>
    <t xml:space="preserve">3 days</t>
  </si>
  <si>
    <t xml:space="preserve">4 days</t>
  </si>
  <si>
    <t xml:space="preserve">2 days</t>
  </si>
  <si>
    <t xml:space="preserve">3</t>
  </si>
  <si>
    <t xml:space="preserve">7 days</t>
  </si>
  <si>
    <t xml:space="preserve">9 days</t>
  </si>
  <si>
    <t xml:space="preserve">5 days</t>
  </si>
  <si>
    <t xml:space="preserve">4</t>
  </si>
  <si>
    <t xml:space="preserve">15 days</t>
  </si>
  <si>
    <t xml:space="preserve">20 days</t>
  </si>
  <si>
    <t xml:space="preserve">11 days</t>
  </si>
  <si>
    <t xml:space="preserve">5</t>
  </si>
  <si>
    <t xml:space="preserve">30 days</t>
  </si>
  <si>
    <t xml:space="preserve">39 days</t>
  </si>
  <si>
    <t xml:space="preserve">21 days</t>
  </si>
  <si>
    <t xml:space="preserve">6</t>
  </si>
  <si>
    <t xml:space="preserve">60 days</t>
  </si>
  <si>
    <t xml:space="preserve">78 days</t>
  </si>
  <si>
    <t xml:space="preserve">42 days</t>
  </si>
  <si>
    <t xml:space="preserve">7</t>
  </si>
  <si>
    <t xml:space="preserve">90 days</t>
  </si>
  <si>
    <t xml:space="preserve">117 days</t>
  </si>
  <si>
    <t xml:space="preserve">63 days</t>
  </si>
  <si>
    <t xml:space="preserve">⚡ TODAY'S REVIEWS</t>
  </si>
  <si>
    <t xml:space="preserve">Due Now:</t>
  </si>
  <si>
    <t xml:space="preserve">✅ SIMPLE: Study → Rate → Mark DONE → Row GREEN → Use ROW# to find lesson in Database → Update Level &amp; Date → Done!</t>
  </si>
  <si>
    <t xml:space="preserve">ROW#</t>
  </si>
  <si>
    <t xml:space="preserve">Lesson</t>
  </si>
  <si>
    <t xml:space="preserve">Current Level</t>
  </si>
  <si>
    <t xml:space="preserve">Last Review</t>
  </si>
  <si>
    <t xml:space="preserve">Due</t>
  </si>
  <si>
    <t xml:space="preserve">Rate Difficulty</t>
  </si>
  <si>
    <t xml:space="preserve">Mark</t>
  </si>
  <si>
    <t xml:space="preserve">New Level</t>
  </si>
  <si>
    <t xml:space="preserve">New Date</t>
  </si>
  <si>
    <t xml:space="preserve">🔄 Quick Update: After DONE → Find the ROW# (col A) in Database → Update col D (Level) and col E (Date) with green values</t>
  </si>
  <si>
    <t xml:space="preserve">💡 TIP: Copy the entire green row, go to Database, find that ROW#, paste the New Level into col D and New Date into col E. That's it!</t>
  </si>
  <si>
    <t xml:space="preserve">DATABASE - Your Lessons</t>
  </si>
  <si>
    <t xml:space="preserve">✅ Update col D (Level) and col E (Last Review) with green values from TODAY sheet after completing reviews!</t>
  </si>
  <si>
    <t xml:space="preserve">Topic</t>
  </si>
  <si>
    <t xml:space="preserve">Difficulty</t>
  </si>
  <si>
    <t xml:space="preserve">Interval</t>
  </si>
  <si>
    <t xml:space="preserve">Next Review</t>
  </si>
  <si>
    <t xml:space="preserve">Anatomy</t>
  </si>
  <si>
    <t xml:space="preserve">Heart chambers</t>
  </si>
  <si>
    <t xml:space="preserve">Normal</t>
  </si>
  <si>
    <t xml:space="preserve">Microbio</t>
  </si>
  <si>
    <t xml:space="preserve">Viral replication</t>
  </si>
  <si>
    <t xml:space="preserve">Hard Topic</t>
  </si>
  <si>
    <t xml:space="preserve">Pharmacology</t>
  </si>
  <si>
    <t xml:space="preserve">Benzodiazepines</t>
  </si>
  <si>
    <t xml:space="preserve">Easy Topic</t>
  </si>
  <si>
    <t xml:space="preserve">Physiology</t>
  </si>
  <si>
    <t xml:space="preserve">Cardiac cycle</t>
  </si>
  <si>
    <t xml:space="preserve">📊 YOUR PROGRESS</t>
  </si>
  <si>
    <t xml:space="preserve">📚 STATUS</t>
  </si>
  <si>
    <t xml:space="preserve">Total Lessons:</t>
  </si>
  <si>
    <t xml:space="preserve">Level 7: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</si>
</sst>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sz val="10"/>
      <name val="Cambria"/>
      <family val="0"/>
      <charset val="1"/>
    </font>
    <font>
      <b val="true"/>
      <sz val="11"/>
      <color rgb="FF366092"/>
      <name val="Cambria"/>
      <family val="0"/>
      <charset val="1"/>
    </font>
    <font>
      <b val="true"/>
      <sz val="13"/>
      <color rgb="FF1F478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20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color rgb="FFC00000"/>
      <name val="Cambria"/>
      <family val="0"/>
      <charset val="1"/>
    </font>
    <font>
      <b val="true"/>
      <i val="true"/>
      <sz val="10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00B050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i val="true"/>
      <sz val="9"/>
      <color rgb="FF00B050"/>
      <name val="Cambria"/>
      <family val="0"/>
      <charset val="1"/>
    </font>
    <font>
      <b val="true"/>
      <sz val="16"/>
      <color rgb="FFFFFFFF"/>
      <name val="Cambria"/>
      <family val="0"/>
      <charset val="1"/>
    </font>
    <font>
      <b val="true"/>
      <sz val="13"/>
      <name val="Cambria"/>
      <family val="0"/>
      <charset val="1"/>
    </font>
    <font>
      <b val="true"/>
      <sz val="13"/>
      <color rgb="FFC00000"/>
      <name val="Cambria"/>
      <family val="0"/>
      <charset val="1"/>
    </font>
    <font>
      <b val="true"/>
      <sz val="13"/>
      <color rgb="FF000000"/>
      <name val="Cambria"/>
      <family val="0"/>
      <charset val="1"/>
    </font>
    <font>
      <b val="true"/>
      <sz val="13"/>
      <color rgb="FF00B050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D9E1F2"/>
        <bgColor rgb="FFE8F5E9"/>
      </patternFill>
    </fill>
    <fill>
      <patternFill patternType="solid">
        <fgColor rgb="FFC00000"/>
        <bgColor rgb="FF800000"/>
      </patternFill>
    </fill>
    <fill>
      <patternFill patternType="solid">
        <fgColor rgb="FF366092"/>
        <bgColor rgb="FF1F478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</font>
      <fill>
        <patternFill>
          <bgColor rgb="FF90EE90"/>
        </patternFill>
      </fill>
    </dxf>
    <dxf>
      <fill>
        <patternFill>
          <bgColor rgb="FFFFB3B3"/>
        </patternFill>
      </fill>
    </dxf>
    <dxf>
      <fill>
        <patternFill>
          <bgColor rgb="FFE8F5E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B3B3"/>
      <rgbColor rgb="FF366092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4" min="3" style="1" width="18"/>
  </cols>
  <sheetData>
    <row r="1" customFormat="false" ht="34.5" hidden="false" customHeight="true" outlineLevel="0" collapsed="false">
      <c r="A1" s="2" t="s">
        <v>0</v>
      </c>
      <c r="B1" s="2"/>
      <c r="C1" s="2"/>
      <c r="D1" s="2"/>
    </row>
    <row r="3" customFormat="false" ht="17.25" hidden="false" customHeight="true" outlineLevel="0" collapsed="false">
      <c r="A3" s="3" t="s">
        <v>1</v>
      </c>
      <c r="B3" s="3"/>
      <c r="C3" s="3"/>
      <c r="D3" s="3"/>
    </row>
    <row r="4" customFormat="false" ht="15" hidden="false" customHeight="true" outlineLevel="0" collapsed="false">
      <c r="A4" s="4"/>
      <c r="B4" s="4"/>
      <c r="C4" s="4"/>
      <c r="D4" s="4"/>
    </row>
    <row r="5" customFormat="false" ht="15" hidden="false" customHeight="true" outlineLevel="0" collapsed="false">
      <c r="A5" s="5" t="s">
        <v>2</v>
      </c>
      <c r="B5" s="5"/>
      <c r="C5" s="5"/>
      <c r="D5" s="5"/>
    </row>
    <row r="6" customFormat="false" ht="15" hidden="false" customHeight="true" outlineLevel="0" collapsed="false">
      <c r="A6" s="4" t="s">
        <v>3</v>
      </c>
      <c r="B6" s="4"/>
      <c r="C6" s="4"/>
      <c r="D6" s="4"/>
    </row>
    <row r="7" customFormat="false" ht="15" hidden="false" customHeight="true" outlineLevel="0" collapsed="false">
      <c r="A7" s="4" t="s">
        <v>4</v>
      </c>
      <c r="B7" s="4"/>
      <c r="C7" s="4"/>
      <c r="D7" s="4"/>
    </row>
    <row r="8" customFormat="false" ht="15" hidden="false" customHeight="true" outlineLevel="0" collapsed="false">
      <c r="A8" s="4"/>
      <c r="B8" s="4"/>
      <c r="C8" s="4"/>
      <c r="D8" s="4"/>
    </row>
    <row r="9" customFormat="false" ht="15" hidden="false" customHeight="true" outlineLevel="0" collapsed="false">
      <c r="A9" s="5" t="s">
        <v>5</v>
      </c>
      <c r="B9" s="5"/>
      <c r="C9" s="5"/>
      <c r="D9" s="5"/>
    </row>
    <row r="10" customFormat="false" ht="15" hidden="false" customHeight="true" outlineLevel="0" collapsed="false">
      <c r="A10" s="4" t="s">
        <v>6</v>
      </c>
      <c r="B10" s="4"/>
      <c r="C10" s="4"/>
      <c r="D10" s="4"/>
    </row>
    <row r="11" customFormat="false" ht="15" hidden="false" customHeight="true" outlineLevel="0" collapsed="false">
      <c r="A11" s="4" t="s">
        <v>7</v>
      </c>
      <c r="B11" s="4"/>
      <c r="C11" s="4"/>
      <c r="D11" s="4"/>
    </row>
    <row r="12" customFormat="false" ht="15" hidden="false" customHeight="true" outlineLevel="0" collapsed="false">
      <c r="A12" s="4" t="s">
        <v>8</v>
      </c>
      <c r="B12" s="4"/>
      <c r="C12" s="4"/>
      <c r="D12" s="4"/>
    </row>
    <row r="13" customFormat="false" ht="15" hidden="false" customHeight="true" outlineLevel="0" collapsed="false">
      <c r="A13" s="4" t="s">
        <v>9</v>
      </c>
      <c r="B13" s="4"/>
      <c r="C13" s="4"/>
      <c r="D13" s="4"/>
    </row>
    <row r="14" customFormat="false" ht="15" hidden="false" customHeight="true" outlineLevel="0" collapsed="false">
      <c r="A14" s="4" t="s">
        <v>10</v>
      </c>
      <c r="B14" s="4"/>
      <c r="C14" s="4"/>
      <c r="D14" s="4"/>
    </row>
    <row r="15" customFormat="false" ht="15" hidden="false" customHeight="true" outlineLevel="0" collapsed="false">
      <c r="A15" s="4" t="s">
        <v>11</v>
      </c>
      <c r="B15" s="4"/>
      <c r="C15" s="4"/>
      <c r="D15" s="4"/>
    </row>
    <row r="16" customFormat="false" ht="15" hidden="false" customHeight="true" outlineLevel="0" collapsed="false">
      <c r="A16" s="4" t="s">
        <v>12</v>
      </c>
      <c r="B16" s="4"/>
      <c r="C16" s="4"/>
      <c r="D16" s="4"/>
    </row>
    <row r="17" customFormat="false" ht="15" hidden="false" customHeight="true" outlineLevel="0" collapsed="false">
      <c r="A17" s="4" t="s">
        <v>13</v>
      </c>
      <c r="B17" s="4"/>
      <c r="C17" s="4"/>
      <c r="D17" s="4"/>
    </row>
    <row r="18" customFormat="false" ht="15" hidden="false" customHeight="true" outlineLevel="0" collapsed="false">
      <c r="A18" s="4"/>
      <c r="B18" s="4"/>
      <c r="C18" s="4"/>
      <c r="D18" s="4"/>
    </row>
    <row r="19" customFormat="false" ht="15" hidden="false" customHeight="true" outlineLevel="0" collapsed="false">
      <c r="A19" s="5" t="s">
        <v>14</v>
      </c>
      <c r="B19" s="5"/>
      <c r="C19" s="5"/>
      <c r="D19" s="5"/>
    </row>
    <row r="20" customFormat="false" ht="15" hidden="false" customHeight="true" outlineLevel="0" collapsed="false">
      <c r="A20" s="4" t="s">
        <v>15</v>
      </c>
      <c r="B20" s="4"/>
      <c r="C20" s="4"/>
      <c r="D20" s="4"/>
    </row>
    <row r="21" customFormat="false" ht="15" hidden="false" customHeight="true" outlineLevel="0" collapsed="false">
      <c r="A21" s="4" t="s">
        <v>16</v>
      </c>
      <c r="B21" s="4"/>
      <c r="C21" s="4"/>
      <c r="D21" s="4"/>
    </row>
    <row r="22" customFormat="false" ht="15" hidden="false" customHeight="true" outlineLevel="0" collapsed="false">
      <c r="A22" s="4" t="s">
        <v>17</v>
      </c>
      <c r="B22" s="4"/>
      <c r="C22" s="4"/>
      <c r="D22" s="4"/>
    </row>
    <row r="23" customFormat="false" ht="15" hidden="false" customHeight="true" outlineLevel="0" collapsed="false">
      <c r="A23" s="4" t="s">
        <v>18</v>
      </c>
      <c r="B23" s="4"/>
      <c r="C23" s="4"/>
      <c r="D23" s="4"/>
    </row>
    <row r="24" customFormat="false" ht="15" hidden="false" customHeight="true" outlineLevel="0" collapsed="false">
      <c r="A24" s="4" t="s">
        <v>19</v>
      </c>
      <c r="B24" s="4"/>
      <c r="C24" s="4"/>
      <c r="D24" s="4"/>
    </row>
    <row r="25" customFormat="false" ht="15" hidden="false" customHeight="true" outlineLevel="0" collapsed="false">
      <c r="A25" s="4" t="s">
        <v>20</v>
      </c>
      <c r="B25" s="4"/>
      <c r="C25" s="4"/>
      <c r="D25" s="4"/>
    </row>
    <row r="26" customFormat="false" ht="15" hidden="false" customHeight="true" outlineLevel="0" collapsed="false">
      <c r="A26" s="4"/>
      <c r="B26" s="4"/>
      <c r="C26" s="4"/>
      <c r="D26" s="4"/>
    </row>
    <row r="27" customFormat="false" ht="15" hidden="false" customHeight="true" outlineLevel="0" collapsed="false">
      <c r="A27" s="5" t="s">
        <v>21</v>
      </c>
      <c r="B27" s="5"/>
      <c r="C27" s="5"/>
      <c r="D27" s="5"/>
    </row>
    <row r="28" customFormat="false" ht="15.75" hidden="false" customHeight="true" outlineLevel="0" collapsed="false">
      <c r="A28" s="6" t="s">
        <v>22</v>
      </c>
      <c r="B28" s="6"/>
      <c r="C28" s="6"/>
      <c r="D28" s="6"/>
    </row>
    <row r="29" customFormat="false" ht="15" hidden="false" customHeight="true" outlineLevel="0" collapsed="false">
      <c r="A29" s="4"/>
      <c r="B29" s="4"/>
      <c r="C29" s="4"/>
      <c r="D29" s="4"/>
    </row>
    <row r="30" customFormat="false" ht="15" hidden="false" customHeight="true" outlineLevel="0" collapsed="false">
      <c r="A30" s="4" t="s">
        <v>23</v>
      </c>
      <c r="B30" s="4"/>
      <c r="C30" s="4"/>
      <c r="D30" s="4"/>
    </row>
    <row r="31" customFormat="false" ht="15" hidden="false" customHeight="true" outlineLevel="0" collapsed="false">
      <c r="A31" s="4" t="s">
        <v>24</v>
      </c>
      <c r="B31" s="4"/>
      <c r="C31" s="4"/>
      <c r="D31" s="4"/>
    </row>
    <row r="32" customFormat="false" ht="15" hidden="false" customHeight="true" outlineLevel="0" collapsed="false">
      <c r="A32" s="4" t="s">
        <v>25</v>
      </c>
      <c r="B32" s="4"/>
      <c r="C32" s="4"/>
      <c r="D32" s="4"/>
    </row>
    <row r="33" customFormat="false" ht="15" hidden="false" customHeight="true" outlineLevel="0" collapsed="false">
      <c r="A33" s="4" t="s">
        <v>26</v>
      </c>
      <c r="B33" s="4"/>
      <c r="C33" s="4"/>
      <c r="D33" s="4"/>
    </row>
    <row r="34" customFormat="false" ht="15" hidden="false" customHeight="true" outlineLevel="0" collapsed="false">
      <c r="A34" s="4" t="s">
        <v>27</v>
      </c>
      <c r="B34" s="4"/>
      <c r="C34" s="4"/>
      <c r="D34" s="4"/>
    </row>
    <row r="35" customFormat="false" ht="15" hidden="false" customHeight="true" outlineLevel="0" collapsed="false">
      <c r="A35" s="4" t="s">
        <v>28</v>
      </c>
      <c r="B35" s="4"/>
      <c r="C35" s="4"/>
      <c r="D35" s="4"/>
    </row>
    <row r="37" customFormat="false" ht="15.75" hidden="false" customHeight="true" outlineLevel="0" collapsed="false">
      <c r="A37" s="6" t="s">
        <v>29</v>
      </c>
      <c r="B37" s="6"/>
      <c r="C37" s="6"/>
      <c r="D37" s="6"/>
    </row>
    <row r="38" customFormat="false" ht="15" hidden="false" customHeight="true" outlineLevel="0" collapsed="false">
      <c r="A38" s="7" t="s">
        <v>30</v>
      </c>
      <c r="B38" s="7" t="s">
        <v>31</v>
      </c>
      <c r="C38" s="7" t="s">
        <v>32</v>
      </c>
      <c r="D38" s="7" t="s">
        <v>33</v>
      </c>
    </row>
    <row r="39" customFormat="false" ht="15" hidden="false" customHeight="true" outlineLevel="0" collapsed="false">
      <c r="A39" s="8" t="s">
        <v>34</v>
      </c>
      <c r="B39" s="8" t="s">
        <v>35</v>
      </c>
      <c r="C39" s="8" t="s">
        <v>35</v>
      </c>
      <c r="D39" s="8" t="s">
        <v>35</v>
      </c>
    </row>
    <row r="40" customFormat="false" ht="15" hidden="false" customHeight="true" outlineLevel="0" collapsed="false">
      <c r="A40" s="8" t="s">
        <v>36</v>
      </c>
      <c r="B40" s="8" t="s">
        <v>37</v>
      </c>
      <c r="C40" s="8" t="s">
        <v>37</v>
      </c>
      <c r="D40" s="8" t="s">
        <v>37</v>
      </c>
    </row>
    <row r="41" customFormat="false" ht="15" hidden="false" customHeight="true" outlineLevel="0" collapsed="false">
      <c r="A41" s="8" t="s">
        <v>38</v>
      </c>
      <c r="B41" s="8" t="s">
        <v>39</v>
      </c>
      <c r="C41" s="8" t="s">
        <v>40</v>
      </c>
      <c r="D41" s="8" t="s">
        <v>41</v>
      </c>
    </row>
    <row r="42" customFormat="false" ht="15" hidden="false" customHeight="true" outlineLevel="0" collapsed="false">
      <c r="A42" s="8" t="s">
        <v>42</v>
      </c>
      <c r="B42" s="8" t="s">
        <v>43</v>
      </c>
      <c r="C42" s="8" t="s">
        <v>44</v>
      </c>
      <c r="D42" s="8" t="s">
        <v>45</v>
      </c>
    </row>
    <row r="43" customFormat="false" ht="15" hidden="false" customHeight="true" outlineLevel="0" collapsed="false">
      <c r="A43" s="8" t="s">
        <v>46</v>
      </c>
      <c r="B43" s="8" t="s">
        <v>47</v>
      </c>
      <c r="C43" s="8" t="s">
        <v>48</v>
      </c>
      <c r="D43" s="8" t="s">
        <v>49</v>
      </c>
    </row>
    <row r="44" customFormat="false" ht="15" hidden="false" customHeight="true" outlineLevel="0" collapsed="false">
      <c r="A44" s="8" t="s">
        <v>50</v>
      </c>
      <c r="B44" s="8" t="s">
        <v>51</v>
      </c>
      <c r="C44" s="8" t="s">
        <v>52</v>
      </c>
      <c r="D44" s="8" t="s">
        <v>53</v>
      </c>
    </row>
    <row r="45" customFormat="false" ht="15" hidden="false" customHeight="true" outlineLevel="0" collapsed="false">
      <c r="A45" s="8" t="s">
        <v>54</v>
      </c>
      <c r="B45" s="8" t="s">
        <v>55</v>
      </c>
      <c r="C45" s="8" t="s">
        <v>56</v>
      </c>
      <c r="D45" s="8" t="s">
        <v>57</v>
      </c>
    </row>
    <row r="46" customFormat="false" ht="15" hidden="false" customHeight="true" outlineLevel="0" collapsed="false">
      <c r="A46" s="8" t="s">
        <v>58</v>
      </c>
      <c r="B46" s="8" t="s">
        <v>59</v>
      </c>
      <c r="C46" s="8" t="s">
        <v>60</v>
      </c>
      <c r="D46" s="8" t="s">
        <v>61</v>
      </c>
    </row>
  </sheetData>
  <mergeCells count="35">
    <mergeCell ref="A1:D1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8"/>
    <col collapsed="false" customWidth="true" hidden="false" outlineLevel="0" max="4" min="3" style="1" width="13"/>
    <col collapsed="false" customWidth="true" hidden="false" outlineLevel="0" max="6" min="5" style="1" width="16"/>
    <col collapsed="false" customWidth="true" hidden="false" outlineLevel="0" max="7" min="7" style="1" width="10"/>
    <col collapsed="false" customWidth="true" hidden="false" outlineLevel="0" max="9" min="8" style="1" width="12"/>
  </cols>
  <sheetData>
    <row r="1" customFormat="false" ht="39.75" hidden="false" customHeight="true" outlineLevel="0" collapsed="false">
      <c r="A1" s="9" t="s">
        <v>62</v>
      </c>
      <c r="B1" s="9"/>
      <c r="C1" s="9"/>
      <c r="D1" s="9"/>
      <c r="E1" s="9"/>
      <c r="F1" s="9"/>
      <c r="G1" s="9"/>
      <c r="H1" s="9"/>
      <c r="I1" s="9"/>
    </row>
    <row r="2" customFormat="false" ht="19.5" hidden="false" customHeight="true" outlineLevel="0" collapsed="false">
      <c r="A2" s="10" t="s">
        <v>63</v>
      </c>
      <c r="B2" s="11" t="n">
        <f aca="true">COUNTIFS(Database!$G:$G,"&lt;="&amp;TODAY(),Database!$A:$A,"&lt;&gt;""")+(COUNTIF(Database!$E:$E,"")-COUNTBLANK(Database!$A:$A))</f>
        <v>3</v>
      </c>
    </row>
    <row r="3" customFormat="false" ht="24.75" hidden="false" customHeight="true" outlineLevel="0" collapsed="false">
      <c r="A3" s="12" t="s">
        <v>64</v>
      </c>
      <c r="B3" s="12"/>
      <c r="C3" s="12"/>
      <c r="D3" s="12"/>
      <c r="E3" s="12"/>
      <c r="F3" s="12"/>
      <c r="G3" s="12"/>
      <c r="H3" s="12"/>
      <c r="I3" s="12"/>
    </row>
    <row r="4" customFormat="false" ht="30" hidden="false" customHeight="true" outlineLevel="0" collapsed="false">
      <c r="A4" s="13" t="s">
        <v>65</v>
      </c>
      <c r="B4" s="13" t="s">
        <v>66</v>
      </c>
      <c r="C4" s="13" t="s">
        <v>67</v>
      </c>
      <c r="D4" s="13" t="s">
        <v>68</v>
      </c>
      <c r="E4" s="13" t="s">
        <v>69</v>
      </c>
      <c r="F4" s="13" t="s">
        <v>70</v>
      </c>
      <c r="G4" s="13" t="s">
        <v>71</v>
      </c>
      <c r="H4" s="13" t="s">
        <v>72</v>
      </c>
      <c r="I4" s="13" t="s">
        <v>73</v>
      </c>
    </row>
    <row r="5" customFormat="false" ht="15" hidden="false" customHeight="true" outlineLevel="0" collapsed="false">
      <c r="A5" s="14" t="n">
        <f aca="true">IF(AND(Database!A5&lt;&gt;"",OR(Database!G5&lt;=TODAY(),Database!E5="")),5,"")</f>
        <v>5</v>
      </c>
      <c r="B5" s="15" t="str">
        <f aca="false">IF(A5="","",Database!A5&amp;" - "&amp;Database!B5)</f>
        <v>Microbio - Viral replication</v>
      </c>
      <c r="C5" s="16" t="str">
        <f aca="false">IF(A5="","","Level "&amp;Database!D5)</f>
        <v>Level 0</v>
      </c>
      <c r="D5" s="16" t="str">
        <f aca="false">IF(A5="","",IF(Database!E5="","Never",TEXT(Database!E5,"DD/MM/YY")))</f>
        <v>Never</v>
      </c>
      <c r="E5" s="16" t="str">
        <f aca="true">IF(A5="","",IF(Database!G5="","START NOW!",IF(Database!G5&lt;TODAY(),"OVERDUE "&amp;ABS(Database!G5-TODAY())&amp;"d","Today")))</f>
        <v>START NOW!</v>
      </c>
      <c r="H5" s="17" t="str">
        <f aca="false">IF(G5="✅ DONE",
        IF(F5="😊 Easy",MIN(Database!D5+2,7),
        IF(F5="👍 Good",MIN(Database!D5+1,7),
        IF(F5="😐 Hard",Database!D5,
        IF(F5="🔴 Again",MAX(Database!D5-1,0),
        "")))),
    "")</f>
        <v/>
      </c>
      <c r="I5" s="17" t="str">
        <f aca="true">IF(G5="✅ DONE",TEXT(TODAY(),"DD/MM/YY"),"")</f>
        <v/>
      </c>
    </row>
    <row r="6" customFormat="false" ht="15" hidden="false" customHeight="true" outlineLevel="0" collapsed="false">
      <c r="A6" s="14" t="str">
        <f aca="true">IF(AND(Database!A6&lt;&gt;"",OR(Database!G6&lt;=TODAY(),Database!E6="")),6,"")</f>
        <v/>
      </c>
      <c r="B6" s="15" t="str">
        <f aca="false">IF(A6="","",Database!A6&amp;" - "&amp;Database!B6)</f>
        <v/>
      </c>
      <c r="C6" s="16" t="str">
        <f aca="false">IF(A6="","","Level "&amp;Database!D6)</f>
        <v/>
      </c>
      <c r="D6" s="16" t="str">
        <f aca="false">IF(A6="","",IF(Database!E6="","Never",TEXT(Database!E6,"DD/MM/YY")))</f>
        <v/>
      </c>
      <c r="E6" s="16" t="str">
        <f aca="true">IF(A6="","",IF(Database!G6="","START NOW!",IF(Database!G6&lt;TODAY(),"OVERDUE "&amp;ABS(Database!G6-TODAY())&amp;"d","Today")))</f>
        <v/>
      </c>
      <c r="H6" s="17" t="str">
        <f aca="false">IF(G6="✅ DONE",
        IF(F6="😊 Easy",MIN(Database!D6+2,7),
        IF(F6="👍 Good",MIN(Database!D6+1,7),
        IF(F6="😐 Hard",Database!D6,
        IF(F6="🔴 Again",MAX(Database!D6-1,0),
        "")))),
    "")</f>
        <v/>
      </c>
      <c r="I6" s="17" t="str">
        <f aca="true">IF(G6="✅ DONE",TEXT(TODAY(),"DD/MM/YY"),"")</f>
        <v/>
      </c>
    </row>
    <row r="7" customFormat="false" ht="15" hidden="false" customHeight="true" outlineLevel="0" collapsed="false">
      <c r="A7" s="14" t="str">
        <f aca="true">IF(AND(Database!A7&lt;&gt;"",OR(Database!G7&lt;=TODAY(),Database!E7="")),7,"")</f>
        <v/>
      </c>
      <c r="B7" s="15" t="str">
        <f aca="false">IF(A7="","",Database!A7&amp;" - "&amp;Database!B7)</f>
        <v/>
      </c>
      <c r="C7" s="16" t="str">
        <f aca="false">IF(A7="","","Level "&amp;Database!D7)</f>
        <v/>
      </c>
      <c r="D7" s="16" t="str">
        <f aca="false">IF(A7="","",IF(Database!E7="","Never",TEXT(Database!E7,"DD/MM/YY")))</f>
        <v/>
      </c>
      <c r="E7" s="16" t="str">
        <f aca="true">IF(A7="","",IF(Database!G7="","START NOW!",IF(Database!G7&lt;TODAY(),"OVERDUE "&amp;ABS(Database!G7-TODAY())&amp;"d","Today")))</f>
        <v/>
      </c>
      <c r="H7" s="17" t="str">
        <f aca="false">IF(G7="✅ DONE",
        IF(F7="😊 Easy",MIN(Database!D7+2,7),
        IF(F7="👍 Good",MIN(Database!D7+1,7),
        IF(F7="😐 Hard",Database!D7,
        IF(F7="🔴 Again",MAX(Database!D7-1,0),
        "")))),
    "")</f>
        <v/>
      </c>
      <c r="I7" s="17" t="str">
        <f aca="true">IF(G7="✅ DONE",TEXT(TODAY(),"DD/MM/YY"),"")</f>
        <v/>
      </c>
    </row>
    <row r="8" customFormat="false" ht="15" hidden="false" customHeight="true" outlineLevel="0" collapsed="false">
      <c r="A8" s="14" t="str">
        <f aca="true">IF(AND(Database!A8&lt;&gt;"",OR(Database!G8&lt;=TODAY(),Database!E8="")),8,"")</f>
        <v/>
      </c>
      <c r="B8" s="15" t="str">
        <f aca="false">IF(A8="","",Database!A8&amp;" - "&amp;Database!B8)</f>
        <v/>
      </c>
      <c r="C8" s="16" t="str">
        <f aca="false">IF(A8="","","Level "&amp;Database!D8)</f>
        <v/>
      </c>
      <c r="D8" s="16" t="str">
        <f aca="false">IF(A8="","",IF(Database!E8="","Never",TEXT(Database!E8,"DD/MM/YY")))</f>
        <v/>
      </c>
      <c r="E8" s="16" t="str">
        <f aca="true">IF(A8="","",IF(Database!G8="","START NOW!",IF(Database!G8&lt;TODAY(),"OVERDUE "&amp;ABS(Database!G8-TODAY())&amp;"d","Today")))</f>
        <v/>
      </c>
      <c r="H8" s="17" t="str">
        <f aca="false">IF(G8="✅ DONE",
        IF(F8="😊 Easy",MIN(Database!D8+2,7),
        IF(F8="👍 Good",MIN(Database!D8+1,7),
        IF(F8="😐 Hard",Database!D8,
        IF(F8="🔴 Again",MAX(Database!D8-1,0),
        "")))),
    "")</f>
        <v/>
      </c>
      <c r="I8" s="17" t="str">
        <f aca="true">IF(G8="✅ DONE",TEXT(TODAY(),"DD/MM/YY"),"")</f>
        <v/>
      </c>
    </row>
    <row r="9" customFormat="false" ht="15" hidden="false" customHeight="true" outlineLevel="0" collapsed="false">
      <c r="A9" s="14" t="str">
        <f aca="true">IF(AND(Database!A9&lt;&gt;"",OR(Database!G9&lt;=TODAY(),Database!E9="")),9,"")</f>
        <v/>
      </c>
      <c r="B9" s="15" t="str">
        <f aca="false">IF(A9="","",Database!A9&amp;" - "&amp;Database!B9)</f>
        <v/>
      </c>
      <c r="C9" s="16" t="str">
        <f aca="false">IF(A9="","","Level "&amp;Database!D9)</f>
        <v/>
      </c>
      <c r="D9" s="16" t="str">
        <f aca="false">IF(A9="","",IF(Database!E9="","Never",TEXT(Database!E9,"DD/MM/YY")))</f>
        <v/>
      </c>
      <c r="E9" s="16" t="str">
        <f aca="true">IF(A9="","",IF(Database!G9="","START NOW!",IF(Database!G9&lt;TODAY(),"OVERDUE "&amp;ABS(Database!G9-TODAY())&amp;"d","Today")))</f>
        <v/>
      </c>
      <c r="H9" s="17" t="str">
        <f aca="false">IF(G9="✅ DONE",
        IF(F9="😊 Easy",MIN(Database!D9+2,7),
        IF(F9="👍 Good",MIN(Database!D9+1,7),
        IF(F9="😐 Hard",Database!D9,
        IF(F9="🔴 Again",MAX(Database!D9-1,0),
        "")))),
    "")</f>
        <v/>
      </c>
      <c r="I9" s="17" t="str">
        <f aca="true">IF(G9="✅ DONE",TEXT(TODAY(),"DD/MM/YY"),"")</f>
        <v/>
      </c>
    </row>
    <row r="10" customFormat="false" ht="15" hidden="false" customHeight="true" outlineLevel="0" collapsed="false">
      <c r="A10" s="14" t="str">
        <f aca="true">IF(AND(Database!A10&lt;&gt;"",OR(Database!G10&lt;=TODAY(),Database!E10="")),10,"")</f>
        <v/>
      </c>
      <c r="B10" s="15" t="str">
        <f aca="false">IF(A10="","",Database!A10&amp;" - "&amp;Database!B10)</f>
        <v/>
      </c>
      <c r="C10" s="16" t="str">
        <f aca="false">IF(A10="","","Level "&amp;Database!D10)</f>
        <v/>
      </c>
      <c r="D10" s="16" t="str">
        <f aca="false">IF(A10="","",IF(Database!E10="","Never",TEXT(Database!E10,"DD/MM/YY")))</f>
        <v/>
      </c>
      <c r="E10" s="16" t="str">
        <f aca="true">IF(A10="","",IF(Database!G10="","START NOW!",IF(Database!G10&lt;TODAY(),"OVERDUE "&amp;ABS(Database!G10-TODAY())&amp;"d","Today")))</f>
        <v/>
      </c>
      <c r="H10" s="17" t="str">
        <f aca="false">IF(G10="✅ DONE",
        IF(F10="😊 Easy",MIN(Database!D10+2,7),
        IF(F10="👍 Good",MIN(Database!D10+1,7),
        IF(F10="😐 Hard",Database!D10,
        IF(F10="🔴 Again",MAX(Database!D10-1,0),
        "")))),
    "")</f>
        <v/>
      </c>
      <c r="I10" s="17" t="str">
        <f aca="true">IF(G10="✅ DONE",TEXT(TODAY(),"DD/MM/YY"),"")</f>
        <v/>
      </c>
    </row>
    <row r="11" customFormat="false" ht="15" hidden="false" customHeight="true" outlineLevel="0" collapsed="false">
      <c r="A11" s="14" t="str">
        <f aca="true">IF(AND(Database!A11&lt;&gt;"",OR(Database!G11&lt;=TODAY(),Database!E11="")),11,"")</f>
        <v/>
      </c>
      <c r="B11" s="15" t="str">
        <f aca="false">IF(A11="","",Database!A11&amp;" - "&amp;Database!B11)</f>
        <v/>
      </c>
      <c r="C11" s="16" t="str">
        <f aca="false">IF(A11="","","Level "&amp;Database!D11)</f>
        <v/>
      </c>
      <c r="D11" s="16" t="str">
        <f aca="false">IF(A11="","",IF(Database!E11="","Never",TEXT(Database!E11,"DD/MM/YY")))</f>
        <v/>
      </c>
      <c r="E11" s="16" t="str">
        <f aca="true">IF(A11="","",IF(Database!G11="","START NOW!",IF(Database!G11&lt;TODAY(),"OVERDUE "&amp;ABS(Database!G11-TODAY())&amp;"d","Today")))</f>
        <v/>
      </c>
      <c r="H11" s="17" t="str">
        <f aca="false">IF(G11="✅ DONE",
        IF(F11="😊 Easy",MIN(Database!D11+2,7),
        IF(F11="👍 Good",MIN(Database!D11+1,7),
        IF(F11="😐 Hard",Database!D11,
        IF(F11="🔴 Again",MAX(Database!D11-1,0),
        "")))),
    "")</f>
        <v/>
      </c>
      <c r="I11" s="17" t="str">
        <f aca="true">IF(G11="✅ DONE",TEXT(TODAY(),"DD/MM/YY"),"")</f>
        <v/>
      </c>
    </row>
    <row r="12" customFormat="false" ht="15" hidden="false" customHeight="true" outlineLevel="0" collapsed="false">
      <c r="A12" s="14" t="str">
        <f aca="true">IF(AND(Database!A12&lt;&gt;"",OR(Database!G12&lt;=TODAY(),Database!E12="")),12,"")</f>
        <v/>
      </c>
      <c r="B12" s="15" t="str">
        <f aca="false">IF(A12="","",Database!A12&amp;" - "&amp;Database!B12)</f>
        <v/>
      </c>
      <c r="C12" s="16" t="str">
        <f aca="false">IF(A12="","","Level "&amp;Database!D12)</f>
        <v/>
      </c>
      <c r="D12" s="16" t="str">
        <f aca="false">IF(A12="","",IF(Database!E12="","Never",TEXT(Database!E12,"DD/MM/YY")))</f>
        <v/>
      </c>
      <c r="E12" s="16" t="str">
        <f aca="true">IF(A12="","",IF(Database!G12="","START NOW!",IF(Database!G12&lt;TODAY(),"OVERDUE "&amp;ABS(Database!G12-TODAY())&amp;"d","Today")))</f>
        <v/>
      </c>
      <c r="H12" s="17" t="str">
        <f aca="false">IF(G12="✅ DONE",
        IF(F12="😊 Easy",MIN(Database!D12+2,7),
        IF(F12="👍 Good",MIN(Database!D12+1,7),
        IF(F12="😐 Hard",Database!D12,
        IF(F12="🔴 Again",MAX(Database!D12-1,0),
        "")))),
    "")</f>
        <v/>
      </c>
      <c r="I12" s="17" t="str">
        <f aca="true">IF(G12="✅ DONE",TEXT(TODAY(),"DD/MM/YY"),"")</f>
        <v/>
      </c>
    </row>
    <row r="13" customFormat="false" ht="15" hidden="false" customHeight="true" outlineLevel="0" collapsed="false">
      <c r="A13" s="14" t="str">
        <f aca="true">IF(AND(Database!A13&lt;&gt;"",OR(Database!G13&lt;=TODAY(),Database!E13="")),13,"")</f>
        <v/>
      </c>
      <c r="B13" s="15" t="str">
        <f aca="false">IF(A13="","",Database!A13&amp;" - "&amp;Database!B13)</f>
        <v/>
      </c>
      <c r="C13" s="16" t="str">
        <f aca="false">IF(A13="","","Level "&amp;Database!D13)</f>
        <v/>
      </c>
      <c r="D13" s="16" t="str">
        <f aca="false">IF(A13="","",IF(Database!E13="","Never",TEXT(Database!E13,"DD/MM/YY")))</f>
        <v/>
      </c>
      <c r="E13" s="16" t="str">
        <f aca="true">IF(A13="","",IF(Database!G13="","START NOW!",IF(Database!G13&lt;TODAY(),"OVERDUE "&amp;ABS(Database!G13-TODAY())&amp;"d","Today")))</f>
        <v/>
      </c>
      <c r="H13" s="17" t="str">
        <f aca="false">IF(G13="✅ DONE",
        IF(F13="😊 Easy",MIN(Database!D13+2,7),
        IF(F13="👍 Good",MIN(Database!D13+1,7),
        IF(F13="😐 Hard",Database!D13,
        IF(F13="🔴 Again",MAX(Database!D13-1,0),
        "")))),
    "")</f>
        <v/>
      </c>
      <c r="I13" s="17" t="str">
        <f aca="true">IF(G13="✅ DONE",TEXT(TODAY(),"DD/MM/YY"),"")</f>
        <v/>
      </c>
    </row>
    <row r="14" customFormat="false" ht="15" hidden="false" customHeight="true" outlineLevel="0" collapsed="false">
      <c r="A14" s="14" t="str">
        <f aca="true">IF(AND(Database!A14&lt;&gt;"",OR(Database!G14&lt;=TODAY(),Database!E14="")),14,"")</f>
        <v/>
      </c>
      <c r="B14" s="15" t="str">
        <f aca="false">IF(A14="","",Database!A14&amp;" - "&amp;Database!B14)</f>
        <v/>
      </c>
      <c r="C14" s="16" t="str">
        <f aca="false">IF(A14="","","Level "&amp;Database!D14)</f>
        <v/>
      </c>
      <c r="D14" s="16" t="str">
        <f aca="false">IF(A14="","",IF(Database!E14="","Never",TEXT(Database!E14,"DD/MM/YY")))</f>
        <v/>
      </c>
      <c r="E14" s="16" t="str">
        <f aca="true">IF(A14="","",IF(Database!G14="","START NOW!",IF(Database!G14&lt;TODAY(),"OVERDUE "&amp;ABS(Database!G14-TODAY())&amp;"d","Today")))</f>
        <v/>
      </c>
      <c r="H14" s="17" t="str">
        <f aca="false">IF(G14="✅ DONE",
        IF(F14="😊 Easy",MIN(Database!D14+2,7),
        IF(F14="👍 Good",MIN(Database!D14+1,7),
        IF(F14="😐 Hard",Database!D14,
        IF(F14="🔴 Again",MAX(Database!D14-1,0),
        "")))),
    "")</f>
        <v/>
      </c>
      <c r="I14" s="17" t="str">
        <f aca="true">IF(G14="✅ DONE",TEXT(TODAY(),"DD/MM/YY"),"")</f>
        <v/>
      </c>
    </row>
    <row r="15" customFormat="false" ht="15" hidden="false" customHeight="true" outlineLevel="0" collapsed="false">
      <c r="A15" s="14" t="str">
        <f aca="true">IF(AND(Database!A15&lt;&gt;"",OR(Database!G15&lt;=TODAY(),Database!E15="")),15,"")</f>
        <v/>
      </c>
      <c r="B15" s="15" t="str">
        <f aca="false">IF(A15="","",Database!A15&amp;" - "&amp;Database!B15)</f>
        <v/>
      </c>
      <c r="C15" s="16" t="str">
        <f aca="false">IF(A15="","","Level "&amp;Database!D15)</f>
        <v/>
      </c>
      <c r="D15" s="16" t="str">
        <f aca="false">IF(A15="","",IF(Database!E15="","Never",TEXT(Database!E15,"DD/MM/YY")))</f>
        <v/>
      </c>
      <c r="E15" s="16" t="str">
        <f aca="true">IF(A15="","",IF(Database!G15="","START NOW!",IF(Database!G15&lt;TODAY(),"OVERDUE "&amp;ABS(Database!G15-TODAY())&amp;"d","Today")))</f>
        <v/>
      </c>
      <c r="H15" s="17" t="str">
        <f aca="false">IF(G15="✅ DONE",
        IF(F15="😊 Easy",MIN(Database!D15+2,7),
        IF(F15="👍 Good",MIN(Database!D15+1,7),
        IF(F15="😐 Hard",Database!D15,
        IF(F15="🔴 Again",MAX(Database!D15-1,0),
        "")))),
    "")</f>
        <v/>
      </c>
      <c r="I15" s="17" t="str">
        <f aca="true">IF(G15="✅ DONE",TEXT(TODAY(),"DD/MM/YY"),"")</f>
        <v/>
      </c>
    </row>
    <row r="16" customFormat="false" ht="15" hidden="false" customHeight="true" outlineLevel="0" collapsed="false">
      <c r="A16" s="14" t="str">
        <f aca="true">IF(AND(Database!A16&lt;&gt;"",OR(Database!G16&lt;=TODAY(),Database!E16="")),16,"")</f>
        <v/>
      </c>
      <c r="B16" s="15" t="str">
        <f aca="false">IF(A16="","",Database!A16&amp;" - "&amp;Database!B16)</f>
        <v/>
      </c>
      <c r="C16" s="16" t="str">
        <f aca="false">IF(A16="","","Level "&amp;Database!D16)</f>
        <v/>
      </c>
      <c r="D16" s="16" t="str">
        <f aca="false">IF(A16="","",IF(Database!E16="","Never",TEXT(Database!E16,"DD/MM/YY")))</f>
        <v/>
      </c>
      <c r="E16" s="16" t="str">
        <f aca="true">IF(A16="","",IF(Database!G16="","START NOW!",IF(Database!G16&lt;TODAY(),"OVERDUE "&amp;ABS(Database!G16-TODAY())&amp;"d","Today")))</f>
        <v/>
      </c>
      <c r="H16" s="17" t="str">
        <f aca="false">IF(G16="✅ DONE",
        IF(F16="😊 Easy",MIN(Database!D16+2,7),
        IF(F16="👍 Good",MIN(Database!D16+1,7),
        IF(F16="😐 Hard",Database!D16,
        IF(F16="🔴 Again",MAX(Database!D16-1,0),
        "")))),
    "")</f>
        <v/>
      </c>
      <c r="I16" s="17" t="str">
        <f aca="true">IF(G16="✅ DONE",TEXT(TODAY(),"DD/MM/YY"),"")</f>
        <v/>
      </c>
    </row>
    <row r="17" customFormat="false" ht="15" hidden="false" customHeight="true" outlineLevel="0" collapsed="false">
      <c r="A17" s="14" t="str">
        <f aca="true">IF(AND(Database!A17&lt;&gt;"",OR(Database!G17&lt;=TODAY(),Database!E17="")),17,"")</f>
        <v/>
      </c>
      <c r="B17" s="15" t="str">
        <f aca="false">IF(A17="","",Database!A17&amp;" - "&amp;Database!B17)</f>
        <v/>
      </c>
      <c r="C17" s="16" t="str">
        <f aca="false">IF(A17="","","Level "&amp;Database!D17)</f>
        <v/>
      </c>
      <c r="D17" s="16" t="str">
        <f aca="false">IF(A17="","",IF(Database!E17="","Never",TEXT(Database!E17,"DD/MM/YY")))</f>
        <v/>
      </c>
      <c r="E17" s="16" t="str">
        <f aca="true">IF(A17="","",IF(Database!G17="","START NOW!",IF(Database!G17&lt;TODAY(),"OVERDUE "&amp;ABS(Database!G17-TODAY())&amp;"d","Today")))</f>
        <v/>
      </c>
      <c r="H17" s="17" t="str">
        <f aca="false">IF(G17="✅ DONE",
        IF(F17="😊 Easy",MIN(Database!D17+2,7),
        IF(F17="👍 Good",MIN(Database!D17+1,7),
        IF(F17="😐 Hard",Database!D17,
        IF(F17="🔴 Again",MAX(Database!D17-1,0),
        "")))),
    "")</f>
        <v/>
      </c>
      <c r="I17" s="17" t="str">
        <f aca="true">IF(G17="✅ DONE",TEXT(TODAY(),"DD/MM/YY"),"")</f>
        <v/>
      </c>
    </row>
    <row r="18" customFormat="false" ht="15" hidden="false" customHeight="true" outlineLevel="0" collapsed="false">
      <c r="A18" s="14" t="str">
        <f aca="true">IF(AND(Database!A18&lt;&gt;"",OR(Database!G18&lt;=TODAY(),Database!E18="")),18,"")</f>
        <v/>
      </c>
      <c r="B18" s="15" t="str">
        <f aca="false">IF(A18="","",Database!A18&amp;" - "&amp;Database!B18)</f>
        <v/>
      </c>
      <c r="C18" s="16" t="str">
        <f aca="false">IF(A18="","","Level "&amp;Database!D18)</f>
        <v/>
      </c>
      <c r="D18" s="16" t="str">
        <f aca="false">IF(A18="","",IF(Database!E18="","Never",TEXT(Database!E18,"DD/MM/YY")))</f>
        <v/>
      </c>
      <c r="E18" s="16" t="str">
        <f aca="true">IF(A18="","",IF(Database!G18="","START NOW!",IF(Database!G18&lt;TODAY(),"OVERDUE "&amp;ABS(Database!G18-TODAY())&amp;"d","Today")))</f>
        <v/>
      </c>
      <c r="H18" s="17" t="str">
        <f aca="false">IF(G18="✅ DONE",
        IF(F18="😊 Easy",MIN(Database!D18+2,7),
        IF(F18="👍 Good",MIN(Database!D18+1,7),
        IF(F18="😐 Hard",Database!D18,
        IF(F18="🔴 Again",MAX(Database!D18-1,0),
        "")))),
    "")</f>
        <v/>
      </c>
      <c r="I18" s="17" t="str">
        <f aca="true">IF(G18="✅ DONE",TEXT(TODAY(),"DD/MM/YY"),"")</f>
        <v/>
      </c>
    </row>
    <row r="19" customFormat="false" ht="15" hidden="false" customHeight="true" outlineLevel="0" collapsed="false">
      <c r="A19" s="14" t="str">
        <f aca="true">IF(AND(Database!A19&lt;&gt;"",OR(Database!G19&lt;=TODAY(),Database!E19="")),19,"")</f>
        <v/>
      </c>
      <c r="B19" s="15" t="str">
        <f aca="false">IF(A19="","",Database!A19&amp;" - "&amp;Database!B19)</f>
        <v/>
      </c>
      <c r="C19" s="16" t="str">
        <f aca="false">IF(A19="","","Level "&amp;Database!D19)</f>
        <v/>
      </c>
      <c r="D19" s="16" t="str">
        <f aca="false">IF(A19="","",IF(Database!E19="","Never",TEXT(Database!E19,"DD/MM/YY")))</f>
        <v/>
      </c>
      <c r="E19" s="16" t="str">
        <f aca="true">IF(A19="","",IF(Database!G19="","START NOW!",IF(Database!G19&lt;TODAY(),"OVERDUE "&amp;ABS(Database!G19-TODAY())&amp;"d","Today")))</f>
        <v/>
      </c>
      <c r="H19" s="17" t="str">
        <f aca="false">IF(G19="✅ DONE",
        IF(F19="😊 Easy",MIN(Database!D19+2,7),
        IF(F19="👍 Good",MIN(Database!D19+1,7),
        IF(F19="😐 Hard",Database!D19,
        IF(F19="🔴 Again",MAX(Database!D19-1,0),
        "")))),
    "")</f>
        <v/>
      </c>
      <c r="I19" s="17" t="str">
        <f aca="true">IF(G19="✅ DONE",TEXT(TODAY(),"DD/MM/YY"),"")</f>
        <v/>
      </c>
    </row>
    <row r="20" customFormat="false" ht="15" hidden="false" customHeight="true" outlineLevel="0" collapsed="false">
      <c r="A20" s="14" t="str">
        <f aca="true">IF(AND(Database!A20&lt;&gt;"",OR(Database!G20&lt;=TODAY(),Database!E20="")),20,"")</f>
        <v/>
      </c>
      <c r="B20" s="15" t="str">
        <f aca="false">IF(A20="","",Database!A20&amp;" - "&amp;Database!B20)</f>
        <v/>
      </c>
      <c r="C20" s="16" t="str">
        <f aca="false">IF(A20="","","Level "&amp;Database!D20)</f>
        <v/>
      </c>
      <c r="D20" s="16" t="str">
        <f aca="false">IF(A20="","",IF(Database!E20="","Never",TEXT(Database!E20,"DD/MM/YY")))</f>
        <v/>
      </c>
      <c r="E20" s="16" t="str">
        <f aca="true">IF(A20="","",IF(Database!G20="","START NOW!",IF(Database!G20&lt;TODAY(),"OVERDUE "&amp;ABS(Database!G20-TODAY())&amp;"d","Today")))</f>
        <v/>
      </c>
      <c r="H20" s="17" t="str">
        <f aca="false">IF(G20="✅ DONE",
        IF(F20="😊 Easy",MIN(Database!D20+2,7),
        IF(F20="👍 Good",MIN(Database!D20+1,7),
        IF(F20="😐 Hard",Database!D20,
        IF(F20="🔴 Again",MAX(Database!D20-1,0),
        "")))),
    "")</f>
        <v/>
      </c>
      <c r="I20" s="17" t="str">
        <f aca="true">IF(G20="✅ DONE",TEXT(TODAY(),"DD/MM/YY"),"")</f>
        <v/>
      </c>
    </row>
    <row r="21" customFormat="false" ht="15" hidden="false" customHeight="true" outlineLevel="0" collapsed="false">
      <c r="A21" s="14" t="str">
        <f aca="true">IF(AND(Database!A21&lt;&gt;"",OR(Database!G21&lt;=TODAY(),Database!E21="")),21,"")</f>
        <v/>
      </c>
      <c r="B21" s="15" t="str">
        <f aca="false">IF(A21="","",Database!A21&amp;" - "&amp;Database!B21)</f>
        <v/>
      </c>
      <c r="C21" s="16" t="str">
        <f aca="false">IF(A21="","","Level "&amp;Database!D21)</f>
        <v/>
      </c>
      <c r="D21" s="16" t="str">
        <f aca="false">IF(A21="","",IF(Database!E21="","Never",TEXT(Database!E21,"DD/MM/YY")))</f>
        <v/>
      </c>
      <c r="E21" s="16" t="str">
        <f aca="true">IF(A21="","",IF(Database!G21="","START NOW!",IF(Database!G21&lt;TODAY(),"OVERDUE "&amp;ABS(Database!G21-TODAY())&amp;"d","Today")))</f>
        <v/>
      </c>
      <c r="H21" s="17" t="str">
        <f aca="false">IF(G21="✅ DONE",
        IF(F21="😊 Easy",MIN(Database!D21+2,7),
        IF(F21="👍 Good",MIN(Database!D21+1,7),
        IF(F21="😐 Hard",Database!D21,
        IF(F21="🔴 Again",MAX(Database!D21-1,0),
        "")))),
    "")</f>
        <v/>
      </c>
      <c r="I21" s="17" t="str">
        <f aca="true">IF(G21="✅ DONE",TEXT(TODAY(),"DD/MM/YY"),"")</f>
        <v/>
      </c>
    </row>
    <row r="22" customFormat="false" ht="15" hidden="false" customHeight="true" outlineLevel="0" collapsed="false">
      <c r="A22" s="14" t="str">
        <f aca="true">IF(AND(Database!A22&lt;&gt;"",OR(Database!G22&lt;=TODAY(),Database!E22="")),22,"")</f>
        <v/>
      </c>
      <c r="B22" s="15" t="str">
        <f aca="false">IF(A22="","",Database!A22&amp;" - "&amp;Database!B22)</f>
        <v/>
      </c>
      <c r="C22" s="16" t="str">
        <f aca="false">IF(A22="","","Level "&amp;Database!D22)</f>
        <v/>
      </c>
      <c r="D22" s="16" t="str">
        <f aca="false">IF(A22="","",IF(Database!E22="","Never",TEXT(Database!E22,"DD/MM/YY")))</f>
        <v/>
      </c>
      <c r="E22" s="16" t="str">
        <f aca="true">IF(A22="","",IF(Database!G22="","START NOW!",IF(Database!G22&lt;TODAY(),"OVERDUE "&amp;ABS(Database!G22-TODAY())&amp;"d","Today")))</f>
        <v/>
      </c>
      <c r="H22" s="17" t="str">
        <f aca="false">IF(G22="✅ DONE",
        IF(F22="😊 Easy",MIN(Database!D22+2,7),
        IF(F22="👍 Good",MIN(Database!D22+1,7),
        IF(F22="😐 Hard",Database!D22,
        IF(F22="🔴 Again",MAX(Database!D22-1,0),
        "")))),
    "")</f>
        <v/>
      </c>
      <c r="I22" s="17" t="str">
        <f aca="true">IF(G22="✅ DONE",TEXT(TODAY(),"DD/MM/YY"),"")</f>
        <v/>
      </c>
    </row>
    <row r="23" customFormat="false" ht="15" hidden="false" customHeight="true" outlineLevel="0" collapsed="false">
      <c r="A23" s="14" t="str">
        <f aca="true">IF(AND(Database!A23&lt;&gt;"",OR(Database!G23&lt;=TODAY(),Database!E23="")),23,"")</f>
        <v/>
      </c>
      <c r="B23" s="15" t="str">
        <f aca="false">IF(A23="","",Database!A23&amp;" - "&amp;Database!B23)</f>
        <v/>
      </c>
      <c r="C23" s="16" t="str">
        <f aca="false">IF(A23="","","Level "&amp;Database!D23)</f>
        <v/>
      </c>
      <c r="D23" s="16" t="str">
        <f aca="false">IF(A23="","",IF(Database!E23="","Never",TEXT(Database!E23,"DD/MM/YY")))</f>
        <v/>
      </c>
      <c r="E23" s="16" t="str">
        <f aca="true">IF(A23="","",IF(Database!G23="","START NOW!",IF(Database!G23&lt;TODAY(),"OVERDUE "&amp;ABS(Database!G23-TODAY())&amp;"d","Today")))</f>
        <v/>
      </c>
      <c r="H23" s="17" t="str">
        <f aca="false">IF(G23="✅ DONE",
        IF(F23="😊 Easy",MIN(Database!D23+2,7),
        IF(F23="👍 Good",MIN(Database!D23+1,7),
        IF(F23="😐 Hard",Database!D23,
        IF(F23="🔴 Again",MAX(Database!D23-1,0),
        "")))),
    "")</f>
        <v/>
      </c>
      <c r="I23" s="17" t="str">
        <f aca="true">IF(G23="✅ DONE",TEXT(TODAY(),"DD/MM/YY"),"")</f>
        <v/>
      </c>
    </row>
    <row r="24" customFormat="false" ht="15" hidden="false" customHeight="true" outlineLevel="0" collapsed="false">
      <c r="A24" s="14" t="str">
        <f aca="true">IF(AND(Database!A24&lt;&gt;"",OR(Database!G24&lt;=TODAY(),Database!E24="")),24,"")</f>
        <v/>
      </c>
      <c r="B24" s="15" t="str">
        <f aca="false">IF(A24="","",Database!A24&amp;" - "&amp;Database!B24)</f>
        <v/>
      </c>
      <c r="C24" s="16" t="str">
        <f aca="false">IF(A24="","","Level "&amp;Database!D24)</f>
        <v/>
      </c>
      <c r="D24" s="16" t="str">
        <f aca="false">IF(A24="","",IF(Database!E24="","Never",TEXT(Database!E24,"DD/MM/YY")))</f>
        <v/>
      </c>
      <c r="E24" s="16" t="str">
        <f aca="true">IF(A24="","",IF(Database!G24="","START NOW!",IF(Database!G24&lt;TODAY(),"OVERDUE "&amp;ABS(Database!G24-TODAY())&amp;"d","Today")))</f>
        <v/>
      </c>
      <c r="H24" s="17" t="str">
        <f aca="false">IF(G24="✅ DONE",
        IF(F24="😊 Easy",MIN(Database!D24+2,7),
        IF(F24="👍 Good",MIN(Database!D24+1,7),
        IF(F24="😐 Hard",Database!D24,
        IF(F24="🔴 Again",MAX(Database!D24-1,0),
        "")))),
    "")</f>
        <v/>
      </c>
      <c r="I24" s="17" t="str">
        <f aca="true">IF(G24="✅ DONE",TEXT(TODAY(),"DD/MM/YY"),"")</f>
        <v/>
      </c>
    </row>
    <row r="25" customFormat="false" ht="15" hidden="false" customHeight="true" outlineLevel="0" collapsed="false">
      <c r="A25" s="14" t="str">
        <f aca="true">IF(AND(Database!A25&lt;&gt;"",OR(Database!G25&lt;=TODAY(),Database!E25="")),25,"")</f>
        <v/>
      </c>
      <c r="B25" s="15" t="str">
        <f aca="false">IF(A25="","",Database!A25&amp;" - "&amp;Database!B25)</f>
        <v/>
      </c>
      <c r="C25" s="16" t="str">
        <f aca="false">IF(A25="","","Level "&amp;Database!D25)</f>
        <v/>
      </c>
      <c r="D25" s="16" t="str">
        <f aca="false">IF(A25="","",IF(Database!E25="","Never",TEXT(Database!E25,"DD/MM/YY")))</f>
        <v/>
      </c>
      <c r="E25" s="16" t="str">
        <f aca="true">IF(A25="","",IF(Database!G25="","START NOW!",IF(Database!G25&lt;TODAY(),"OVERDUE "&amp;ABS(Database!G25-TODAY())&amp;"d","Today")))</f>
        <v/>
      </c>
      <c r="H25" s="17" t="str">
        <f aca="false">IF(G25="✅ DONE",
        IF(F25="😊 Easy",MIN(Database!D25+2,7),
        IF(F25="👍 Good",MIN(Database!D25+1,7),
        IF(F25="😐 Hard",Database!D25,
        IF(F25="🔴 Again",MAX(Database!D25-1,0),
        "")))),
    "")</f>
        <v/>
      </c>
      <c r="I25" s="17" t="str">
        <f aca="true">IF(G25="✅ DONE",TEXT(TODAY(),"DD/MM/YY"),"")</f>
        <v/>
      </c>
    </row>
    <row r="26" customFormat="false" ht="15" hidden="false" customHeight="true" outlineLevel="0" collapsed="false">
      <c r="A26" s="14" t="str">
        <f aca="true">IF(AND(Database!A26&lt;&gt;"",OR(Database!G26&lt;=TODAY(),Database!E26="")),26,"")</f>
        <v/>
      </c>
      <c r="B26" s="15" t="str">
        <f aca="false">IF(A26="","",Database!A26&amp;" - "&amp;Database!B26)</f>
        <v/>
      </c>
      <c r="C26" s="16" t="str">
        <f aca="false">IF(A26="","","Level "&amp;Database!D26)</f>
        <v/>
      </c>
      <c r="D26" s="16" t="str">
        <f aca="false">IF(A26="","",IF(Database!E26="","Never",TEXT(Database!E26,"DD/MM/YY")))</f>
        <v/>
      </c>
      <c r="E26" s="16" t="str">
        <f aca="true">IF(A26="","",IF(Database!G26="","START NOW!",IF(Database!G26&lt;TODAY(),"OVERDUE "&amp;ABS(Database!G26-TODAY())&amp;"d","Today")))</f>
        <v/>
      </c>
      <c r="H26" s="17" t="str">
        <f aca="false">IF(G26="✅ DONE",
        IF(F26="😊 Easy",MIN(Database!D26+2,7),
        IF(F26="👍 Good",MIN(Database!D26+1,7),
        IF(F26="😐 Hard",Database!D26,
        IF(F26="🔴 Again",MAX(Database!D26-1,0),
        "")))),
    "")</f>
        <v/>
      </c>
      <c r="I26" s="17" t="str">
        <f aca="true">IF(G26="✅ DONE",TEXT(TODAY(),"DD/MM/YY"),"")</f>
        <v/>
      </c>
    </row>
    <row r="27" customFormat="false" ht="15" hidden="false" customHeight="true" outlineLevel="0" collapsed="false">
      <c r="A27" s="14" t="str">
        <f aca="true">IF(AND(Database!A27&lt;&gt;"",OR(Database!G27&lt;=TODAY(),Database!E27="")),27,"")</f>
        <v/>
      </c>
      <c r="B27" s="15" t="str">
        <f aca="false">IF(A27="","",Database!A27&amp;" - "&amp;Database!B27)</f>
        <v/>
      </c>
      <c r="C27" s="16" t="str">
        <f aca="false">IF(A27="","","Level "&amp;Database!D27)</f>
        <v/>
      </c>
      <c r="D27" s="16" t="str">
        <f aca="false">IF(A27="","",IF(Database!E27="","Never",TEXT(Database!E27,"DD/MM/YY")))</f>
        <v/>
      </c>
      <c r="E27" s="16" t="str">
        <f aca="true">IF(A27="","",IF(Database!G27="","START NOW!",IF(Database!G27&lt;TODAY(),"OVERDUE "&amp;ABS(Database!G27-TODAY())&amp;"d","Today")))</f>
        <v/>
      </c>
      <c r="H27" s="17" t="str">
        <f aca="false">IF(G27="✅ DONE",
        IF(F27="😊 Easy",MIN(Database!D27+2,7),
        IF(F27="👍 Good",MIN(Database!D27+1,7),
        IF(F27="😐 Hard",Database!D27,
        IF(F27="🔴 Again",MAX(Database!D27-1,0),
        "")))),
    "")</f>
        <v/>
      </c>
      <c r="I27" s="17" t="str">
        <f aca="true">IF(G27="✅ DONE",TEXT(TODAY(),"DD/MM/YY"),"")</f>
        <v/>
      </c>
    </row>
    <row r="28" customFormat="false" ht="15" hidden="false" customHeight="true" outlineLevel="0" collapsed="false">
      <c r="A28" s="14" t="str">
        <f aca="true">IF(AND(Database!A28&lt;&gt;"",OR(Database!G28&lt;=TODAY(),Database!E28="")),28,"")</f>
        <v/>
      </c>
      <c r="B28" s="15" t="str">
        <f aca="false">IF(A28="","",Database!A28&amp;" - "&amp;Database!B28)</f>
        <v/>
      </c>
      <c r="C28" s="16" t="str">
        <f aca="false">IF(A28="","","Level "&amp;Database!D28)</f>
        <v/>
      </c>
      <c r="D28" s="16" t="str">
        <f aca="false">IF(A28="","",IF(Database!E28="","Never",TEXT(Database!E28,"DD/MM/YY")))</f>
        <v/>
      </c>
      <c r="E28" s="16" t="str">
        <f aca="true">IF(A28="","",IF(Database!G28="","START NOW!",IF(Database!G28&lt;TODAY(),"OVERDUE "&amp;ABS(Database!G28-TODAY())&amp;"d","Today")))</f>
        <v/>
      </c>
      <c r="H28" s="17" t="str">
        <f aca="false">IF(G28="✅ DONE",
        IF(F28="😊 Easy",MIN(Database!D28+2,7),
        IF(F28="👍 Good",MIN(Database!D28+1,7),
        IF(F28="😐 Hard",Database!D28,
        IF(F28="🔴 Again",MAX(Database!D28-1,0),
        "")))),
    "")</f>
        <v/>
      </c>
      <c r="I28" s="17" t="str">
        <f aca="true">IF(G28="✅ DONE",TEXT(TODAY(),"DD/MM/YY"),"")</f>
        <v/>
      </c>
    </row>
    <row r="29" customFormat="false" ht="15" hidden="false" customHeight="true" outlineLevel="0" collapsed="false">
      <c r="A29" s="14" t="str">
        <f aca="true">IF(AND(Database!A29&lt;&gt;"",OR(Database!G29&lt;=TODAY(),Database!E29="")),29,"")</f>
        <v/>
      </c>
      <c r="B29" s="15" t="str">
        <f aca="false">IF(A29="","",Database!A29&amp;" - "&amp;Database!B29)</f>
        <v/>
      </c>
      <c r="C29" s="16" t="str">
        <f aca="false">IF(A29="","","Level "&amp;Database!D29)</f>
        <v/>
      </c>
      <c r="D29" s="16" t="str">
        <f aca="false">IF(A29="","",IF(Database!E29="","Never",TEXT(Database!E29,"DD/MM/YY")))</f>
        <v/>
      </c>
      <c r="E29" s="16" t="str">
        <f aca="true">IF(A29="","",IF(Database!G29="","START NOW!",IF(Database!G29&lt;TODAY(),"OVERDUE "&amp;ABS(Database!G29-TODAY())&amp;"d","Today")))</f>
        <v/>
      </c>
      <c r="H29" s="17" t="str">
        <f aca="false">IF(G29="✅ DONE",
        IF(F29="😊 Easy",MIN(Database!D29+2,7),
        IF(F29="👍 Good",MIN(Database!D29+1,7),
        IF(F29="😐 Hard",Database!D29,
        IF(F29="🔴 Again",MAX(Database!D29-1,0),
        "")))),
    "")</f>
        <v/>
      </c>
      <c r="I29" s="17" t="str">
        <f aca="true">IF(G29="✅ DONE",TEXT(TODAY(),"DD/MM/YY"),"")</f>
        <v/>
      </c>
    </row>
    <row r="30" customFormat="false" ht="15" hidden="false" customHeight="true" outlineLevel="0" collapsed="false">
      <c r="A30" s="14" t="str">
        <f aca="true">IF(AND(Database!A30&lt;&gt;"",OR(Database!G30&lt;=TODAY(),Database!E30="")),30,"")</f>
        <v/>
      </c>
      <c r="B30" s="15" t="str">
        <f aca="false">IF(A30="","",Database!A30&amp;" - "&amp;Database!B30)</f>
        <v/>
      </c>
      <c r="C30" s="16" t="str">
        <f aca="false">IF(A30="","","Level "&amp;Database!D30)</f>
        <v/>
      </c>
      <c r="D30" s="16" t="str">
        <f aca="false">IF(A30="","",IF(Database!E30="","Never",TEXT(Database!E30,"DD/MM/YY")))</f>
        <v/>
      </c>
      <c r="E30" s="16" t="str">
        <f aca="true">IF(A30="","",IF(Database!G30="","START NOW!",IF(Database!G30&lt;TODAY(),"OVERDUE "&amp;ABS(Database!G30-TODAY())&amp;"d","Today")))</f>
        <v/>
      </c>
      <c r="H30" s="17" t="str">
        <f aca="false">IF(G30="✅ DONE",
        IF(F30="😊 Easy",MIN(Database!D30+2,7),
        IF(F30="👍 Good",MIN(Database!D30+1,7),
        IF(F30="😐 Hard",Database!D30,
        IF(F30="🔴 Again",MAX(Database!D30-1,0),
        "")))),
    "")</f>
        <v/>
      </c>
      <c r="I30" s="17" t="str">
        <f aca="true">IF(G30="✅ DONE",TEXT(TODAY(),"DD/MM/YY"),"")</f>
        <v/>
      </c>
    </row>
    <row r="31" customFormat="false" ht="15" hidden="false" customHeight="true" outlineLevel="0" collapsed="false">
      <c r="A31" s="14" t="str">
        <f aca="true">IF(AND(Database!A31&lt;&gt;"",OR(Database!G31&lt;=TODAY(),Database!E31="")),31,"")</f>
        <v/>
      </c>
      <c r="B31" s="15" t="str">
        <f aca="false">IF(A31="","",Database!A31&amp;" - "&amp;Database!B31)</f>
        <v/>
      </c>
      <c r="C31" s="16" t="str">
        <f aca="false">IF(A31="","","Level "&amp;Database!D31)</f>
        <v/>
      </c>
      <c r="D31" s="16" t="str">
        <f aca="false">IF(A31="","",IF(Database!E31="","Never",TEXT(Database!E31,"DD/MM/YY")))</f>
        <v/>
      </c>
      <c r="E31" s="16" t="str">
        <f aca="true">IF(A31="","",IF(Database!G31="","START NOW!",IF(Database!G31&lt;TODAY(),"OVERDUE "&amp;ABS(Database!G31-TODAY())&amp;"d","Today")))</f>
        <v/>
      </c>
      <c r="H31" s="17" t="str">
        <f aca="false">IF(G31="✅ DONE",
        IF(F31="😊 Easy",MIN(Database!D31+2,7),
        IF(F31="👍 Good",MIN(Database!D31+1,7),
        IF(F31="😐 Hard",Database!D31,
        IF(F31="🔴 Again",MAX(Database!D31-1,0),
        "")))),
    "")</f>
        <v/>
      </c>
      <c r="I31" s="17" t="str">
        <f aca="true">IF(G31="✅ DONE",TEXT(TODAY(),"DD/MM/YY"),"")</f>
        <v/>
      </c>
    </row>
    <row r="32" customFormat="false" ht="15" hidden="false" customHeight="true" outlineLevel="0" collapsed="false">
      <c r="A32" s="14" t="str">
        <f aca="true">IF(AND(Database!A32&lt;&gt;"",OR(Database!G32&lt;=TODAY(),Database!E32="")),32,"")</f>
        <v/>
      </c>
      <c r="B32" s="15" t="str">
        <f aca="false">IF(A32="","",Database!A32&amp;" - "&amp;Database!B32)</f>
        <v/>
      </c>
      <c r="C32" s="16" t="str">
        <f aca="false">IF(A32="","","Level "&amp;Database!D32)</f>
        <v/>
      </c>
      <c r="D32" s="16" t="str">
        <f aca="false">IF(A32="","",IF(Database!E32="","Never",TEXT(Database!E32,"DD/MM/YY")))</f>
        <v/>
      </c>
      <c r="E32" s="16" t="str">
        <f aca="true">IF(A32="","",IF(Database!G32="","START NOW!",IF(Database!G32&lt;TODAY(),"OVERDUE "&amp;ABS(Database!G32-TODAY())&amp;"d","Today")))</f>
        <v/>
      </c>
      <c r="H32" s="17" t="str">
        <f aca="false">IF(G32="✅ DONE",
        IF(F32="😊 Easy",MIN(Database!D32+2,7),
        IF(F32="👍 Good",MIN(Database!D32+1,7),
        IF(F32="😐 Hard",Database!D32,
        IF(F32="🔴 Again",MAX(Database!D32-1,0),
        "")))),
    "")</f>
        <v/>
      </c>
      <c r="I32" s="17" t="str">
        <f aca="true">IF(G32="✅ DONE",TEXT(TODAY(),"DD/MM/YY"),"")</f>
        <v/>
      </c>
    </row>
    <row r="33" customFormat="false" ht="15" hidden="false" customHeight="true" outlineLevel="0" collapsed="false">
      <c r="A33" s="14" t="str">
        <f aca="true">IF(AND(Database!A33&lt;&gt;"",OR(Database!G33&lt;=TODAY(),Database!E33="")),33,"")</f>
        <v/>
      </c>
      <c r="B33" s="15" t="str">
        <f aca="false">IF(A33="","",Database!A33&amp;" - "&amp;Database!B33)</f>
        <v/>
      </c>
      <c r="C33" s="16" t="str">
        <f aca="false">IF(A33="","","Level "&amp;Database!D33)</f>
        <v/>
      </c>
      <c r="D33" s="16" t="str">
        <f aca="false">IF(A33="","",IF(Database!E33="","Never",TEXT(Database!E33,"DD/MM/YY")))</f>
        <v/>
      </c>
      <c r="E33" s="16" t="str">
        <f aca="true">IF(A33="","",IF(Database!G33="","START NOW!",IF(Database!G33&lt;TODAY(),"OVERDUE "&amp;ABS(Database!G33-TODAY())&amp;"d","Today")))</f>
        <v/>
      </c>
      <c r="H33" s="17" t="str">
        <f aca="false">IF(G33="✅ DONE",
        IF(F33="😊 Easy",MIN(Database!D33+2,7),
        IF(F33="👍 Good",MIN(Database!D33+1,7),
        IF(F33="😐 Hard",Database!D33,
        IF(F33="🔴 Again",MAX(Database!D33-1,0),
        "")))),
    "")</f>
        <v/>
      </c>
      <c r="I33" s="17" t="str">
        <f aca="true">IF(G33="✅ DONE",TEXT(TODAY(),"DD/MM/YY"),"")</f>
        <v/>
      </c>
    </row>
    <row r="34" customFormat="false" ht="15" hidden="false" customHeight="true" outlineLevel="0" collapsed="false">
      <c r="A34" s="14" t="str">
        <f aca="true">IF(AND(Database!A34&lt;&gt;"",OR(Database!G34&lt;=TODAY(),Database!E34="")),34,"")</f>
        <v/>
      </c>
      <c r="B34" s="15" t="str">
        <f aca="false">IF(A34="","",Database!A34&amp;" - "&amp;Database!B34)</f>
        <v/>
      </c>
      <c r="C34" s="16" t="str">
        <f aca="false">IF(A34="","","Level "&amp;Database!D34)</f>
        <v/>
      </c>
      <c r="D34" s="16" t="str">
        <f aca="false">IF(A34="","",IF(Database!E34="","Never",TEXT(Database!E34,"DD/MM/YY")))</f>
        <v/>
      </c>
      <c r="E34" s="16" t="str">
        <f aca="true">IF(A34="","",IF(Database!G34="","START NOW!",IF(Database!G34&lt;TODAY(),"OVERDUE "&amp;ABS(Database!G34-TODAY())&amp;"d","Today")))</f>
        <v/>
      </c>
      <c r="H34" s="17" t="str">
        <f aca="false">IF(G34="✅ DONE",
        IF(F34="😊 Easy",MIN(Database!D34+2,7),
        IF(F34="👍 Good",MIN(Database!D34+1,7),
        IF(F34="😐 Hard",Database!D34,
        IF(F34="🔴 Again",MAX(Database!D34-1,0),
        "")))),
    "")</f>
        <v/>
      </c>
      <c r="I34" s="17" t="str">
        <f aca="true">IF(G34="✅ DONE",TEXT(TODAY(),"DD/MM/YY"),"")</f>
        <v/>
      </c>
    </row>
    <row r="35" customFormat="false" ht="15" hidden="false" customHeight="true" outlineLevel="0" collapsed="false">
      <c r="A35" s="14" t="str">
        <f aca="true">IF(AND(Database!A35&lt;&gt;"",OR(Database!G35&lt;=TODAY(),Database!E35="")),35,"")</f>
        <v/>
      </c>
      <c r="B35" s="15" t="str">
        <f aca="false">IF(A35="","",Database!A35&amp;" - "&amp;Database!B35)</f>
        <v/>
      </c>
      <c r="C35" s="16" t="str">
        <f aca="false">IF(A35="","","Level "&amp;Database!D35)</f>
        <v/>
      </c>
      <c r="D35" s="16" t="str">
        <f aca="false">IF(A35="","",IF(Database!E35="","Never",TEXT(Database!E35,"DD/MM/YY")))</f>
        <v/>
      </c>
      <c r="E35" s="16" t="str">
        <f aca="true">IF(A35="","",IF(Database!G35="","START NOW!",IF(Database!G35&lt;TODAY(),"OVERDUE "&amp;ABS(Database!G35-TODAY())&amp;"d","Today")))</f>
        <v/>
      </c>
      <c r="H35" s="17" t="str">
        <f aca="false">IF(G35="✅ DONE",
        IF(F35="😊 Easy",MIN(Database!D35+2,7),
        IF(F35="👍 Good",MIN(Database!D35+1,7),
        IF(F35="😐 Hard",Database!D35,
        IF(F35="🔴 Again",MAX(Database!D35-1,0),
        "")))),
    "")</f>
        <v/>
      </c>
      <c r="I35" s="17" t="str">
        <f aca="true">IF(G35="✅ DONE",TEXT(TODAY(),"DD/MM/YY"),"")</f>
        <v/>
      </c>
    </row>
    <row r="36" customFormat="false" ht="15" hidden="false" customHeight="true" outlineLevel="0" collapsed="false">
      <c r="A36" s="14" t="str">
        <f aca="true">IF(AND(Database!A36&lt;&gt;"",OR(Database!G36&lt;=TODAY(),Database!E36="")),36,"")</f>
        <v/>
      </c>
      <c r="B36" s="15" t="str">
        <f aca="false">IF(A36="","",Database!A36&amp;" - "&amp;Database!B36)</f>
        <v/>
      </c>
      <c r="C36" s="16" t="str">
        <f aca="false">IF(A36="","","Level "&amp;Database!D36)</f>
        <v/>
      </c>
      <c r="D36" s="16" t="str">
        <f aca="false">IF(A36="","",IF(Database!E36="","Never",TEXT(Database!E36,"DD/MM/YY")))</f>
        <v/>
      </c>
      <c r="E36" s="16" t="str">
        <f aca="true">IF(A36="","",IF(Database!G36="","START NOW!",IF(Database!G36&lt;TODAY(),"OVERDUE "&amp;ABS(Database!G36-TODAY())&amp;"d","Today")))</f>
        <v/>
      </c>
      <c r="H36" s="17" t="str">
        <f aca="false">IF(G36="✅ DONE",
        IF(F36="😊 Easy",MIN(Database!D36+2,7),
        IF(F36="👍 Good",MIN(Database!D36+1,7),
        IF(F36="😐 Hard",Database!D36,
        IF(F36="🔴 Again",MAX(Database!D36-1,0),
        "")))),
    "")</f>
        <v/>
      </c>
      <c r="I36" s="17" t="str">
        <f aca="true">IF(G36="✅ DONE",TEXT(TODAY(),"DD/MM/YY"),"")</f>
        <v/>
      </c>
    </row>
    <row r="37" customFormat="false" ht="15" hidden="false" customHeight="true" outlineLevel="0" collapsed="false">
      <c r="A37" s="14" t="str">
        <f aca="true">IF(AND(Database!A37&lt;&gt;"",OR(Database!G37&lt;=TODAY(),Database!E37="")),37,"")</f>
        <v/>
      </c>
      <c r="B37" s="15" t="str">
        <f aca="false">IF(A37="","",Database!A37&amp;" - "&amp;Database!B37)</f>
        <v/>
      </c>
      <c r="C37" s="16" t="str">
        <f aca="false">IF(A37="","","Level "&amp;Database!D37)</f>
        <v/>
      </c>
      <c r="D37" s="16" t="str">
        <f aca="false">IF(A37="","",IF(Database!E37="","Never",TEXT(Database!E37,"DD/MM/YY")))</f>
        <v/>
      </c>
      <c r="E37" s="16" t="str">
        <f aca="true">IF(A37="","",IF(Database!G37="","START NOW!",IF(Database!G37&lt;TODAY(),"OVERDUE "&amp;ABS(Database!G37-TODAY())&amp;"d","Today")))</f>
        <v/>
      </c>
      <c r="H37" s="17" t="str">
        <f aca="false">IF(G37="✅ DONE",
        IF(F37="😊 Easy",MIN(Database!D37+2,7),
        IF(F37="👍 Good",MIN(Database!D37+1,7),
        IF(F37="😐 Hard",Database!D37,
        IF(F37="🔴 Again",MAX(Database!D37-1,0),
        "")))),
    "")</f>
        <v/>
      </c>
      <c r="I37" s="17" t="str">
        <f aca="true">IF(G37="✅ DONE",TEXT(TODAY(),"DD/MM/YY"),"")</f>
        <v/>
      </c>
    </row>
    <row r="38" customFormat="false" ht="15" hidden="false" customHeight="true" outlineLevel="0" collapsed="false">
      <c r="A38" s="14" t="str">
        <f aca="true">IF(AND(Database!A38&lt;&gt;"",OR(Database!G38&lt;=TODAY(),Database!E38="")),38,"")</f>
        <v/>
      </c>
      <c r="B38" s="15" t="str">
        <f aca="false">IF(A38="","",Database!A38&amp;" - "&amp;Database!B38)</f>
        <v/>
      </c>
      <c r="C38" s="16" t="str">
        <f aca="false">IF(A38="","","Level "&amp;Database!D38)</f>
        <v/>
      </c>
      <c r="D38" s="16" t="str">
        <f aca="false">IF(A38="","",IF(Database!E38="","Never",TEXT(Database!E38,"DD/MM/YY")))</f>
        <v/>
      </c>
      <c r="E38" s="16" t="str">
        <f aca="true">IF(A38="","",IF(Database!G38="","START NOW!",IF(Database!G38&lt;TODAY(),"OVERDUE "&amp;ABS(Database!G38-TODAY())&amp;"d","Today")))</f>
        <v/>
      </c>
      <c r="H38" s="17" t="str">
        <f aca="false">IF(G38="✅ DONE",
        IF(F38="😊 Easy",MIN(Database!D38+2,7),
        IF(F38="👍 Good",MIN(Database!D38+1,7),
        IF(F38="😐 Hard",Database!D38,
        IF(F38="🔴 Again",MAX(Database!D38-1,0),
        "")))),
    "")</f>
        <v/>
      </c>
      <c r="I38" s="17" t="str">
        <f aca="true">IF(G38="✅ DONE",TEXT(TODAY(),"DD/MM/YY"),"")</f>
        <v/>
      </c>
    </row>
    <row r="39" customFormat="false" ht="15" hidden="false" customHeight="true" outlineLevel="0" collapsed="false">
      <c r="A39" s="14" t="str">
        <f aca="true">IF(AND(Database!A39&lt;&gt;"",OR(Database!G39&lt;=TODAY(),Database!E39="")),39,"")</f>
        <v/>
      </c>
      <c r="B39" s="15" t="str">
        <f aca="false">IF(A39="","",Database!A39&amp;" - "&amp;Database!B39)</f>
        <v/>
      </c>
      <c r="C39" s="16" t="str">
        <f aca="false">IF(A39="","","Level "&amp;Database!D39)</f>
        <v/>
      </c>
      <c r="D39" s="16" t="str">
        <f aca="false">IF(A39="","",IF(Database!E39="","Never",TEXT(Database!E39,"DD/MM/YY")))</f>
        <v/>
      </c>
      <c r="E39" s="16" t="str">
        <f aca="true">IF(A39="","",IF(Database!G39="","START NOW!",IF(Database!G39&lt;TODAY(),"OVERDUE "&amp;ABS(Database!G39-TODAY())&amp;"d","Today")))</f>
        <v/>
      </c>
      <c r="H39" s="17" t="str">
        <f aca="false">IF(G39="✅ DONE",
        IF(F39="😊 Easy",MIN(Database!D39+2,7),
        IF(F39="👍 Good",MIN(Database!D39+1,7),
        IF(F39="😐 Hard",Database!D39,
        IF(F39="🔴 Again",MAX(Database!D39-1,0),
        "")))),
    "")</f>
        <v/>
      </c>
      <c r="I39" s="17" t="str">
        <f aca="true">IF(G39="✅ DONE",TEXT(TODAY(),"DD/MM/YY"),"")</f>
        <v/>
      </c>
    </row>
    <row r="40" customFormat="false" ht="15" hidden="false" customHeight="true" outlineLevel="0" collapsed="false">
      <c r="A40" s="14" t="str">
        <f aca="true">IF(AND(Database!A40&lt;&gt;"",OR(Database!G40&lt;=TODAY(),Database!E40="")),40,"")</f>
        <v/>
      </c>
      <c r="B40" s="15" t="str">
        <f aca="false">IF(A40="","",Database!A40&amp;" - "&amp;Database!B40)</f>
        <v/>
      </c>
      <c r="C40" s="16" t="str">
        <f aca="false">IF(A40="","","Level "&amp;Database!D40)</f>
        <v/>
      </c>
      <c r="D40" s="16" t="str">
        <f aca="false">IF(A40="","",IF(Database!E40="","Never",TEXT(Database!E40,"DD/MM/YY")))</f>
        <v/>
      </c>
      <c r="E40" s="16" t="str">
        <f aca="true">IF(A40="","",IF(Database!G40="","START NOW!",IF(Database!G40&lt;TODAY(),"OVERDUE "&amp;ABS(Database!G40-TODAY())&amp;"d","Today")))</f>
        <v/>
      </c>
      <c r="H40" s="17" t="str">
        <f aca="false">IF(G40="✅ DONE",
        IF(F40="😊 Easy",MIN(Database!D40+2,7),
        IF(F40="👍 Good",MIN(Database!D40+1,7),
        IF(F40="😐 Hard",Database!D40,
        IF(F40="🔴 Again",MAX(Database!D40-1,0),
        "")))),
    "")</f>
        <v/>
      </c>
      <c r="I40" s="17" t="str">
        <f aca="true">IF(G40="✅ DONE",TEXT(TODAY(),"DD/MM/YY"),"")</f>
        <v/>
      </c>
    </row>
    <row r="41" customFormat="false" ht="15" hidden="false" customHeight="true" outlineLevel="0" collapsed="false">
      <c r="A41" s="14" t="str">
        <f aca="true">IF(AND(Database!A41&lt;&gt;"",OR(Database!G41&lt;=TODAY(),Database!E41="")),41,"")</f>
        <v/>
      </c>
      <c r="B41" s="15" t="str">
        <f aca="false">IF(A41="","",Database!A41&amp;" - "&amp;Database!B41)</f>
        <v/>
      </c>
      <c r="C41" s="16" t="str">
        <f aca="false">IF(A41="","","Level "&amp;Database!D41)</f>
        <v/>
      </c>
      <c r="D41" s="16" t="str">
        <f aca="false">IF(A41="","",IF(Database!E41="","Never",TEXT(Database!E41,"DD/MM/YY")))</f>
        <v/>
      </c>
      <c r="E41" s="16" t="str">
        <f aca="true">IF(A41="","",IF(Database!G41="","START NOW!",IF(Database!G41&lt;TODAY(),"OVERDUE "&amp;ABS(Database!G41-TODAY())&amp;"d","Today")))</f>
        <v/>
      </c>
      <c r="H41" s="17" t="str">
        <f aca="false">IF(G41="✅ DONE",
        IF(F41="😊 Easy",MIN(Database!D41+2,7),
        IF(F41="👍 Good",MIN(Database!D41+1,7),
        IF(F41="😐 Hard",Database!D41,
        IF(F41="🔴 Again",MAX(Database!D41-1,0),
        "")))),
    "")</f>
        <v/>
      </c>
      <c r="I41" s="17" t="str">
        <f aca="true">IF(G41="✅ DONE",TEXT(TODAY(),"DD/MM/YY"),"")</f>
        <v/>
      </c>
    </row>
    <row r="42" customFormat="false" ht="15" hidden="false" customHeight="true" outlineLevel="0" collapsed="false">
      <c r="A42" s="14" t="str">
        <f aca="true">IF(AND(Database!A42&lt;&gt;"",OR(Database!G42&lt;=TODAY(),Database!E42="")),42,"")</f>
        <v/>
      </c>
      <c r="B42" s="15" t="str">
        <f aca="false">IF(A42="","",Database!A42&amp;" - "&amp;Database!B42)</f>
        <v/>
      </c>
      <c r="C42" s="16" t="str">
        <f aca="false">IF(A42="","","Level "&amp;Database!D42)</f>
        <v/>
      </c>
      <c r="D42" s="16" t="str">
        <f aca="false">IF(A42="","",IF(Database!E42="","Never",TEXT(Database!E42,"DD/MM/YY")))</f>
        <v/>
      </c>
      <c r="E42" s="16" t="str">
        <f aca="true">IF(A42="","",IF(Database!G42="","START NOW!",IF(Database!G42&lt;TODAY(),"OVERDUE "&amp;ABS(Database!G42-TODAY())&amp;"d","Today")))</f>
        <v/>
      </c>
      <c r="H42" s="17" t="str">
        <f aca="false">IF(G42="✅ DONE",
        IF(F42="😊 Easy",MIN(Database!D42+2,7),
        IF(F42="👍 Good",MIN(Database!D42+1,7),
        IF(F42="😐 Hard",Database!D42,
        IF(F42="🔴 Again",MAX(Database!D42-1,0),
        "")))),
    "")</f>
        <v/>
      </c>
      <c r="I42" s="17" t="str">
        <f aca="true">IF(G42="✅ DONE",TEXT(TODAY(),"DD/MM/YY"),"")</f>
        <v/>
      </c>
    </row>
    <row r="43" customFormat="false" ht="15" hidden="false" customHeight="true" outlineLevel="0" collapsed="false">
      <c r="A43" s="14" t="str">
        <f aca="true">IF(AND(Database!A43&lt;&gt;"",OR(Database!G43&lt;=TODAY(),Database!E43="")),43,"")</f>
        <v/>
      </c>
      <c r="B43" s="15" t="str">
        <f aca="false">IF(A43="","",Database!A43&amp;" - "&amp;Database!B43)</f>
        <v/>
      </c>
      <c r="C43" s="16" t="str">
        <f aca="false">IF(A43="","","Level "&amp;Database!D43)</f>
        <v/>
      </c>
      <c r="D43" s="16" t="str">
        <f aca="false">IF(A43="","",IF(Database!E43="","Never",TEXT(Database!E43,"DD/MM/YY")))</f>
        <v/>
      </c>
      <c r="E43" s="16" t="str">
        <f aca="true">IF(A43="","",IF(Database!G43="","START NOW!",IF(Database!G43&lt;TODAY(),"OVERDUE "&amp;ABS(Database!G43-TODAY())&amp;"d","Today")))</f>
        <v/>
      </c>
      <c r="H43" s="17" t="str">
        <f aca="false">IF(G43="✅ DONE",
        IF(F43="😊 Easy",MIN(Database!D43+2,7),
        IF(F43="👍 Good",MIN(Database!D43+1,7),
        IF(F43="😐 Hard",Database!D43,
        IF(F43="🔴 Again",MAX(Database!D43-1,0),
        "")))),
    "")</f>
        <v/>
      </c>
      <c r="I43" s="17" t="str">
        <f aca="true">IF(G43="✅ DONE",TEXT(TODAY(),"DD/MM/YY"),"")</f>
        <v/>
      </c>
    </row>
    <row r="44" customFormat="false" ht="15" hidden="false" customHeight="true" outlineLevel="0" collapsed="false">
      <c r="A44" s="14" t="str">
        <f aca="true">IF(AND(Database!A44&lt;&gt;"",OR(Database!G44&lt;=TODAY(),Database!E44="")),44,"")</f>
        <v/>
      </c>
      <c r="B44" s="15" t="str">
        <f aca="false">IF(A44="","",Database!A44&amp;" - "&amp;Database!B44)</f>
        <v/>
      </c>
      <c r="C44" s="16" t="str">
        <f aca="false">IF(A44="","","Level "&amp;Database!D44)</f>
        <v/>
      </c>
      <c r="D44" s="16" t="str">
        <f aca="false">IF(A44="","",IF(Database!E44="","Never",TEXT(Database!E44,"DD/MM/YY")))</f>
        <v/>
      </c>
      <c r="E44" s="16" t="str">
        <f aca="true">IF(A44="","",IF(Database!G44="","START NOW!",IF(Database!G44&lt;TODAY(),"OVERDUE "&amp;ABS(Database!G44-TODAY())&amp;"d","Today")))</f>
        <v/>
      </c>
      <c r="H44" s="17" t="str">
        <f aca="false">IF(G44="✅ DONE",
        IF(F44="😊 Easy",MIN(Database!D44+2,7),
        IF(F44="👍 Good",MIN(Database!D44+1,7),
        IF(F44="😐 Hard",Database!D44,
        IF(F44="🔴 Again",MAX(Database!D44-1,0),
        "")))),
    "")</f>
        <v/>
      </c>
      <c r="I44" s="17" t="str">
        <f aca="true">IF(G44="✅ DONE",TEXT(TODAY(),"DD/MM/YY"),"")</f>
        <v/>
      </c>
    </row>
    <row r="45" customFormat="false" ht="15" hidden="false" customHeight="true" outlineLevel="0" collapsed="false">
      <c r="A45" s="14" t="str">
        <f aca="true">IF(AND(Database!A45&lt;&gt;"",OR(Database!G45&lt;=TODAY(),Database!E45="")),45,"")</f>
        <v/>
      </c>
      <c r="B45" s="15" t="str">
        <f aca="false">IF(A45="","",Database!A45&amp;" - "&amp;Database!B45)</f>
        <v/>
      </c>
      <c r="C45" s="16" t="str">
        <f aca="false">IF(A45="","","Level "&amp;Database!D45)</f>
        <v/>
      </c>
      <c r="D45" s="16" t="str">
        <f aca="false">IF(A45="","",IF(Database!E45="","Never",TEXT(Database!E45,"DD/MM/YY")))</f>
        <v/>
      </c>
      <c r="E45" s="16" t="str">
        <f aca="true">IF(A45="","",IF(Database!G45="","START NOW!",IF(Database!G45&lt;TODAY(),"OVERDUE "&amp;ABS(Database!G45-TODAY())&amp;"d","Today")))</f>
        <v/>
      </c>
      <c r="H45" s="17" t="str">
        <f aca="false">IF(G45="✅ DONE",
        IF(F45="😊 Easy",MIN(Database!D45+2,7),
        IF(F45="👍 Good",MIN(Database!D45+1,7),
        IF(F45="😐 Hard",Database!D45,
        IF(F45="🔴 Again",MAX(Database!D45-1,0),
        "")))),
    "")</f>
        <v/>
      </c>
      <c r="I45" s="17" t="str">
        <f aca="true">IF(G45="✅ DONE",TEXT(TODAY(),"DD/MM/YY"),"")</f>
        <v/>
      </c>
    </row>
    <row r="46" customFormat="false" ht="15" hidden="false" customHeight="true" outlineLevel="0" collapsed="false">
      <c r="A46" s="14" t="str">
        <f aca="true">IF(AND(Database!A46&lt;&gt;"",OR(Database!G46&lt;=TODAY(),Database!E46="")),46,"")</f>
        <v/>
      </c>
      <c r="B46" s="15" t="str">
        <f aca="false">IF(A46="","",Database!A46&amp;" - "&amp;Database!B46)</f>
        <v/>
      </c>
      <c r="C46" s="16" t="str">
        <f aca="false">IF(A46="","","Level "&amp;Database!D46)</f>
        <v/>
      </c>
      <c r="D46" s="16" t="str">
        <f aca="false">IF(A46="","",IF(Database!E46="","Never",TEXT(Database!E46,"DD/MM/YY")))</f>
        <v/>
      </c>
      <c r="E46" s="16" t="str">
        <f aca="true">IF(A46="","",IF(Database!G46="","START NOW!",IF(Database!G46&lt;TODAY(),"OVERDUE "&amp;ABS(Database!G46-TODAY())&amp;"d","Today")))</f>
        <v/>
      </c>
      <c r="H46" s="17" t="str">
        <f aca="false">IF(G46="✅ DONE",
        IF(F46="😊 Easy",MIN(Database!D46+2,7),
        IF(F46="👍 Good",MIN(Database!D46+1,7),
        IF(F46="😐 Hard",Database!D46,
        IF(F46="🔴 Again",MAX(Database!D46-1,0),
        "")))),
    "")</f>
        <v/>
      </c>
      <c r="I46" s="17" t="str">
        <f aca="true">IF(G46="✅ DONE",TEXT(TODAY(),"DD/MM/YY"),"")</f>
        <v/>
      </c>
    </row>
    <row r="47" customFormat="false" ht="15" hidden="false" customHeight="true" outlineLevel="0" collapsed="false">
      <c r="A47" s="14" t="str">
        <f aca="true">IF(AND(Database!A47&lt;&gt;"",OR(Database!G47&lt;=TODAY(),Database!E47="")),47,"")</f>
        <v/>
      </c>
      <c r="B47" s="15" t="str">
        <f aca="false">IF(A47="","",Database!A47&amp;" - "&amp;Database!B47)</f>
        <v/>
      </c>
      <c r="C47" s="16" t="str">
        <f aca="false">IF(A47="","","Level "&amp;Database!D47)</f>
        <v/>
      </c>
      <c r="D47" s="16" t="str">
        <f aca="false">IF(A47="","",IF(Database!E47="","Never",TEXT(Database!E47,"DD/MM/YY")))</f>
        <v/>
      </c>
      <c r="E47" s="16" t="str">
        <f aca="true">IF(A47="","",IF(Database!G47="","START NOW!",IF(Database!G47&lt;TODAY(),"OVERDUE "&amp;ABS(Database!G47-TODAY())&amp;"d","Today")))</f>
        <v/>
      </c>
      <c r="H47" s="17" t="str">
        <f aca="false">IF(G47="✅ DONE",
        IF(F47="😊 Easy",MIN(Database!D47+2,7),
        IF(F47="👍 Good",MIN(Database!D47+1,7),
        IF(F47="😐 Hard",Database!D47,
        IF(F47="🔴 Again",MAX(Database!D47-1,0),
        "")))),
    "")</f>
        <v/>
      </c>
      <c r="I47" s="17" t="str">
        <f aca="true">IF(G47="✅ DONE",TEXT(TODAY(),"DD/MM/YY"),"")</f>
        <v/>
      </c>
    </row>
    <row r="48" customFormat="false" ht="15" hidden="false" customHeight="true" outlineLevel="0" collapsed="false">
      <c r="A48" s="14" t="str">
        <f aca="true">IF(AND(Database!A48&lt;&gt;"",OR(Database!G48&lt;=TODAY(),Database!E48="")),48,"")</f>
        <v/>
      </c>
      <c r="B48" s="15" t="str">
        <f aca="false">IF(A48="","",Database!A48&amp;" - "&amp;Database!B48)</f>
        <v/>
      </c>
      <c r="C48" s="16" t="str">
        <f aca="false">IF(A48="","","Level "&amp;Database!D48)</f>
        <v/>
      </c>
      <c r="D48" s="16" t="str">
        <f aca="false">IF(A48="","",IF(Database!E48="","Never",TEXT(Database!E48,"DD/MM/YY")))</f>
        <v/>
      </c>
      <c r="E48" s="16" t="str">
        <f aca="true">IF(A48="","",IF(Database!G48="","START NOW!",IF(Database!G48&lt;TODAY(),"OVERDUE "&amp;ABS(Database!G48-TODAY())&amp;"d","Today")))</f>
        <v/>
      </c>
      <c r="H48" s="17" t="str">
        <f aca="false">IF(G48="✅ DONE",
        IF(F48="😊 Easy",MIN(Database!D48+2,7),
        IF(F48="👍 Good",MIN(Database!D48+1,7),
        IF(F48="😐 Hard",Database!D48,
        IF(F48="🔴 Again",MAX(Database!D48-1,0),
        "")))),
    "")</f>
        <v/>
      </c>
      <c r="I48" s="17" t="str">
        <f aca="true">IF(G48="✅ DONE",TEXT(TODAY(),"DD/MM/YY"),"")</f>
        <v/>
      </c>
    </row>
    <row r="49" customFormat="false" ht="15" hidden="false" customHeight="true" outlineLevel="0" collapsed="false">
      <c r="A49" s="14" t="str">
        <f aca="true">IF(AND(Database!A49&lt;&gt;"",OR(Database!G49&lt;=TODAY(),Database!E49="")),49,"")</f>
        <v/>
      </c>
      <c r="B49" s="15" t="str">
        <f aca="false">IF(A49="","",Database!A49&amp;" - "&amp;Database!B49)</f>
        <v/>
      </c>
      <c r="C49" s="16" t="str">
        <f aca="false">IF(A49="","","Level "&amp;Database!D49)</f>
        <v/>
      </c>
      <c r="D49" s="16" t="str">
        <f aca="false">IF(A49="","",IF(Database!E49="","Never",TEXT(Database!E49,"DD/MM/YY")))</f>
        <v/>
      </c>
      <c r="E49" s="16" t="str">
        <f aca="true">IF(A49="","",IF(Database!G49="","START NOW!",IF(Database!G49&lt;TODAY(),"OVERDUE "&amp;ABS(Database!G49-TODAY())&amp;"d","Today")))</f>
        <v/>
      </c>
      <c r="H49" s="17" t="str">
        <f aca="false">IF(G49="✅ DONE",
        IF(F49="😊 Easy",MIN(Database!D49+2,7),
        IF(F49="👍 Good",MIN(Database!D49+1,7),
        IF(F49="😐 Hard",Database!D49,
        IF(F49="🔴 Again",MAX(Database!D49-1,0),
        "")))),
    "")</f>
        <v/>
      </c>
      <c r="I49" s="17" t="str">
        <f aca="true">IF(G49="✅ DONE",TEXT(TODAY(),"DD/MM/YY"),"")</f>
        <v/>
      </c>
    </row>
    <row r="50" customFormat="false" ht="15" hidden="false" customHeight="true" outlineLevel="0" collapsed="false">
      <c r="A50" s="14" t="str">
        <f aca="true">IF(AND(Database!A50&lt;&gt;"",OR(Database!G50&lt;=TODAY(),Database!E50="")),50,"")</f>
        <v/>
      </c>
      <c r="B50" s="15" t="str">
        <f aca="false">IF(A50="","",Database!A50&amp;" - "&amp;Database!B50)</f>
        <v/>
      </c>
      <c r="C50" s="16" t="str">
        <f aca="false">IF(A50="","","Level "&amp;Database!D50)</f>
        <v/>
      </c>
      <c r="D50" s="16" t="str">
        <f aca="false">IF(A50="","",IF(Database!E50="","Never",TEXT(Database!E50,"DD/MM/YY")))</f>
        <v/>
      </c>
      <c r="E50" s="16" t="str">
        <f aca="true">IF(A50="","",IF(Database!G50="","START NOW!",IF(Database!G50&lt;TODAY(),"OVERDUE "&amp;ABS(Database!G50-TODAY())&amp;"d","Today")))</f>
        <v/>
      </c>
      <c r="H50" s="17" t="str">
        <f aca="false">IF(G50="✅ DONE",
        IF(F50="😊 Easy",MIN(Database!D50+2,7),
        IF(F50="👍 Good",MIN(Database!D50+1,7),
        IF(F50="😐 Hard",Database!D50,
        IF(F50="🔴 Again",MAX(Database!D50-1,0),
        "")))),
    "")</f>
        <v/>
      </c>
      <c r="I50" s="17" t="str">
        <f aca="true">IF(G50="✅ DONE",TEXT(TODAY(),"DD/MM/YY"),"")</f>
        <v/>
      </c>
    </row>
    <row r="51" customFormat="false" ht="15" hidden="false" customHeight="true" outlineLevel="0" collapsed="false">
      <c r="A51" s="14" t="str">
        <f aca="true">IF(AND(Database!A51&lt;&gt;"",OR(Database!G51&lt;=TODAY(),Database!E51="")),51,"")</f>
        <v/>
      </c>
      <c r="B51" s="15" t="str">
        <f aca="false">IF(A51="","",Database!A51&amp;" - "&amp;Database!B51)</f>
        <v/>
      </c>
      <c r="C51" s="16" t="str">
        <f aca="false">IF(A51="","","Level "&amp;Database!D51)</f>
        <v/>
      </c>
      <c r="D51" s="16" t="str">
        <f aca="false">IF(A51="","",IF(Database!E51="","Never",TEXT(Database!E51,"DD/MM/YY")))</f>
        <v/>
      </c>
      <c r="E51" s="16" t="str">
        <f aca="true">IF(A51="","",IF(Database!G51="","START NOW!",IF(Database!G51&lt;TODAY(),"OVERDUE "&amp;ABS(Database!G51-TODAY())&amp;"d","Today")))</f>
        <v/>
      </c>
      <c r="H51" s="17" t="str">
        <f aca="false">IF(G51="✅ DONE",
        IF(F51="😊 Easy",MIN(Database!D51+2,7),
        IF(F51="👍 Good",MIN(Database!D51+1,7),
        IF(F51="😐 Hard",Database!D51,
        IF(F51="🔴 Again",MAX(Database!D51-1,0),
        "")))),
    "")</f>
        <v/>
      </c>
      <c r="I51" s="17" t="str">
        <f aca="true">IF(G51="✅ DONE",TEXT(TODAY(),"DD/MM/YY"),"")</f>
        <v/>
      </c>
    </row>
    <row r="52" customFormat="false" ht="15" hidden="false" customHeight="true" outlineLevel="0" collapsed="false">
      <c r="A52" s="14" t="str">
        <f aca="true">IF(AND(Database!A52&lt;&gt;"",OR(Database!G52&lt;=TODAY(),Database!E52="")),52,"")</f>
        <v/>
      </c>
      <c r="B52" s="15" t="str">
        <f aca="false">IF(A52="","",Database!A52&amp;" - "&amp;Database!B52)</f>
        <v/>
      </c>
      <c r="C52" s="16" t="str">
        <f aca="false">IF(A52="","","Level "&amp;Database!D52)</f>
        <v/>
      </c>
      <c r="D52" s="16" t="str">
        <f aca="false">IF(A52="","",IF(Database!E52="","Never",TEXT(Database!E52,"DD/MM/YY")))</f>
        <v/>
      </c>
      <c r="E52" s="16" t="str">
        <f aca="true">IF(A52="","",IF(Database!G52="","START NOW!",IF(Database!G52&lt;TODAY(),"OVERDUE "&amp;ABS(Database!G52-TODAY())&amp;"d","Today")))</f>
        <v/>
      </c>
      <c r="H52" s="17" t="str">
        <f aca="false">IF(G52="✅ DONE",
        IF(F52="😊 Easy",MIN(Database!D52+2,7),
        IF(F52="👍 Good",MIN(Database!D52+1,7),
        IF(F52="😐 Hard",Database!D52,
        IF(F52="🔴 Again",MAX(Database!D52-1,0),
        "")))),
    "")</f>
        <v/>
      </c>
      <c r="I52" s="17" t="str">
        <f aca="true">IF(G52="✅ DONE",TEXT(TODAY(),"DD/MM/YY"),"")</f>
        <v/>
      </c>
    </row>
    <row r="53" customFormat="false" ht="15" hidden="false" customHeight="true" outlineLevel="0" collapsed="false">
      <c r="A53" s="14" t="str">
        <f aca="true">IF(AND(Database!A53&lt;&gt;"",OR(Database!G53&lt;=TODAY(),Database!E53="")),53,"")</f>
        <v/>
      </c>
      <c r="B53" s="15" t="str">
        <f aca="false">IF(A53="","",Database!A53&amp;" - "&amp;Database!B53)</f>
        <v/>
      </c>
      <c r="C53" s="16" t="str">
        <f aca="false">IF(A53="","","Level "&amp;Database!D53)</f>
        <v/>
      </c>
      <c r="D53" s="16" t="str">
        <f aca="false">IF(A53="","",IF(Database!E53="","Never",TEXT(Database!E53,"DD/MM/YY")))</f>
        <v/>
      </c>
      <c r="E53" s="16" t="str">
        <f aca="true">IF(A53="","",IF(Database!G53="","START NOW!",IF(Database!G53&lt;TODAY(),"OVERDUE "&amp;ABS(Database!G53-TODAY())&amp;"d","Today")))</f>
        <v/>
      </c>
      <c r="H53" s="17" t="str">
        <f aca="false">IF(G53="✅ DONE",
        IF(F53="😊 Easy",MIN(Database!D53+2,7),
        IF(F53="👍 Good",MIN(Database!D53+1,7),
        IF(F53="😐 Hard",Database!D53,
        IF(F53="🔴 Again",MAX(Database!D53-1,0),
        "")))),
    "")</f>
        <v/>
      </c>
      <c r="I53" s="17" t="str">
        <f aca="true">IF(G53="✅ DONE",TEXT(TODAY(),"DD/MM/YY"),"")</f>
        <v/>
      </c>
    </row>
    <row r="54" customFormat="false" ht="15" hidden="false" customHeight="true" outlineLevel="0" collapsed="false">
      <c r="A54" s="14" t="str">
        <f aca="true">IF(AND(Database!A54&lt;&gt;"",OR(Database!G54&lt;=TODAY(),Database!E54="")),54,"")</f>
        <v/>
      </c>
      <c r="B54" s="15" t="str">
        <f aca="false">IF(A54="","",Database!A54&amp;" - "&amp;Database!B54)</f>
        <v/>
      </c>
      <c r="C54" s="16" t="str">
        <f aca="false">IF(A54="","","Level "&amp;Database!D54)</f>
        <v/>
      </c>
      <c r="D54" s="16" t="str">
        <f aca="false">IF(A54="","",IF(Database!E54="","Never",TEXT(Database!E54,"DD/MM/YY")))</f>
        <v/>
      </c>
      <c r="E54" s="16" t="str">
        <f aca="true">IF(A54="","",IF(Database!G54="","START NOW!",IF(Database!G54&lt;TODAY(),"OVERDUE "&amp;ABS(Database!G54-TODAY())&amp;"d","Today")))</f>
        <v/>
      </c>
      <c r="H54" s="17" t="str">
        <f aca="false">IF(G54="✅ DONE",
        IF(F54="😊 Easy",MIN(Database!D54+2,7),
        IF(F54="👍 Good",MIN(Database!D54+1,7),
        IF(F54="😐 Hard",Database!D54,
        IF(F54="🔴 Again",MAX(Database!D54-1,0),
        "")))),
    "")</f>
        <v/>
      </c>
      <c r="I54" s="17" t="str">
        <f aca="true">IF(G54="✅ DONE",TEXT(TODAY(),"DD/MM/YY"),"")</f>
        <v/>
      </c>
    </row>
    <row r="55" customFormat="false" ht="15" hidden="false" customHeight="true" outlineLevel="0" collapsed="false">
      <c r="A55" s="14" t="str">
        <f aca="true">IF(AND(Database!A55&lt;&gt;"",OR(Database!G55&lt;=TODAY(),Database!E55="")),55,"")</f>
        <v/>
      </c>
      <c r="B55" s="15" t="str">
        <f aca="false">IF(A55="","",Database!A55&amp;" - "&amp;Database!B55)</f>
        <v/>
      </c>
      <c r="C55" s="16" t="str">
        <f aca="false">IF(A55="","","Level "&amp;Database!D55)</f>
        <v/>
      </c>
      <c r="D55" s="16" t="str">
        <f aca="false">IF(A55="","",IF(Database!E55="","Never",TEXT(Database!E55,"DD/MM/YY")))</f>
        <v/>
      </c>
      <c r="E55" s="16" t="str">
        <f aca="true">IF(A55="","",IF(Database!G55="","START NOW!",IF(Database!G55&lt;TODAY(),"OVERDUE "&amp;ABS(Database!G55-TODAY())&amp;"d","Today")))</f>
        <v/>
      </c>
      <c r="H55" s="17" t="str">
        <f aca="false">IF(G55="✅ DONE",
        IF(F55="😊 Easy",MIN(Database!D55+2,7),
        IF(F55="👍 Good",MIN(Database!D55+1,7),
        IF(F55="😐 Hard",Database!D55,
        IF(F55="🔴 Again",MAX(Database!D55-1,0),
        "")))),
    "")</f>
        <v/>
      </c>
      <c r="I55" s="17" t="str">
        <f aca="true">IF(G55="✅ DONE",TEXT(TODAY(),"DD/MM/YY"),"")</f>
        <v/>
      </c>
    </row>
    <row r="56" customFormat="false" ht="15" hidden="false" customHeight="true" outlineLevel="0" collapsed="false">
      <c r="A56" s="14" t="str">
        <f aca="true">IF(AND(Database!A56&lt;&gt;"",OR(Database!G56&lt;=TODAY(),Database!E56="")),56,"")</f>
        <v/>
      </c>
      <c r="B56" s="15" t="str">
        <f aca="false">IF(A56="","",Database!A56&amp;" - "&amp;Database!B56)</f>
        <v/>
      </c>
      <c r="C56" s="16" t="str">
        <f aca="false">IF(A56="","","Level "&amp;Database!D56)</f>
        <v/>
      </c>
      <c r="D56" s="16" t="str">
        <f aca="false">IF(A56="","",IF(Database!E56="","Never",TEXT(Database!E56,"DD/MM/YY")))</f>
        <v/>
      </c>
      <c r="E56" s="16" t="str">
        <f aca="true">IF(A56="","",IF(Database!G56="","START NOW!",IF(Database!G56&lt;TODAY(),"OVERDUE "&amp;ABS(Database!G56-TODAY())&amp;"d","Today")))</f>
        <v/>
      </c>
      <c r="H56" s="17" t="str">
        <f aca="false">IF(G56="✅ DONE",
        IF(F56="😊 Easy",MIN(Database!D56+2,7),
        IF(F56="👍 Good",MIN(Database!D56+1,7),
        IF(F56="😐 Hard",Database!D56,
        IF(F56="🔴 Again",MAX(Database!D56-1,0),
        "")))),
    "")</f>
        <v/>
      </c>
      <c r="I56" s="17" t="str">
        <f aca="true">IF(G56="✅ DONE",TEXT(TODAY(),"DD/MM/YY"),"")</f>
        <v/>
      </c>
    </row>
    <row r="57" customFormat="false" ht="15" hidden="false" customHeight="true" outlineLevel="0" collapsed="false">
      <c r="A57" s="14" t="str">
        <f aca="true">IF(AND(Database!A57&lt;&gt;"",OR(Database!G57&lt;=TODAY(),Database!E57="")),57,"")</f>
        <v/>
      </c>
      <c r="B57" s="15" t="str">
        <f aca="false">IF(A57="","",Database!A57&amp;" - "&amp;Database!B57)</f>
        <v/>
      </c>
      <c r="C57" s="16" t="str">
        <f aca="false">IF(A57="","","Level "&amp;Database!D57)</f>
        <v/>
      </c>
      <c r="D57" s="16" t="str">
        <f aca="false">IF(A57="","",IF(Database!E57="","Never",TEXT(Database!E57,"DD/MM/YY")))</f>
        <v/>
      </c>
      <c r="E57" s="16" t="str">
        <f aca="true">IF(A57="","",IF(Database!G57="","START NOW!",IF(Database!G57&lt;TODAY(),"OVERDUE "&amp;ABS(Database!G57-TODAY())&amp;"d","Today")))</f>
        <v/>
      </c>
      <c r="H57" s="17" t="str">
        <f aca="false">IF(G57="✅ DONE",
        IF(F57="😊 Easy",MIN(Database!D57+2,7),
        IF(F57="👍 Good",MIN(Database!D57+1,7),
        IF(F57="😐 Hard",Database!D57,
        IF(F57="🔴 Again",MAX(Database!D57-1,0),
        "")))),
    "")</f>
        <v/>
      </c>
      <c r="I57" s="17" t="str">
        <f aca="true">IF(G57="✅ DONE",TEXT(TODAY(),"DD/MM/YY"),"")</f>
        <v/>
      </c>
    </row>
    <row r="58" customFormat="false" ht="15" hidden="false" customHeight="true" outlineLevel="0" collapsed="false">
      <c r="A58" s="14" t="str">
        <f aca="true">IF(AND(Database!A58&lt;&gt;"",OR(Database!G58&lt;=TODAY(),Database!E58="")),58,"")</f>
        <v/>
      </c>
      <c r="B58" s="15" t="str">
        <f aca="false">IF(A58="","",Database!A58&amp;" - "&amp;Database!B58)</f>
        <v/>
      </c>
      <c r="C58" s="16" t="str">
        <f aca="false">IF(A58="","","Level "&amp;Database!D58)</f>
        <v/>
      </c>
      <c r="D58" s="16" t="str">
        <f aca="false">IF(A58="","",IF(Database!E58="","Never",TEXT(Database!E58,"DD/MM/YY")))</f>
        <v/>
      </c>
      <c r="E58" s="16" t="str">
        <f aca="true">IF(A58="","",IF(Database!G58="","START NOW!",IF(Database!G58&lt;TODAY(),"OVERDUE "&amp;ABS(Database!G58-TODAY())&amp;"d","Today")))</f>
        <v/>
      </c>
      <c r="H58" s="17" t="str">
        <f aca="false">IF(G58="✅ DONE",
        IF(F58="😊 Easy",MIN(Database!D58+2,7),
        IF(F58="👍 Good",MIN(Database!D58+1,7),
        IF(F58="😐 Hard",Database!D58,
        IF(F58="🔴 Again",MAX(Database!D58-1,0),
        "")))),
    "")</f>
        <v/>
      </c>
      <c r="I58" s="17" t="str">
        <f aca="true">IF(G58="✅ DONE",TEXT(TODAY(),"DD/MM/YY"),"")</f>
        <v/>
      </c>
    </row>
    <row r="59" customFormat="false" ht="15" hidden="false" customHeight="true" outlineLevel="0" collapsed="false">
      <c r="A59" s="14" t="str">
        <f aca="true">IF(AND(Database!A59&lt;&gt;"",OR(Database!G59&lt;=TODAY(),Database!E59="")),59,"")</f>
        <v/>
      </c>
      <c r="B59" s="15" t="str">
        <f aca="false">IF(A59="","",Database!A59&amp;" - "&amp;Database!B59)</f>
        <v/>
      </c>
      <c r="C59" s="16" t="str">
        <f aca="false">IF(A59="","","Level "&amp;Database!D59)</f>
        <v/>
      </c>
      <c r="D59" s="16" t="str">
        <f aca="false">IF(A59="","",IF(Database!E59="","Never",TEXT(Database!E59,"DD/MM/YY")))</f>
        <v/>
      </c>
      <c r="E59" s="16" t="str">
        <f aca="true">IF(A59="","",IF(Database!G59="","START NOW!",IF(Database!G59&lt;TODAY(),"OVERDUE "&amp;ABS(Database!G59-TODAY())&amp;"d","Today")))</f>
        <v/>
      </c>
      <c r="H59" s="17" t="str">
        <f aca="false">IF(G59="✅ DONE",
        IF(F59="😊 Easy",MIN(Database!D59+2,7),
        IF(F59="👍 Good",MIN(Database!D59+1,7),
        IF(F59="😐 Hard",Database!D59,
        IF(F59="🔴 Again",MAX(Database!D59-1,0),
        "")))),
    "")</f>
        <v/>
      </c>
      <c r="I59" s="17" t="str">
        <f aca="true">IF(G59="✅ DONE",TEXT(TODAY(),"DD/MM/YY"),"")</f>
        <v/>
      </c>
    </row>
    <row r="60" customFormat="false" ht="15" hidden="false" customHeight="true" outlineLevel="0" collapsed="false">
      <c r="A60" s="14" t="str">
        <f aca="true">IF(AND(Database!A60&lt;&gt;"",OR(Database!G60&lt;=TODAY(),Database!E60="")),60,"")</f>
        <v/>
      </c>
      <c r="B60" s="15" t="str">
        <f aca="false">IF(A60="","",Database!A60&amp;" - "&amp;Database!B60)</f>
        <v/>
      </c>
      <c r="C60" s="16" t="str">
        <f aca="false">IF(A60="","","Level "&amp;Database!D60)</f>
        <v/>
      </c>
      <c r="D60" s="16" t="str">
        <f aca="false">IF(A60="","",IF(Database!E60="","Never",TEXT(Database!E60,"DD/MM/YY")))</f>
        <v/>
      </c>
      <c r="E60" s="16" t="str">
        <f aca="true">IF(A60="","",IF(Database!G60="","START NOW!",IF(Database!G60&lt;TODAY(),"OVERDUE "&amp;ABS(Database!G60-TODAY())&amp;"d","Today")))</f>
        <v/>
      </c>
      <c r="H60" s="17" t="str">
        <f aca="false">IF(G60="✅ DONE",
        IF(F60="😊 Easy",MIN(Database!D60+2,7),
        IF(F60="👍 Good",MIN(Database!D60+1,7),
        IF(F60="😐 Hard",Database!D60,
        IF(F60="🔴 Again",MAX(Database!D60-1,0),
        "")))),
    "")</f>
        <v/>
      </c>
      <c r="I60" s="17" t="str">
        <f aca="true">IF(G60="✅ DONE",TEXT(TODAY(),"DD/MM/YY"),"")</f>
        <v/>
      </c>
    </row>
    <row r="61" customFormat="false" ht="15" hidden="false" customHeight="true" outlineLevel="0" collapsed="false">
      <c r="A61" s="14" t="str">
        <f aca="true">IF(AND(Database!A61&lt;&gt;"",OR(Database!G61&lt;=TODAY(),Database!E61="")),61,"")</f>
        <v/>
      </c>
      <c r="B61" s="15" t="str">
        <f aca="false">IF(A61="","",Database!A61&amp;" - "&amp;Database!B61)</f>
        <v/>
      </c>
      <c r="C61" s="16" t="str">
        <f aca="false">IF(A61="","","Level "&amp;Database!D61)</f>
        <v/>
      </c>
      <c r="D61" s="16" t="str">
        <f aca="false">IF(A61="","",IF(Database!E61="","Never",TEXT(Database!E61,"DD/MM/YY")))</f>
        <v/>
      </c>
      <c r="E61" s="16" t="str">
        <f aca="true">IF(A61="","",IF(Database!G61="","START NOW!",IF(Database!G61&lt;TODAY(),"OVERDUE "&amp;ABS(Database!G61-TODAY())&amp;"d","Today")))</f>
        <v/>
      </c>
      <c r="H61" s="17" t="str">
        <f aca="false">IF(G61="✅ DONE",
        IF(F61="😊 Easy",MIN(Database!D61+2,7),
        IF(F61="👍 Good",MIN(Database!D61+1,7),
        IF(F61="😐 Hard",Database!D61,
        IF(F61="🔴 Again",MAX(Database!D61-1,0),
        "")))),
    "")</f>
        <v/>
      </c>
      <c r="I61" s="17" t="str">
        <f aca="true">IF(G61="✅ DONE",TEXT(TODAY(),"DD/MM/YY"),"")</f>
        <v/>
      </c>
    </row>
    <row r="62" customFormat="false" ht="15" hidden="false" customHeight="true" outlineLevel="0" collapsed="false">
      <c r="A62" s="14" t="str">
        <f aca="true">IF(AND(Database!A62&lt;&gt;"",OR(Database!G62&lt;=TODAY(),Database!E62="")),62,"")</f>
        <v/>
      </c>
      <c r="B62" s="15" t="str">
        <f aca="false">IF(A62="","",Database!A62&amp;" - "&amp;Database!B62)</f>
        <v/>
      </c>
      <c r="C62" s="16" t="str">
        <f aca="false">IF(A62="","","Level "&amp;Database!D62)</f>
        <v/>
      </c>
      <c r="D62" s="16" t="str">
        <f aca="false">IF(A62="","",IF(Database!E62="","Never",TEXT(Database!E62,"DD/MM/YY")))</f>
        <v/>
      </c>
      <c r="E62" s="16" t="str">
        <f aca="true">IF(A62="","",IF(Database!G62="","START NOW!",IF(Database!G62&lt;TODAY(),"OVERDUE "&amp;ABS(Database!G62-TODAY())&amp;"d","Today")))</f>
        <v/>
      </c>
      <c r="H62" s="17" t="str">
        <f aca="false">IF(G62="✅ DONE",
        IF(F62="😊 Easy",MIN(Database!D62+2,7),
        IF(F62="👍 Good",MIN(Database!D62+1,7),
        IF(F62="😐 Hard",Database!D62,
        IF(F62="🔴 Again",MAX(Database!D62-1,0),
        "")))),
    "")</f>
        <v/>
      </c>
      <c r="I62" s="17" t="str">
        <f aca="true">IF(G62="✅ DONE",TEXT(TODAY(),"DD/MM/YY"),"")</f>
        <v/>
      </c>
    </row>
    <row r="63" customFormat="false" ht="15" hidden="false" customHeight="true" outlineLevel="0" collapsed="false">
      <c r="A63" s="14" t="str">
        <f aca="true">IF(AND(Database!A63&lt;&gt;"",OR(Database!G63&lt;=TODAY(),Database!E63="")),63,"")</f>
        <v/>
      </c>
      <c r="B63" s="15" t="str">
        <f aca="false">IF(A63="","",Database!A63&amp;" - "&amp;Database!B63)</f>
        <v/>
      </c>
      <c r="C63" s="16" t="str">
        <f aca="false">IF(A63="","","Level "&amp;Database!D63)</f>
        <v/>
      </c>
      <c r="D63" s="16" t="str">
        <f aca="false">IF(A63="","",IF(Database!E63="","Never",TEXT(Database!E63,"DD/MM/YY")))</f>
        <v/>
      </c>
      <c r="E63" s="16" t="str">
        <f aca="true">IF(A63="","",IF(Database!G63="","START NOW!",IF(Database!G63&lt;TODAY(),"OVERDUE "&amp;ABS(Database!G63-TODAY())&amp;"d","Today")))</f>
        <v/>
      </c>
      <c r="H63" s="17" t="str">
        <f aca="false">IF(G63="✅ DONE",
        IF(F63="😊 Easy",MIN(Database!D63+2,7),
        IF(F63="👍 Good",MIN(Database!D63+1,7),
        IF(F63="😐 Hard",Database!D63,
        IF(F63="🔴 Again",MAX(Database!D63-1,0),
        "")))),
    "")</f>
        <v/>
      </c>
      <c r="I63" s="17" t="str">
        <f aca="true">IF(G63="✅ DONE",TEXT(TODAY(),"DD/MM/YY"),"")</f>
        <v/>
      </c>
    </row>
    <row r="64" customFormat="false" ht="15" hidden="false" customHeight="true" outlineLevel="0" collapsed="false">
      <c r="A64" s="14" t="str">
        <f aca="true">IF(AND(Database!A64&lt;&gt;"",OR(Database!G64&lt;=TODAY(),Database!E64="")),64,"")</f>
        <v/>
      </c>
      <c r="B64" s="15" t="str">
        <f aca="false">IF(A64="","",Database!A64&amp;" - "&amp;Database!B64)</f>
        <v/>
      </c>
      <c r="C64" s="16" t="str">
        <f aca="false">IF(A64="","","Level "&amp;Database!D64)</f>
        <v/>
      </c>
      <c r="D64" s="16" t="str">
        <f aca="false">IF(A64="","",IF(Database!E64="","Never",TEXT(Database!E64,"DD/MM/YY")))</f>
        <v/>
      </c>
      <c r="E64" s="16" t="str">
        <f aca="true">IF(A64="","",IF(Database!G64="","START NOW!",IF(Database!G64&lt;TODAY(),"OVERDUE "&amp;ABS(Database!G64-TODAY())&amp;"d","Today")))</f>
        <v/>
      </c>
      <c r="H64" s="17" t="str">
        <f aca="false">IF(G64="✅ DONE",
        IF(F64="😊 Easy",MIN(Database!D64+2,7),
        IF(F64="👍 Good",MIN(Database!D64+1,7),
        IF(F64="😐 Hard",Database!D64,
        IF(F64="🔴 Again",MAX(Database!D64-1,0),
        "")))),
    "")</f>
        <v/>
      </c>
      <c r="I64" s="17" t="str">
        <f aca="true">IF(G64="✅ DONE",TEXT(TODAY(),"DD/MM/YY"),"")</f>
        <v/>
      </c>
    </row>
    <row r="65" customFormat="false" ht="15" hidden="false" customHeight="true" outlineLevel="0" collapsed="false">
      <c r="A65" s="14" t="str">
        <f aca="true">IF(AND(Database!A65&lt;&gt;"",OR(Database!G65&lt;=TODAY(),Database!E65="")),65,"")</f>
        <v/>
      </c>
      <c r="B65" s="15" t="str">
        <f aca="false">IF(A65="","",Database!A65&amp;" - "&amp;Database!B65)</f>
        <v/>
      </c>
      <c r="C65" s="16" t="str">
        <f aca="false">IF(A65="","","Level "&amp;Database!D65)</f>
        <v/>
      </c>
      <c r="D65" s="16" t="str">
        <f aca="false">IF(A65="","",IF(Database!E65="","Never",TEXT(Database!E65,"DD/MM/YY")))</f>
        <v/>
      </c>
      <c r="E65" s="16" t="str">
        <f aca="true">IF(A65="","",IF(Database!G65="","START NOW!",IF(Database!G65&lt;TODAY(),"OVERDUE "&amp;ABS(Database!G65-TODAY())&amp;"d","Today")))</f>
        <v/>
      </c>
      <c r="H65" s="17" t="str">
        <f aca="false">IF(G65="✅ DONE",
        IF(F65="😊 Easy",MIN(Database!D65+2,7),
        IF(F65="👍 Good",MIN(Database!D65+1,7),
        IF(F65="😐 Hard",Database!D65,
        IF(F65="🔴 Again",MAX(Database!D65-1,0),
        "")))),
    "")</f>
        <v/>
      </c>
      <c r="I65" s="17" t="str">
        <f aca="true">IF(G65="✅ DONE",TEXT(TODAY(),"DD/MM/YY"),"")</f>
        <v/>
      </c>
    </row>
    <row r="66" customFormat="false" ht="15" hidden="false" customHeight="true" outlineLevel="0" collapsed="false">
      <c r="A66" s="14" t="str">
        <f aca="true">IF(AND(Database!A66&lt;&gt;"",OR(Database!G66&lt;=TODAY(),Database!E66="")),66,"")</f>
        <v/>
      </c>
      <c r="B66" s="15" t="str">
        <f aca="false">IF(A66="","",Database!A66&amp;" - "&amp;Database!B66)</f>
        <v/>
      </c>
      <c r="C66" s="16" t="str">
        <f aca="false">IF(A66="","","Level "&amp;Database!D66)</f>
        <v/>
      </c>
      <c r="D66" s="16" t="str">
        <f aca="false">IF(A66="","",IF(Database!E66="","Never",TEXT(Database!E66,"DD/MM/YY")))</f>
        <v/>
      </c>
      <c r="E66" s="16" t="str">
        <f aca="true">IF(A66="","",IF(Database!G66="","START NOW!",IF(Database!G66&lt;TODAY(),"OVERDUE "&amp;ABS(Database!G66-TODAY())&amp;"d","Today")))</f>
        <v/>
      </c>
      <c r="H66" s="17" t="str">
        <f aca="false">IF(G66="✅ DONE",
        IF(F66="😊 Easy",MIN(Database!D66+2,7),
        IF(F66="👍 Good",MIN(Database!D66+1,7),
        IF(F66="😐 Hard",Database!D66,
        IF(F66="🔴 Again",MAX(Database!D66-1,0),
        "")))),
    "")</f>
        <v/>
      </c>
      <c r="I66" s="17" t="str">
        <f aca="true">IF(G66="✅ DONE",TEXT(TODAY(),"DD/MM/YY"),"")</f>
        <v/>
      </c>
    </row>
    <row r="67" customFormat="false" ht="15" hidden="false" customHeight="true" outlineLevel="0" collapsed="false">
      <c r="A67" s="14" t="str">
        <f aca="true">IF(AND(Database!A67&lt;&gt;"",OR(Database!G67&lt;=TODAY(),Database!E67="")),67,"")</f>
        <v/>
      </c>
      <c r="B67" s="15" t="str">
        <f aca="false">IF(A67="","",Database!A67&amp;" - "&amp;Database!B67)</f>
        <v/>
      </c>
      <c r="C67" s="16" t="str">
        <f aca="false">IF(A67="","","Level "&amp;Database!D67)</f>
        <v/>
      </c>
      <c r="D67" s="16" t="str">
        <f aca="false">IF(A67="","",IF(Database!E67="","Never",TEXT(Database!E67,"DD/MM/YY")))</f>
        <v/>
      </c>
      <c r="E67" s="16" t="str">
        <f aca="true">IF(A67="","",IF(Database!G67="","START NOW!",IF(Database!G67&lt;TODAY(),"OVERDUE "&amp;ABS(Database!G67-TODAY())&amp;"d","Today")))</f>
        <v/>
      </c>
      <c r="H67" s="17" t="str">
        <f aca="false">IF(G67="✅ DONE",
        IF(F67="😊 Easy",MIN(Database!D67+2,7),
        IF(F67="👍 Good",MIN(Database!D67+1,7),
        IF(F67="😐 Hard",Database!D67,
        IF(F67="🔴 Again",MAX(Database!D67-1,0),
        "")))),
    "")</f>
        <v/>
      </c>
      <c r="I67" s="17" t="str">
        <f aca="true">IF(G67="✅ DONE",TEXT(TODAY(),"DD/MM/YY"),"")</f>
        <v/>
      </c>
    </row>
    <row r="68" customFormat="false" ht="15" hidden="false" customHeight="true" outlineLevel="0" collapsed="false">
      <c r="A68" s="14" t="str">
        <f aca="true">IF(AND(Database!A68&lt;&gt;"",OR(Database!G68&lt;=TODAY(),Database!E68="")),68,"")</f>
        <v/>
      </c>
      <c r="B68" s="15" t="str">
        <f aca="false">IF(A68="","",Database!A68&amp;" - "&amp;Database!B68)</f>
        <v/>
      </c>
      <c r="C68" s="16" t="str">
        <f aca="false">IF(A68="","","Level "&amp;Database!D68)</f>
        <v/>
      </c>
      <c r="D68" s="16" t="str">
        <f aca="false">IF(A68="","",IF(Database!E68="","Never",TEXT(Database!E68,"DD/MM/YY")))</f>
        <v/>
      </c>
      <c r="E68" s="16" t="str">
        <f aca="true">IF(A68="","",IF(Database!G68="","START NOW!",IF(Database!G68&lt;TODAY(),"OVERDUE "&amp;ABS(Database!G68-TODAY())&amp;"d","Today")))</f>
        <v/>
      </c>
      <c r="H68" s="17" t="str">
        <f aca="false">IF(G68="✅ DONE",
        IF(F68="😊 Easy",MIN(Database!D68+2,7),
        IF(F68="👍 Good",MIN(Database!D68+1,7),
        IF(F68="😐 Hard",Database!D68,
        IF(F68="🔴 Again",MAX(Database!D68-1,0),
        "")))),
    "")</f>
        <v/>
      </c>
      <c r="I68" s="17" t="str">
        <f aca="true">IF(G68="✅ DONE",TEXT(TODAY(),"DD/MM/YY"),"")</f>
        <v/>
      </c>
    </row>
    <row r="69" customFormat="false" ht="15" hidden="false" customHeight="true" outlineLevel="0" collapsed="false">
      <c r="A69" s="14" t="str">
        <f aca="true">IF(AND(Database!A69&lt;&gt;"",OR(Database!G69&lt;=TODAY(),Database!E69="")),69,"")</f>
        <v/>
      </c>
      <c r="B69" s="15" t="str">
        <f aca="false">IF(A69="","",Database!A69&amp;" - "&amp;Database!B69)</f>
        <v/>
      </c>
      <c r="C69" s="16" t="str">
        <f aca="false">IF(A69="","","Level "&amp;Database!D69)</f>
        <v/>
      </c>
      <c r="D69" s="16" t="str">
        <f aca="false">IF(A69="","",IF(Database!E69="","Never",TEXT(Database!E69,"DD/MM/YY")))</f>
        <v/>
      </c>
      <c r="E69" s="16" t="str">
        <f aca="true">IF(A69="","",IF(Database!G69="","START NOW!",IF(Database!G69&lt;TODAY(),"OVERDUE "&amp;ABS(Database!G69-TODAY())&amp;"d","Today")))</f>
        <v/>
      </c>
      <c r="H69" s="17" t="str">
        <f aca="false">IF(G69="✅ DONE",
        IF(F69="😊 Easy",MIN(Database!D69+2,7),
        IF(F69="👍 Good",MIN(Database!D69+1,7),
        IF(F69="😐 Hard",Database!D69,
        IF(F69="🔴 Again",MAX(Database!D69-1,0),
        "")))),
    "")</f>
        <v/>
      </c>
      <c r="I69" s="17" t="str">
        <f aca="true">IF(G69="✅ DONE",TEXT(TODAY(),"DD/MM/YY"),"")</f>
        <v/>
      </c>
    </row>
    <row r="70" customFormat="false" ht="15" hidden="false" customHeight="true" outlineLevel="0" collapsed="false">
      <c r="A70" s="14" t="str">
        <f aca="true">IF(AND(Database!A70&lt;&gt;"",OR(Database!G70&lt;=TODAY(),Database!E70="")),70,"")</f>
        <v/>
      </c>
      <c r="B70" s="15" t="str">
        <f aca="false">IF(A70="","",Database!A70&amp;" - "&amp;Database!B70)</f>
        <v/>
      </c>
      <c r="C70" s="16" t="str">
        <f aca="false">IF(A70="","","Level "&amp;Database!D70)</f>
        <v/>
      </c>
      <c r="D70" s="16" t="str">
        <f aca="false">IF(A70="","",IF(Database!E70="","Never",TEXT(Database!E70,"DD/MM/YY")))</f>
        <v/>
      </c>
      <c r="E70" s="16" t="str">
        <f aca="true">IF(A70="","",IF(Database!G70="","START NOW!",IF(Database!G70&lt;TODAY(),"OVERDUE "&amp;ABS(Database!G70-TODAY())&amp;"d","Today")))</f>
        <v/>
      </c>
      <c r="H70" s="17" t="str">
        <f aca="false">IF(G70="✅ DONE",
        IF(F70="😊 Easy",MIN(Database!D70+2,7),
        IF(F70="👍 Good",MIN(Database!D70+1,7),
        IF(F70="😐 Hard",Database!D70,
        IF(F70="🔴 Again",MAX(Database!D70-1,0),
        "")))),
    "")</f>
        <v/>
      </c>
      <c r="I70" s="17" t="str">
        <f aca="true">IF(G70="✅ DONE",TEXT(TODAY(),"DD/MM/YY"),"")</f>
        <v/>
      </c>
    </row>
    <row r="71" customFormat="false" ht="15" hidden="false" customHeight="true" outlineLevel="0" collapsed="false">
      <c r="A71" s="14" t="str">
        <f aca="true">IF(AND(Database!A71&lt;&gt;"",OR(Database!G71&lt;=TODAY(),Database!E71="")),71,"")</f>
        <v/>
      </c>
      <c r="B71" s="15" t="str">
        <f aca="false">IF(A71="","",Database!A71&amp;" - "&amp;Database!B71)</f>
        <v/>
      </c>
      <c r="C71" s="16" t="str">
        <f aca="false">IF(A71="","","Level "&amp;Database!D71)</f>
        <v/>
      </c>
      <c r="D71" s="16" t="str">
        <f aca="false">IF(A71="","",IF(Database!E71="","Never",TEXT(Database!E71,"DD/MM/YY")))</f>
        <v/>
      </c>
      <c r="E71" s="16" t="str">
        <f aca="true">IF(A71="","",IF(Database!G71="","START NOW!",IF(Database!G71&lt;TODAY(),"OVERDUE "&amp;ABS(Database!G71-TODAY())&amp;"d","Today")))</f>
        <v/>
      </c>
      <c r="H71" s="17" t="str">
        <f aca="false">IF(G71="✅ DONE",
        IF(F71="😊 Easy",MIN(Database!D71+2,7),
        IF(F71="👍 Good",MIN(Database!D71+1,7),
        IF(F71="😐 Hard",Database!D71,
        IF(F71="🔴 Again",MAX(Database!D71-1,0),
        "")))),
    "")</f>
        <v/>
      </c>
      <c r="I71" s="17" t="str">
        <f aca="true">IF(G71="✅ DONE",TEXT(TODAY(),"DD/MM/YY"),"")</f>
        <v/>
      </c>
    </row>
    <row r="72" customFormat="false" ht="15" hidden="false" customHeight="true" outlineLevel="0" collapsed="false">
      <c r="A72" s="14" t="str">
        <f aca="true">IF(AND(Database!A72&lt;&gt;"",OR(Database!G72&lt;=TODAY(),Database!E72="")),72,"")</f>
        <v/>
      </c>
      <c r="B72" s="15" t="str">
        <f aca="false">IF(A72="","",Database!A72&amp;" - "&amp;Database!B72)</f>
        <v/>
      </c>
      <c r="C72" s="16" t="str">
        <f aca="false">IF(A72="","","Level "&amp;Database!D72)</f>
        <v/>
      </c>
      <c r="D72" s="16" t="str">
        <f aca="false">IF(A72="","",IF(Database!E72="","Never",TEXT(Database!E72,"DD/MM/YY")))</f>
        <v/>
      </c>
      <c r="E72" s="16" t="str">
        <f aca="true">IF(A72="","",IF(Database!G72="","START NOW!",IF(Database!G72&lt;TODAY(),"OVERDUE "&amp;ABS(Database!G72-TODAY())&amp;"d","Today")))</f>
        <v/>
      </c>
      <c r="H72" s="17" t="str">
        <f aca="false">IF(G72="✅ DONE",
        IF(F72="😊 Easy",MIN(Database!D72+2,7),
        IF(F72="👍 Good",MIN(Database!D72+1,7),
        IF(F72="😐 Hard",Database!D72,
        IF(F72="🔴 Again",MAX(Database!D72-1,0),
        "")))),
    "")</f>
        <v/>
      </c>
      <c r="I72" s="17" t="str">
        <f aca="true">IF(G72="✅ DONE",TEXT(TODAY(),"DD/MM/YY"),"")</f>
        <v/>
      </c>
    </row>
    <row r="73" customFormat="false" ht="15" hidden="false" customHeight="true" outlineLevel="0" collapsed="false">
      <c r="A73" s="14" t="str">
        <f aca="true">IF(AND(Database!A73&lt;&gt;"",OR(Database!G73&lt;=TODAY(),Database!E73="")),73,"")</f>
        <v/>
      </c>
      <c r="B73" s="15" t="str">
        <f aca="false">IF(A73="","",Database!A73&amp;" - "&amp;Database!B73)</f>
        <v/>
      </c>
      <c r="C73" s="16" t="str">
        <f aca="false">IF(A73="","","Level "&amp;Database!D73)</f>
        <v/>
      </c>
      <c r="D73" s="16" t="str">
        <f aca="false">IF(A73="","",IF(Database!E73="","Never",TEXT(Database!E73,"DD/MM/YY")))</f>
        <v/>
      </c>
      <c r="E73" s="16" t="str">
        <f aca="true">IF(A73="","",IF(Database!G73="","START NOW!",IF(Database!G73&lt;TODAY(),"OVERDUE "&amp;ABS(Database!G73-TODAY())&amp;"d","Today")))</f>
        <v/>
      </c>
      <c r="H73" s="17" t="str">
        <f aca="false">IF(G73="✅ DONE",
        IF(F73="😊 Easy",MIN(Database!D73+2,7),
        IF(F73="👍 Good",MIN(Database!D73+1,7),
        IF(F73="😐 Hard",Database!D73,
        IF(F73="🔴 Again",MAX(Database!D73-1,0),
        "")))),
    "")</f>
        <v/>
      </c>
      <c r="I73" s="17" t="str">
        <f aca="true">IF(G73="✅ DONE",TEXT(TODAY(),"DD/MM/YY"),"")</f>
        <v/>
      </c>
    </row>
    <row r="74" customFormat="false" ht="15" hidden="false" customHeight="true" outlineLevel="0" collapsed="false">
      <c r="A74" s="14" t="str">
        <f aca="true">IF(AND(Database!A74&lt;&gt;"",OR(Database!G74&lt;=TODAY(),Database!E74="")),74,"")</f>
        <v/>
      </c>
      <c r="B74" s="15" t="str">
        <f aca="false">IF(A74="","",Database!A74&amp;" - "&amp;Database!B74)</f>
        <v/>
      </c>
      <c r="C74" s="16" t="str">
        <f aca="false">IF(A74="","","Level "&amp;Database!D74)</f>
        <v/>
      </c>
      <c r="D74" s="16" t="str">
        <f aca="false">IF(A74="","",IF(Database!E74="","Never",TEXT(Database!E74,"DD/MM/YY")))</f>
        <v/>
      </c>
      <c r="E74" s="16" t="str">
        <f aca="true">IF(A74="","",IF(Database!G74="","START NOW!",IF(Database!G74&lt;TODAY(),"OVERDUE "&amp;ABS(Database!G74-TODAY())&amp;"d","Today")))</f>
        <v/>
      </c>
      <c r="H74" s="17" t="str">
        <f aca="false">IF(G74="✅ DONE",
        IF(F74="😊 Easy",MIN(Database!D74+2,7),
        IF(F74="👍 Good",MIN(Database!D74+1,7),
        IF(F74="😐 Hard",Database!D74,
        IF(F74="🔴 Again",MAX(Database!D74-1,0),
        "")))),
    "")</f>
        <v/>
      </c>
      <c r="I74" s="17" t="str">
        <f aca="true">IF(G74="✅ DONE",TEXT(TODAY(),"DD/MM/YY"),"")</f>
        <v/>
      </c>
    </row>
    <row r="75" customFormat="false" ht="15" hidden="false" customHeight="true" outlineLevel="0" collapsed="false">
      <c r="A75" s="14" t="str">
        <f aca="true">IF(AND(Database!A75&lt;&gt;"",OR(Database!G75&lt;=TODAY(),Database!E75="")),75,"")</f>
        <v/>
      </c>
      <c r="B75" s="15" t="str">
        <f aca="false">IF(A75="","",Database!A75&amp;" - "&amp;Database!B75)</f>
        <v/>
      </c>
      <c r="C75" s="16" t="str">
        <f aca="false">IF(A75="","","Level "&amp;Database!D75)</f>
        <v/>
      </c>
      <c r="D75" s="16" t="str">
        <f aca="false">IF(A75="","",IF(Database!E75="","Never",TEXT(Database!E75,"DD/MM/YY")))</f>
        <v/>
      </c>
      <c r="E75" s="16" t="str">
        <f aca="true">IF(A75="","",IF(Database!G75="","START NOW!",IF(Database!G75&lt;TODAY(),"OVERDUE "&amp;ABS(Database!G75-TODAY())&amp;"d","Today")))</f>
        <v/>
      </c>
      <c r="H75" s="17" t="str">
        <f aca="false">IF(G75="✅ DONE",
        IF(F75="😊 Easy",MIN(Database!D75+2,7),
        IF(F75="👍 Good",MIN(Database!D75+1,7),
        IF(F75="😐 Hard",Database!D75,
        IF(F75="🔴 Again",MAX(Database!D75-1,0),
        "")))),
    "")</f>
        <v/>
      </c>
      <c r="I75" s="17" t="str">
        <f aca="true">IF(G75="✅ DONE",TEXT(TODAY(),"DD/MM/YY"),"")</f>
        <v/>
      </c>
    </row>
    <row r="76" customFormat="false" ht="15" hidden="false" customHeight="true" outlineLevel="0" collapsed="false">
      <c r="A76" s="14" t="str">
        <f aca="true">IF(AND(Database!A76&lt;&gt;"",OR(Database!G76&lt;=TODAY(),Database!E76="")),76,"")</f>
        <v/>
      </c>
      <c r="B76" s="15" t="str">
        <f aca="false">IF(A76="","",Database!A76&amp;" - "&amp;Database!B76)</f>
        <v/>
      </c>
      <c r="C76" s="16" t="str">
        <f aca="false">IF(A76="","","Level "&amp;Database!D76)</f>
        <v/>
      </c>
      <c r="D76" s="16" t="str">
        <f aca="false">IF(A76="","",IF(Database!E76="","Never",TEXT(Database!E76,"DD/MM/YY")))</f>
        <v/>
      </c>
      <c r="E76" s="16" t="str">
        <f aca="true">IF(A76="","",IF(Database!G76="","START NOW!",IF(Database!G76&lt;TODAY(),"OVERDUE "&amp;ABS(Database!G76-TODAY())&amp;"d","Today")))</f>
        <v/>
      </c>
      <c r="H76" s="17" t="str">
        <f aca="false">IF(G76="✅ DONE",
        IF(F76="😊 Easy",MIN(Database!D76+2,7),
        IF(F76="👍 Good",MIN(Database!D76+1,7),
        IF(F76="😐 Hard",Database!D76,
        IF(F76="🔴 Again",MAX(Database!D76-1,0),
        "")))),
    "")</f>
        <v/>
      </c>
      <c r="I76" s="17" t="str">
        <f aca="true">IF(G76="✅ DONE",TEXT(TODAY(),"DD/MM/YY"),"")</f>
        <v/>
      </c>
    </row>
    <row r="77" customFormat="false" ht="15" hidden="false" customHeight="true" outlineLevel="0" collapsed="false">
      <c r="A77" s="14" t="str">
        <f aca="true">IF(AND(Database!A77&lt;&gt;"",OR(Database!G77&lt;=TODAY(),Database!E77="")),77,"")</f>
        <v/>
      </c>
      <c r="B77" s="15" t="str">
        <f aca="false">IF(A77="","",Database!A77&amp;" - "&amp;Database!B77)</f>
        <v/>
      </c>
      <c r="C77" s="16" t="str">
        <f aca="false">IF(A77="","","Level "&amp;Database!D77)</f>
        <v/>
      </c>
      <c r="D77" s="16" t="str">
        <f aca="false">IF(A77="","",IF(Database!E77="","Never",TEXT(Database!E77,"DD/MM/YY")))</f>
        <v/>
      </c>
      <c r="E77" s="16" t="str">
        <f aca="true">IF(A77="","",IF(Database!G77="","START NOW!",IF(Database!G77&lt;TODAY(),"OVERDUE "&amp;ABS(Database!G77-TODAY())&amp;"d","Today")))</f>
        <v/>
      </c>
      <c r="H77" s="17" t="str">
        <f aca="false">IF(G77="✅ DONE",
        IF(F77="😊 Easy",MIN(Database!D77+2,7),
        IF(F77="👍 Good",MIN(Database!D77+1,7),
        IF(F77="😐 Hard",Database!D77,
        IF(F77="🔴 Again",MAX(Database!D77-1,0),
        "")))),
    "")</f>
        <v/>
      </c>
      <c r="I77" s="17" t="str">
        <f aca="true">IF(G77="✅ DONE",TEXT(TODAY(),"DD/MM/YY"),"")</f>
        <v/>
      </c>
    </row>
    <row r="78" customFormat="false" ht="15" hidden="false" customHeight="true" outlineLevel="0" collapsed="false">
      <c r="A78" s="14" t="str">
        <f aca="true">IF(AND(Database!A78&lt;&gt;"",OR(Database!G78&lt;=TODAY(),Database!E78="")),78,"")</f>
        <v/>
      </c>
      <c r="B78" s="15" t="str">
        <f aca="false">IF(A78="","",Database!A78&amp;" - "&amp;Database!B78)</f>
        <v/>
      </c>
      <c r="C78" s="16" t="str">
        <f aca="false">IF(A78="","","Level "&amp;Database!D78)</f>
        <v/>
      </c>
      <c r="D78" s="16" t="str">
        <f aca="false">IF(A78="","",IF(Database!E78="","Never",TEXT(Database!E78,"DD/MM/YY")))</f>
        <v/>
      </c>
      <c r="E78" s="16" t="str">
        <f aca="true">IF(A78="","",IF(Database!G78="","START NOW!",IF(Database!G78&lt;TODAY(),"OVERDUE "&amp;ABS(Database!G78-TODAY())&amp;"d","Today")))</f>
        <v/>
      </c>
      <c r="H78" s="17" t="str">
        <f aca="false">IF(G78="✅ DONE",
        IF(F78="😊 Easy",MIN(Database!D78+2,7),
        IF(F78="👍 Good",MIN(Database!D78+1,7),
        IF(F78="😐 Hard",Database!D78,
        IF(F78="🔴 Again",MAX(Database!D78-1,0),
        "")))),
    "")</f>
        <v/>
      </c>
      <c r="I78" s="17" t="str">
        <f aca="true">IF(G78="✅ DONE",TEXT(TODAY(),"DD/MM/YY"),"")</f>
        <v/>
      </c>
    </row>
    <row r="79" customFormat="false" ht="15" hidden="false" customHeight="true" outlineLevel="0" collapsed="false">
      <c r="A79" s="14" t="str">
        <f aca="true">IF(AND(Database!A79&lt;&gt;"",OR(Database!G79&lt;=TODAY(),Database!E79="")),79,"")</f>
        <v/>
      </c>
      <c r="B79" s="15" t="str">
        <f aca="false">IF(A79="","",Database!A79&amp;" - "&amp;Database!B79)</f>
        <v/>
      </c>
      <c r="C79" s="16" t="str">
        <f aca="false">IF(A79="","","Level "&amp;Database!D79)</f>
        <v/>
      </c>
      <c r="D79" s="16" t="str">
        <f aca="false">IF(A79="","",IF(Database!E79="","Never",TEXT(Database!E79,"DD/MM/YY")))</f>
        <v/>
      </c>
      <c r="E79" s="16" t="str">
        <f aca="true">IF(A79="","",IF(Database!G79="","START NOW!",IF(Database!G79&lt;TODAY(),"OVERDUE "&amp;ABS(Database!G79-TODAY())&amp;"d","Today")))</f>
        <v/>
      </c>
      <c r="H79" s="17" t="str">
        <f aca="false">IF(G79="✅ DONE",
        IF(F79="😊 Easy",MIN(Database!D79+2,7),
        IF(F79="👍 Good",MIN(Database!D79+1,7),
        IF(F79="😐 Hard",Database!D79,
        IF(F79="🔴 Again",MAX(Database!D79-1,0),
        "")))),
    "")</f>
        <v/>
      </c>
      <c r="I79" s="17" t="str">
        <f aca="true">IF(G79="✅ DONE",TEXT(TODAY(),"DD/MM/YY"),"")</f>
        <v/>
      </c>
    </row>
    <row r="80" customFormat="false" ht="15" hidden="false" customHeight="true" outlineLevel="0" collapsed="false">
      <c r="A80" s="14" t="str">
        <f aca="true">IF(AND(Database!A80&lt;&gt;"",OR(Database!G80&lt;=TODAY(),Database!E80="")),80,"")</f>
        <v/>
      </c>
      <c r="B80" s="15" t="str">
        <f aca="false">IF(A80="","",Database!A80&amp;" - "&amp;Database!B80)</f>
        <v/>
      </c>
      <c r="C80" s="16" t="str">
        <f aca="false">IF(A80="","","Level "&amp;Database!D80)</f>
        <v/>
      </c>
      <c r="D80" s="16" t="str">
        <f aca="false">IF(A80="","",IF(Database!E80="","Never",TEXT(Database!E80,"DD/MM/YY")))</f>
        <v/>
      </c>
      <c r="E80" s="16" t="str">
        <f aca="true">IF(A80="","",IF(Database!G80="","START NOW!",IF(Database!G80&lt;TODAY(),"OVERDUE "&amp;ABS(Database!G80-TODAY())&amp;"d","Today")))</f>
        <v/>
      </c>
      <c r="H80" s="17" t="str">
        <f aca="false">IF(G80="✅ DONE",
        IF(F80="😊 Easy",MIN(Database!D80+2,7),
        IF(F80="👍 Good",MIN(Database!D80+1,7),
        IF(F80="😐 Hard",Database!D80,
        IF(F80="🔴 Again",MAX(Database!D80-1,0),
        "")))),
    "")</f>
        <v/>
      </c>
      <c r="I80" s="17" t="str">
        <f aca="true">IF(G80="✅ DONE",TEXT(TODAY(),"DD/MM/YY"),"")</f>
        <v/>
      </c>
    </row>
    <row r="81" customFormat="false" ht="15" hidden="false" customHeight="true" outlineLevel="0" collapsed="false">
      <c r="A81" s="14" t="str">
        <f aca="true">IF(AND(Database!A81&lt;&gt;"",OR(Database!G81&lt;=TODAY(),Database!E81="")),81,"")</f>
        <v/>
      </c>
      <c r="B81" s="15" t="str">
        <f aca="false">IF(A81="","",Database!A81&amp;" - "&amp;Database!B81)</f>
        <v/>
      </c>
      <c r="C81" s="16" t="str">
        <f aca="false">IF(A81="","","Level "&amp;Database!D81)</f>
        <v/>
      </c>
      <c r="D81" s="16" t="str">
        <f aca="false">IF(A81="","",IF(Database!E81="","Never",TEXT(Database!E81,"DD/MM/YY")))</f>
        <v/>
      </c>
      <c r="E81" s="16" t="str">
        <f aca="true">IF(A81="","",IF(Database!G81="","START NOW!",IF(Database!G81&lt;TODAY(),"OVERDUE "&amp;ABS(Database!G81-TODAY())&amp;"d","Today")))</f>
        <v/>
      </c>
      <c r="H81" s="17" t="str">
        <f aca="false">IF(G81="✅ DONE",
        IF(F81="😊 Easy",MIN(Database!D81+2,7),
        IF(F81="👍 Good",MIN(Database!D81+1,7),
        IF(F81="😐 Hard",Database!D81,
        IF(F81="🔴 Again",MAX(Database!D81-1,0),
        "")))),
    "")</f>
        <v/>
      </c>
      <c r="I81" s="17" t="str">
        <f aca="true">IF(G81="✅ DONE",TEXT(TODAY(),"DD/MM/YY"),"")</f>
        <v/>
      </c>
    </row>
    <row r="82" customFormat="false" ht="15" hidden="false" customHeight="true" outlineLevel="0" collapsed="false">
      <c r="A82" s="14" t="str">
        <f aca="true">IF(AND(Database!A82&lt;&gt;"",OR(Database!G82&lt;=TODAY(),Database!E82="")),82,"")</f>
        <v/>
      </c>
      <c r="B82" s="15" t="str">
        <f aca="false">IF(A82="","",Database!A82&amp;" - "&amp;Database!B82)</f>
        <v/>
      </c>
      <c r="C82" s="16" t="str">
        <f aca="false">IF(A82="","","Level "&amp;Database!D82)</f>
        <v/>
      </c>
      <c r="D82" s="16" t="str">
        <f aca="false">IF(A82="","",IF(Database!E82="","Never",TEXT(Database!E82,"DD/MM/YY")))</f>
        <v/>
      </c>
      <c r="E82" s="16" t="str">
        <f aca="true">IF(A82="","",IF(Database!G82="","START NOW!",IF(Database!G82&lt;TODAY(),"OVERDUE "&amp;ABS(Database!G82-TODAY())&amp;"d","Today")))</f>
        <v/>
      </c>
      <c r="H82" s="17" t="str">
        <f aca="false">IF(G82="✅ DONE",
        IF(F82="😊 Easy",MIN(Database!D82+2,7),
        IF(F82="👍 Good",MIN(Database!D82+1,7),
        IF(F82="😐 Hard",Database!D82,
        IF(F82="🔴 Again",MAX(Database!D82-1,0),
        "")))),
    "")</f>
        <v/>
      </c>
      <c r="I82" s="17" t="str">
        <f aca="true">IF(G82="✅ DONE",TEXT(TODAY(),"DD/MM/YY"),"")</f>
        <v/>
      </c>
    </row>
    <row r="83" customFormat="false" ht="15" hidden="false" customHeight="true" outlineLevel="0" collapsed="false">
      <c r="A83" s="14" t="str">
        <f aca="true">IF(AND(Database!A83&lt;&gt;"",OR(Database!G83&lt;=TODAY(),Database!E83="")),83,"")</f>
        <v/>
      </c>
      <c r="B83" s="15" t="str">
        <f aca="false">IF(A83="","",Database!A83&amp;" - "&amp;Database!B83)</f>
        <v/>
      </c>
      <c r="C83" s="16" t="str">
        <f aca="false">IF(A83="","","Level "&amp;Database!D83)</f>
        <v/>
      </c>
      <c r="D83" s="16" t="str">
        <f aca="false">IF(A83="","",IF(Database!E83="","Never",TEXT(Database!E83,"DD/MM/YY")))</f>
        <v/>
      </c>
      <c r="E83" s="16" t="str">
        <f aca="true">IF(A83="","",IF(Database!G83="","START NOW!",IF(Database!G83&lt;TODAY(),"OVERDUE "&amp;ABS(Database!G83-TODAY())&amp;"d","Today")))</f>
        <v/>
      </c>
      <c r="H83" s="17" t="str">
        <f aca="false">IF(G83="✅ DONE",
        IF(F83="😊 Easy",MIN(Database!D83+2,7),
        IF(F83="👍 Good",MIN(Database!D83+1,7),
        IF(F83="😐 Hard",Database!D83,
        IF(F83="🔴 Again",MAX(Database!D83-1,0),
        "")))),
    "")</f>
        <v/>
      </c>
      <c r="I83" s="17" t="str">
        <f aca="true">IF(G83="✅ DONE",TEXT(TODAY(),"DD/MM/YY"),"")</f>
        <v/>
      </c>
    </row>
    <row r="84" customFormat="false" ht="15" hidden="false" customHeight="true" outlineLevel="0" collapsed="false">
      <c r="A84" s="14" t="str">
        <f aca="true">IF(AND(Database!A84&lt;&gt;"",OR(Database!G84&lt;=TODAY(),Database!E84="")),84,"")</f>
        <v/>
      </c>
      <c r="B84" s="15" t="str">
        <f aca="false">IF(A84="","",Database!A84&amp;" - "&amp;Database!B84)</f>
        <v/>
      </c>
      <c r="C84" s="16" t="str">
        <f aca="false">IF(A84="","","Level "&amp;Database!D84)</f>
        <v/>
      </c>
      <c r="D84" s="16" t="str">
        <f aca="false">IF(A84="","",IF(Database!E84="","Never",TEXT(Database!E84,"DD/MM/YY")))</f>
        <v/>
      </c>
      <c r="E84" s="16" t="str">
        <f aca="true">IF(A84="","",IF(Database!G84="","START NOW!",IF(Database!G84&lt;TODAY(),"OVERDUE "&amp;ABS(Database!G84-TODAY())&amp;"d","Today")))</f>
        <v/>
      </c>
      <c r="H84" s="17" t="str">
        <f aca="false">IF(G84="✅ DONE",
        IF(F84="😊 Easy",MIN(Database!D84+2,7),
        IF(F84="👍 Good",MIN(Database!D84+1,7),
        IF(F84="😐 Hard",Database!D84,
        IF(F84="🔴 Again",MAX(Database!D84-1,0),
        "")))),
    "")</f>
        <v/>
      </c>
      <c r="I84" s="17" t="str">
        <f aca="true">IF(G84="✅ DONE",TEXT(TODAY(),"DD/MM/YY"),"")</f>
        <v/>
      </c>
    </row>
    <row r="85" customFormat="false" ht="15" hidden="false" customHeight="true" outlineLevel="0" collapsed="false">
      <c r="A85" s="14" t="str">
        <f aca="true">IF(AND(Database!A85&lt;&gt;"",OR(Database!G85&lt;=TODAY(),Database!E85="")),85,"")</f>
        <v/>
      </c>
      <c r="B85" s="15" t="str">
        <f aca="false">IF(A85="","",Database!A85&amp;" - "&amp;Database!B85)</f>
        <v/>
      </c>
      <c r="C85" s="16" t="str">
        <f aca="false">IF(A85="","","Level "&amp;Database!D85)</f>
        <v/>
      </c>
      <c r="D85" s="16" t="str">
        <f aca="false">IF(A85="","",IF(Database!E85="","Never",TEXT(Database!E85,"DD/MM/YY")))</f>
        <v/>
      </c>
      <c r="E85" s="16" t="str">
        <f aca="true">IF(A85="","",IF(Database!G85="","START NOW!",IF(Database!G85&lt;TODAY(),"OVERDUE "&amp;ABS(Database!G85-TODAY())&amp;"d","Today")))</f>
        <v/>
      </c>
      <c r="H85" s="17" t="str">
        <f aca="false">IF(G85="✅ DONE",
        IF(F85="😊 Easy",MIN(Database!D85+2,7),
        IF(F85="👍 Good",MIN(Database!D85+1,7),
        IF(F85="😐 Hard",Database!D85,
        IF(F85="🔴 Again",MAX(Database!D85-1,0),
        "")))),
    "")</f>
        <v/>
      </c>
      <c r="I85" s="17" t="str">
        <f aca="true">IF(G85="✅ DONE",TEXT(TODAY(),"DD/MM/YY"),"")</f>
        <v/>
      </c>
    </row>
    <row r="86" customFormat="false" ht="15" hidden="false" customHeight="true" outlineLevel="0" collapsed="false">
      <c r="A86" s="14" t="str">
        <f aca="true">IF(AND(Database!A86&lt;&gt;"",OR(Database!G86&lt;=TODAY(),Database!E86="")),86,"")</f>
        <v/>
      </c>
      <c r="B86" s="15" t="str">
        <f aca="false">IF(A86="","",Database!A86&amp;" - "&amp;Database!B86)</f>
        <v/>
      </c>
      <c r="C86" s="16" t="str">
        <f aca="false">IF(A86="","","Level "&amp;Database!D86)</f>
        <v/>
      </c>
      <c r="D86" s="16" t="str">
        <f aca="false">IF(A86="","",IF(Database!E86="","Never",TEXT(Database!E86,"DD/MM/YY")))</f>
        <v/>
      </c>
      <c r="E86" s="16" t="str">
        <f aca="true">IF(A86="","",IF(Database!G86="","START NOW!",IF(Database!G86&lt;TODAY(),"OVERDUE "&amp;ABS(Database!G86-TODAY())&amp;"d","Today")))</f>
        <v/>
      </c>
      <c r="H86" s="17" t="str">
        <f aca="false">IF(G86="✅ DONE",
        IF(F86="😊 Easy",MIN(Database!D86+2,7),
        IF(F86="👍 Good",MIN(Database!D86+1,7),
        IF(F86="😐 Hard",Database!D86,
        IF(F86="🔴 Again",MAX(Database!D86-1,0),
        "")))),
    "")</f>
        <v/>
      </c>
      <c r="I86" s="17" t="str">
        <f aca="true">IF(G86="✅ DONE",TEXT(TODAY(),"DD/MM/YY"),"")</f>
        <v/>
      </c>
    </row>
    <row r="87" customFormat="false" ht="15" hidden="false" customHeight="true" outlineLevel="0" collapsed="false">
      <c r="A87" s="14" t="str">
        <f aca="true">IF(AND(Database!A87&lt;&gt;"",OR(Database!G87&lt;=TODAY(),Database!E87="")),87,"")</f>
        <v/>
      </c>
      <c r="B87" s="15" t="str">
        <f aca="false">IF(A87="","",Database!A87&amp;" - "&amp;Database!B87)</f>
        <v/>
      </c>
      <c r="C87" s="16" t="str">
        <f aca="false">IF(A87="","","Level "&amp;Database!D87)</f>
        <v/>
      </c>
      <c r="D87" s="16" t="str">
        <f aca="false">IF(A87="","",IF(Database!E87="","Never",TEXT(Database!E87,"DD/MM/YY")))</f>
        <v/>
      </c>
      <c r="E87" s="16" t="str">
        <f aca="true">IF(A87="","",IF(Database!G87="","START NOW!",IF(Database!G87&lt;TODAY(),"OVERDUE "&amp;ABS(Database!G87-TODAY())&amp;"d","Today")))</f>
        <v/>
      </c>
      <c r="H87" s="17" t="str">
        <f aca="false">IF(G87="✅ DONE",
        IF(F87="😊 Easy",MIN(Database!D87+2,7),
        IF(F87="👍 Good",MIN(Database!D87+1,7),
        IF(F87="😐 Hard",Database!D87,
        IF(F87="🔴 Again",MAX(Database!D87-1,0),
        "")))),
    "")</f>
        <v/>
      </c>
      <c r="I87" s="17" t="str">
        <f aca="true">IF(G87="✅ DONE",TEXT(TODAY(),"DD/MM/YY"),"")</f>
        <v/>
      </c>
    </row>
    <row r="88" customFormat="false" ht="15" hidden="false" customHeight="true" outlineLevel="0" collapsed="false">
      <c r="A88" s="14" t="str">
        <f aca="true">IF(AND(Database!A88&lt;&gt;"",OR(Database!G88&lt;=TODAY(),Database!E88="")),88,"")</f>
        <v/>
      </c>
      <c r="B88" s="15" t="str">
        <f aca="false">IF(A88="","",Database!A88&amp;" - "&amp;Database!B88)</f>
        <v/>
      </c>
      <c r="C88" s="16" t="str">
        <f aca="false">IF(A88="","","Level "&amp;Database!D88)</f>
        <v/>
      </c>
      <c r="D88" s="16" t="str">
        <f aca="false">IF(A88="","",IF(Database!E88="","Never",TEXT(Database!E88,"DD/MM/YY")))</f>
        <v/>
      </c>
      <c r="E88" s="16" t="str">
        <f aca="true">IF(A88="","",IF(Database!G88="","START NOW!",IF(Database!G88&lt;TODAY(),"OVERDUE "&amp;ABS(Database!G88-TODAY())&amp;"d","Today")))</f>
        <v/>
      </c>
      <c r="H88" s="17" t="str">
        <f aca="false">IF(G88="✅ DONE",
        IF(F88="😊 Easy",MIN(Database!D88+2,7),
        IF(F88="👍 Good",MIN(Database!D88+1,7),
        IF(F88="😐 Hard",Database!D88,
        IF(F88="🔴 Again",MAX(Database!D88-1,0),
        "")))),
    "")</f>
        <v/>
      </c>
      <c r="I88" s="17" t="str">
        <f aca="true">IF(G88="✅ DONE",TEXT(TODAY(),"DD/MM/YY"),"")</f>
        <v/>
      </c>
    </row>
    <row r="89" customFormat="false" ht="15" hidden="false" customHeight="true" outlineLevel="0" collapsed="false">
      <c r="A89" s="14" t="str">
        <f aca="true">IF(AND(Database!A89&lt;&gt;"",OR(Database!G89&lt;=TODAY(),Database!E89="")),89,"")</f>
        <v/>
      </c>
      <c r="B89" s="15" t="str">
        <f aca="false">IF(A89="","",Database!A89&amp;" - "&amp;Database!B89)</f>
        <v/>
      </c>
      <c r="C89" s="16" t="str">
        <f aca="false">IF(A89="","","Level "&amp;Database!D89)</f>
        <v/>
      </c>
      <c r="D89" s="16" t="str">
        <f aca="false">IF(A89="","",IF(Database!E89="","Never",TEXT(Database!E89,"DD/MM/YY")))</f>
        <v/>
      </c>
      <c r="E89" s="16" t="str">
        <f aca="true">IF(A89="","",IF(Database!G89="","START NOW!",IF(Database!G89&lt;TODAY(),"OVERDUE "&amp;ABS(Database!G89-TODAY())&amp;"d","Today")))</f>
        <v/>
      </c>
      <c r="H89" s="17" t="str">
        <f aca="false">IF(G89="✅ DONE",
        IF(F89="😊 Easy",MIN(Database!D89+2,7),
        IF(F89="👍 Good",MIN(Database!D89+1,7),
        IF(F89="😐 Hard",Database!D89,
        IF(F89="🔴 Again",MAX(Database!D89-1,0),
        "")))),
    "")</f>
        <v/>
      </c>
      <c r="I89" s="17" t="str">
        <f aca="true">IF(G89="✅ DONE",TEXT(TODAY(),"DD/MM/YY"),"")</f>
        <v/>
      </c>
    </row>
    <row r="90" customFormat="false" ht="15" hidden="false" customHeight="true" outlineLevel="0" collapsed="false">
      <c r="A90" s="14" t="str">
        <f aca="true">IF(AND(Database!A90&lt;&gt;"",OR(Database!G90&lt;=TODAY(),Database!E90="")),90,"")</f>
        <v/>
      </c>
      <c r="B90" s="15" t="str">
        <f aca="false">IF(A90="","",Database!A90&amp;" - "&amp;Database!B90)</f>
        <v/>
      </c>
      <c r="C90" s="16" t="str">
        <f aca="false">IF(A90="","","Level "&amp;Database!D90)</f>
        <v/>
      </c>
      <c r="D90" s="16" t="str">
        <f aca="false">IF(A90="","",IF(Database!E90="","Never",TEXT(Database!E90,"DD/MM/YY")))</f>
        <v/>
      </c>
      <c r="E90" s="16" t="str">
        <f aca="true">IF(A90="","",IF(Database!G90="","START NOW!",IF(Database!G90&lt;TODAY(),"OVERDUE "&amp;ABS(Database!G90-TODAY())&amp;"d","Today")))</f>
        <v/>
      </c>
      <c r="H90" s="17" t="str">
        <f aca="false">IF(G90="✅ DONE",
        IF(F90="😊 Easy",MIN(Database!D90+2,7),
        IF(F90="👍 Good",MIN(Database!D90+1,7),
        IF(F90="😐 Hard",Database!D90,
        IF(F90="🔴 Again",MAX(Database!D90-1,0),
        "")))),
    "")</f>
        <v/>
      </c>
      <c r="I90" s="17" t="str">
        <f aca="true">IF(G90="✅ DONE",TEXT(TODAY(),"DD/MM/YY"),"")</f>
        <v/>
      </c>
    </row>
    <row r="91" customFormat="false" ht="15" hidden="false" customHeight="true" outlineLevel="0" collapsed="false">
      <c r="A91" s="14" t="str">
        <f aca="true">IF(AND(Database!A91&lt;&gt;"",OR(Database!G91&lt;=TODAY(),Database!E91="")),91,"")</f>
        <v/>
      </c>
      <c r="B91" s="15" t="str">
        <f aca="false">IF(A91="","",Database!A91&amp;" - "&amp;Database!B91)</f>
        <v/>
      </c>
      <c r="C91" s="16" t="str">
        <f aca="false">IF(A91="","","Level "&amp;Database!D91)</f>
        <v/>
      </c>
      <c r="D91" s="16" t="str">
        <f aca="false">IF(A91="","",IF(Database!E91="","Never",TEXT(Database!E91,"DD/MM/YY")))</f>
        <v/>
      </c>
      <c r="E91" s="16" t="str">
        <f aca="true">IF(A91="","",IF(Database!G91="","START NOW!",IF(Database!G91&lt;TODAY(),"OVERDUE "&amp;ABS(Database!G91-TODAY())&amp;"d","Today")))</f>
        <v/>
      </c>
      <c r="H91" s="17" t="str">
        <f aca="false">IF(G91="✅ DONE",
        IF(F91="😊 Easy",MIN(Database!D91+2,7),
        IF(F91="👍 Good",MIN(Database!D91+1,7),
        IF(F91="😐 Hard",Database!D91,
        IF(F91="🔴 Again",MAX(Database!D91-1,0),
        "")))),
    "")</f>
        <v/>
      </c>
      <c r="I91" s="17" t="str">
        <f aca="true">IF(G91="✅ DONE",TEXT(TODAY(),"DD/MM/YY"),"")</f>
        <v/>
      </c>
    </row>
    <row r="92" customFormat="false" ht="15" hidden="false" customHeight="true" outlineLevel="0" collapsed="false">
      <c r="A92" s="14" t="str">
        <f aca="true">IF(AND(Database!A92&lt;&gt;"",OR(Database!G92&lt;=TODAY(),Database!E92="")),92,"")</f>
        <v/>
      </c>
      <c r="B92" s="15" t="str">
        <f aca="false">IF(A92="","",Database!A92&amp;" - "&amp;Database!B92)</f>
        <v/>
      </c>
      <c r="C92" s="16" t="str">
        <f aca="false">IF(A92="","","Level "&amp;Database!D92)</f>
        <v/>
      </c>
      <c r="D92" s="16" t="str">
        <f aca="false">IF(A92="","",IF(Database!E92="","Never",TEXT(Database!E92,"DD/MM/YY")))</f>
        <v/>
      </c>
      <c r="E92" s="16" t="str">
        <f aca="true">IF(A92="","",IF(Database!G92="","START NOW!",IF(Database!G92&lt;TODAY(),"OVERDUE "&amp;ABS(Database!G92-TODAY())&amp;"d","Today")))</f>
        <v/>
      </c>
      <c r="H92" s="17" t="str">
        <f aca="false">IF(G92="✅ DONE",
        IF(F92="😊 Easy",MIN(Database!D92+2,7),
        IF(F92="👍 Good",MIN(Database!D92+1,7),
        IF(F92="😐 Hard",Database!D92,
        IF(F92="🔴 Again",MAX(Database!D92-1,0),
        "")))),
    "")</f>
        <v/>
      </c>
      <c r="I92" s="17" t="str">
        <f aca="true">IF(G92="✅ DONE",TEXT(TODAY(),"DD/MM/YY"),"")</f>
        <v/>
      </c>
    </row>
    <row r="93" customFormat="false" ht="15" hidden="false" customHeight="true" outlineLevel="0" collapsed="false">
      <c r="A93" s="14" t="str">
        <f aca="true">IF(AND(Database!A93&lt;&gt;"",OR(Database!G93&lt;=TODAY(),Database!E93="")),93,"")</f>
        <v/>
      </c>
      <c r="B93" s="15" t="str">
        <f aca="false">IF(A93="","",Database!A93&amp;" - "&amp;Database!B93)</f>
        <v/>
      </c>
      <c r="C93" s="16" t="str">
        <f aca="false">IF(A93="","","Level "&amp;Database!D93)</f>
        <v/>
      </c>
      <c r="D93" s="16" t="str">
        <f aca="false">IF(A93="","",IF(Database!E93="","Never",TEXT(Database!E93,"DD/MM/YY")))</f>
        <v/>
      </c>
      <c r="E93" s="16" t="str">
        <f aca="true">IF(A93="","",IF(Database!G93="","START NOW!",IF(Database!G93&lt;TODAY(),"OVERDUE "&amp;ABS(Database!G93-TODAY())&amp;"d","Today")))</f>
        <v/>
      </c>
      <c r="H93" s="17" t="str">
        <f aca="false">IF(G93="✅ DONE",
        IF(F93="😊 Easy",MIN(Database!D93+2,7),
        IF(F93="👍 Good",MIN(Database!D93+1,7),
        IF(F93="😐 Hard",Database!D93,
        IF(F93="🔴 Again",MAX(Database!D93-1,0),
        "")))),
    "")</f>
        <v/>
      </c>
      <c r="I93" s="17" t="str">
        <f aca="true">IF(G93="✅ DONE",TEXT(TODAY(),"DD/MM/YY"),"")</f>
        <v/>
      </c>
    </row>
    <row r="94" customFormat="false" ht="15" hidden="false" customHeight="true" outlineLevel="0" collapsed="false">
      <c r="A94" s="14" t="str">
        <f aca="true">IF(AND(Database!A94&lt;&gt;"",OR(Database!G94&lt;=TODAY(),Database!E94="")),94,"")</f>
        <v/>
      </c>
      <c r="B94" s="15" t="str">
        <f aca="false">IF(A94="","",Database!A94&amp;" - "&amp;Database!B94)</f>
        <v/>
      </c>
      <c r="C94" s="16" t="str">
        <f aca="false">IF(A94="","","Level "&amp;Database!D94)</f>
        <v/>
      </c>
      <c r="D94" s="16" t="str">
        <f aca="false">IF(A94="","",IF(Database!E94="","Never",TEXT(Database!E94,"DD/MM/YY")))</f>
        <v/>
      </c>
      <c r="E94" s="16" t="str">
        <f aca="true">IF(A94="","",IF(Database!G94="","START NOW!",IF(Database!G94&lt;TODAY(),"OVERDUE "&amp;ABS(Database!G94-TODAY())&amp;"d","Today")))</f>
        <v/>
      </c>
      <c r="H94" s="17" t="str">
        <f aca="false">IF(G94="✅ DONE",
        IF(F94="😊 Easy",MIN(Database!D94+2,7),
        IF(F94="👍 Good",MIN(Database!D94+1,7),
        IF(F94="😐 Hard",Database!D94,
        IF(F94="🔴 Again",MAX(Database!D94-1,0),
        "")))),
    "")</f>
        <v/>
      </c>
      <c r="I94" s="17" t="str">
        <f aca="true">IF(G94="✅ DONE",TEXT(TODAY(),"DD/MM/YY"),"")</f>
        <v/>
      </c>
    </row>
    <row r="95" customFormat="false" ht="15" hidden="false" customHeight="true" outlineLevel="0" collapsed="false">
      <c r="A95" s="14" t="str">
        <f aca="true">IF(AND(Database!A95&lt;&gt;"",OR(Database!G95&lt;=TODAY(),Database!E95="")),95,"")</f>
        <v/>
      </c>
      <c r="B95" s="15" t="str">
        <f aca="false">IF(A95="","",Database!A95&amp;" - "&amp;Database!B95)</f>
        <v/>
      </c>
      <c r="C95" s="16" t="str">
        <f aca="false">IF(A95="","","Level "&amp;Database!D95)</f>
        <v/>
      </c>
      <c r="D95" s="16" t="str">
        <f aca="false">IF(A95="","",IF(Database!E95="","Never",TEXT(Database!E95,"DD/MM/YY")))</f>
        <v/>
      </c>
      <c r="E95" s="16" t="str">
        <f aca="true">IF(A95="","",IF(Database!G95="","START NOW!",IF(Database!G95&lt;TODAY(),"OVERDUE "&amp;ABS(Database!G95-TODAY())&amp;"d","Today")))</f>
        <v/>
      </c>
      <c r="H95" s="17" t="str">
        <f aca="false">IF(G95="✅ DONE",
        IF(F95="😊 Easy",MIN(Database!D95+2,7),
        IF(F95="👍 Good",MIN(Database!D95+1,7),
        IF(F95="😐 Hard",Database!D95,
        IF(F95="🔴 Again",MAX(Database!D95-1,0),
        "")))),
    "")</f>
        <v/>
      </c>
      <c r="I95" s="17" t="str">
        <f aca="true">IF(G95="✅ DONE",TEXT(TODAY(),"DD/MM/YY"),"")</f>
        <v/>
      </c>
    </row>
    <row r="96" customFormat="false" ht="15" hidden="false" customHeight="true" outlineLevel="0" collapsed="false">
      <c r="A96" s="14" t="str">
        <f aca="true">IF(AND(Database!A96&lt;&gt;"",OR(Database!G96&lt;=TODAY(),Database!E96="")),96,"")</f>
        <v/>
      </c>
      <c r="B96" s="15" t="str">
        <f aca="false">IF(A96="","",Database!A96&amp;" - "&amp;Database!B96)</f>
        <v/>
      </c>
      <c r="C96" s="16" t="str">
        <f aca="false">IF(A96="","","Level "&amp;Database!D96)</f>
        <v/>
      </c>
      <c r="D96" s="16" t="str">
        <f aca="false">IF(A96="","",IF(Database!E96="","Never",TEXT(Database!E96,"DD/MM/YY")))</f>
        <v/>
      </c>
      <c r="E96" s="16" t="str">
        <f aca="true">IF(A96="","",IF(Database!G96="","START NOW!",IF(Database!G96&lt;TODAY(),"OVERDUE "&amp;ABS(Database!G96-TODAY())&amp;"d","Today")))</f>
        <v/>
      </c>
      <c r="H96" s="17" t="str">
        <f aca="false">IF(G96="✅ DONE",
        IF(F96="😊 Easy",MIN(Database!D96+2,7),
        IF(F96="👍 Good",MIN(Database!D96+1,7),
        IF(F96="😐 Hard",Database!D96,
        IF(F96="🔴 Again",MAX(Database!D96-1,0),
        "")))),
    "")</f>
        <v/>
      </c>
      <c r="I96" s="17" t="str">
        <f aca="true">IF(G96="✅ DONE",TEXT(TODAY(),"DD/MM/YY"),"")</f>
        <v/>
      </c>
    </row>
    <row r="97" customFormat="false" ht="15" hidden="false" customHeight="true" outlineLevel="0" collapsed="false">
      <c r="A97" s="14" t="str">
        <f aca="true">IF(AND(Database!A97&lt;&gt;"",OR(Database!G97&lt;=TODAY(),Database!E97="")),97,"")</f>
        <v/>
      </c>
      <c r="B97" s="15" t="str">
        <f aca="false">IF(A97="","",Database!A97&amp;" - "&amp;Database!B97)</f>
        <v/>
      </c>
      <c r="C97" s="16" t="str">
        <f aca="false">IF(A97="","","Level "&amp;Database!D97)</f>
        <v/>
      </c>
      <c r="D97" s="16" t="str">
        <f aca="false">IF(A97="","",IF(Database!E97="","Never",TEXT(Database!E97,"DD/MM/YY")))</f>
        <v/>
      </c>
      <c r="E97" s="16" t="str">
        <f aca="true">IF(A97="","",IF(Database!G97="","START NOW!",IF(Database!G97&lt;TODAY(),"OVERDUE "&amp;ABS(Database!G97-TODAY())&amp;"d","Today")))</f>
        <v/>
      </c>
      <c r="H97" s="17" t="str">
        <f aca="false">IF(G97="✅ DONE",
        IF(F97="😊 Easy",MIN(Database!D97+2,7),
        IF(F97="👍 Good",MIN(Database!D97+1,7),
        IF(F97="😐 Hard",Database!D97,
        IF(F97="🔴 Again",MAX(Database!D97-1,0),
        "")))),
    "")</f>
        <v/>
      </c>
      <c r="I97" s="17" t="str">
        <f aca="true">IF(G97="✅ DONE",TEXT(TODAY(),"DD/MM/YY"),"")</f>
        <v/>
      </c>
    </row>
    <row r="98" customFormat="false" ht="15" hidden="false" customHeight="true" outlineLevel="0" collapsed="false">
      <c r="A98" s="14" t="str">
        <f aca="true">IF(AND(Database!A98&lt;&gt;"",OR(Database!G98&lt;=TODAY(),Database!E98="")),98,"")</f>
        <v/>
      </c>
      <c r="B98" s="15" t="str">
        <f aca="false">IF(A98="","",Database!A98&amp;" - "&amp;Database!B98)</f>
        <v/>
      </c>
      <c r="C98" s="16" t="str">
        <f aca="false">IF(A98="","","Level "&amp;Database!D98)</f>
        <v/>
      </c>
      <c r="D98" s="16" t="str">
        <f aca="false">IF(A98="","",IF(Database!E98="","Never",TEXT(Database!E98,"DD/MM/YY")))</f>
        <v/>
      </c>
      <c r="E98" s="16" t="str">
        <f aca="true">IF(A98="","",IF(Database!G98="","START NOW!",IF(Database!G98&lt;TODAY(),"OVERDUE "&amp;ABS(Database!G98-TODAY())&amp;"d","Today")))</f>
        <v/>
      </c>
      <c r="H98" s="17" t="str">
        <f aca="false">IF(G98="✅ DONE",
        IF(F98="😊 Easy",MIN(Database!D98+2,7),
        IF(F98="👍 Good",MIN(Database!D98+1,7),
        IF(F98="😐 Hard",Database!D98,
        IF(F98="🔴 Again",MAX(Database!D98-1,0),
        "")))),
    "")</f>
        <v/>
      </c>
      <c r="I98" s="17" t="str">
        <f aca="true">IF(G98="✅ DONE",TEXT(TODAY(),"DD/MM/YY"),"")</f>
        <v/>
      </c>
    </row>
    <row r="99" customFormat="false" ht="15" hidden="false" customHeight="true" outlineLevel="0" collapsed="false">
      <c r="A99" s="14" t="str">
        <f aca="true">IF(AND(Database!A99&lt;&gt;"",OR(Database!G99&lt;=TODAY(),Database!E99="")),99,"")</f>
        <v/>
      </c>
      <c r="B99" s="15" t="str">
        <f aca="false">IF(A99="","",Database!A99&amp;" - "&amp;Database!B99)</f>
        <v/>
      </c>
      <c r="C99" s="16" t="str">
        <f aca="false">IF(A99="","","Level "&amp;Database!D99)</f>
        <v/>
      </c>
      <c r="D99" s="16" t="str">
        <f aca="false">IF(A99="","",IF(Database!E99="","Never",TEXT(Database!E99,"DD/MM/YY")))</f>
        <v/>
      </c>
      <c r="E99" s="16" t="str">
        <f aca="true">IF(A99="","",IF(Database!G99="","START NOW!",IF(Database!G99&lt;TODAY(),"OVERDUE "&amp;ABS(Database!G99-TODAY())&amp;"d","Today")))</f>
        <v/>
      </c>
      <c r="H99" s="17" t="str">
        <f aca="false">IF(G99="✅ DONE",
        IF(F99="😊 Easy",MIN(Database!D99+2,7),
        IF(F99="👍 Good",MIN(Database!D99+1,7),
        IF(F99="😐 Hard",Database!D99,
        IF(F99="🔴 Again",MAX(Database!D99-1,0),
        "")))),
    "")</f>
        <v/>
      </c>
      <c r="I99" s="17" t="str">
        <f aca="true">IF(G99="✅ DONE",TEXT(TODAY(),"DD/MM/YY"),"")</f>
        <v/>
      </c>
    </row>
    <row r="100" customFormat="false" ht="15" hidden="false" customHeight="true" outlineLevel="0" collapsed="false">
      <c r="A100" s="14" t="str">
        <f aca="true">IF(AND(Database!A100&lt;&gt;"",OR(Database!G100&lt;=TODAY(),Database!E100="")),100,"")</f>
        <v/>
      </c>
      <c r="B100" s="15" t="str">
        <f aca="false">IF(A100="","",Database!A100&amp;" - "&amp;Database!B100)</f>
        <v/>
      </c>
      <c r="C100" s="16" t="str">
        <f aca="false">IF(A100="","","Level "&amp;Database!D100)</f>
        <v/>
      </c>
      <c r="D100" s="16" t="str">
        <f aca="false">IF(A100="","",IF(Database!E100="","Never",TEXT(Database!E100,"DD/MM/YY")))</f>
        <v/>
      </c>
      <c r="E100" s="16" t="str">
        <f aca="true">IF(A100="","",IF(Database!G100="","START NOW!",IF(Database!G100&lt;TODAY(),"OVERDUE "&amp;ABS(Database!G100-TODAY())&amp;"d","Today")))</f>
        <v/>
      </c>
      <c r="H100" s="17" t="str">
        <f aca="false">IF(G100="✅ DONE",
        IF(F100="😊 Easy",MIN(Database!D100+2,7),
        IF(F100="👍 Good",MIN(Database!D100+1,7),
        IF(F100="😐 Hard",Database!D100,
        IF(F100="🔴 Again",MAX(Database!D100-1,0),
        "")))),
    "")</f>
        <v/>
      </c>
      <c r="I100" s="17" t="str">
        <f aca="true">IF(G100="✅ DONE",TEXT(TODAY(),"DD/MM/YY"),"")</f>
        <v/>
      </c>
    </row>
    <row r="101" customFormat="false" ht="15" hidden="false" customHeight="true" outlineLevel="0" collapsed="false">
      <c r="A101" s="14" t="str">
        <f aca="true">IF(AND(Database!A101&lt;&gt;"",OR(Database!G101&lt;=TODAY(),Database!E101="")),101,"")</f>
        <v/>
      </c>
      <c r="B101" s="15" t="str">
        <f aca="false">IF(A101="","",Database!A101&amp;" - "&amp;Database!B101)</f>
        <v/>
      </c>
      <c r="C101" s="16" t="str">
        <f aca="false">IF(A101="","","Level "&amp;Database!D101)</f>
        <v/>
      </c>
      <c r="D101" s="16" t="str">
        <f aca="false">IF(A101="","",IF(Database!E101="","Never",TEXT(Database!E101,"DD/MM/YY")))</f>
        <v/>
      </c>
      <c r="E101" s="16" t="str">
        <f aca="true">IF(A101="","",IF(Database!G101="","START NOW!",IF(Database!G101&lt;TODAY(),"OVERDUE "&amp;ABS(Database!G101-TODAY())&amp;"d","Today")))</f>
        <v/>
      </c>
      <c r="H101" s="17" t="str">
        <f aca="false">IF(G101="✅ DONE",
        IF(F101="😊 Easy",MIN(Database!D101+2,7),
        IF(F101="👍 Good",MIN(Database!D101+1,7),
        IF(F101="😐 Hard",Database!D101,
        IF(F101="🔴 Again",MAX(Database!D101-1,0),
        "")))),
    "")</f>
        <v/>
      </c>
      <c r="I101" s="17" t="str">
        <f aca="true">IF(G101="✅ DONE",TEXT(TODAY(),"DD/MM/YY"),"")</f>
        <v/>
      </c>
    </row>
    <row r="102" customFormat="false" ht="15" hidden="false" customHeight="true" outlineLevel="0" collapsed="false">
      <c r="A102" s="14" t="str">
        <f aca="true">IF(AND(Database!A102&lt;&gt;"",OR(Database!G102&lt;=TODAY(),Database!E102="")),102,"")</f>
        <v/>
      </c>
      <c r="B102" s="15" t="str">
        <f aca="false">IF(A102="","",Database!A102&amp;" - "&amp;Database!B102)</f>
        <v/>
      </c>
      <c r="C102" s="16" t="str">
        <f aca="false">IF(A102="","","Level "&amp;Database!D102)</f>
        <v/>
      </c>
      <c r="D102" s="16" t="str">
        <f aca="false">IF(A102="","",IF(Database!E102="","Never",TEXT(Database!E102,"DD/MM/YY")))</f>
        <v/>
      </c>
      <c r="E102" s="16" t="str">
        <f aca="true">IF(A102="","",IF(Database!G102="","START NOW!",IF(Database!G102&lt;TODAY(),"OVERDUE "&amp;ABS(Database!G102-TODAY())&amp;"d","Today")))</f>
        <v/>
      </c>
      <c r="H102" s="17" t="str">
        <f aca="false">IF(G102="✅ DONE",
        IF(F102="😊 Easy",MIN(Database!D102+2,7),
        IF(F102="👍 Good",MIN(Database!D102+1,7),
        IF(F102="😐 Hard",Database!D102,
        IF(F102="🔴 Again",MAX(Database!D102-1,0),
        "")))),
    "")</f>
        <v/>
      </c>
      <c r="I102" s="17" t="str">
        <f aca="true">IF(G102="✅ DONE",TEXT(TODAY(),"DD/MM/YY"),"")</f>
        <v/>
      </c>
    </row>
    <row r="103" customFormat="false" ht="15" hidden="false" customHeight="true" outlineLevel="0" collapsed="false">
      <c r="A103" s="14" t="str">
        <f aca="true">IF(AND(Database!A103&lt;&gt;"",OR(Database!G103&lt;=TODAY(),Database!E103="")),103,"")</f>
        <v/>
      </c>
      <c r="B103" s="15" t="str">
        <f aca="false">IF(A103="","",Database!A103&amp;" - "&amp;Database!B103)</f>
        <v/>
      </c>
      <c r="C103" s="16" t="str">
        <f aca="false">IF(A103="","","Level "&amp;Database!D103)</f>
        <v/>
      </c>
      <c r="D103" s="16" t="str">
        <f aca="false">IF(A103="","",IF(Database!E103="","Never",TEXT(Database!E103,"DD/MM/YY")))</f>
        <v/>
      </c>
      <c r="E103" s="16" t="str">
        <f aca="true">IF(A103="","",IF(Database!G103="","START NOW!",IF(Database!G103&lt;TODAY(),"OVERDUE "&amp;ABS(Database!G103-TODAY())&amp;"d","Today")))</f>
        <v/>
      </c>
      <c r="H103" s="17" t="str">
        <f aca="false">IF(G103="✅ DONE",
        IF(F103="😊 Easy",MIN(Database!D103+2,7),
        IF(F103="👍 Good",MIN(Database!D103+1,7),
        IF(F103="😐 Hard",Database!D103,
        IF(F103="🔴 Again",MAX(Database!D103-1,0),
        "")))),
    "")</f>
        <v/>
      </c>
      <c r="I103" s="17" t="str">
        <f aca="true">IF(G103="✅ DONE",TEXT(TODAY(),"DD/MM/YY"),"")</f>
        <v/>
      </c>
    </row>
    <row r="104" customFormat="false" ht="15" hidden="false" customHeight="true" outlineLevel="0" collapsed="false">
      <c r="A104" s="14" t="str">
        <f aca="true">IF(AND(Database!A104&lt;&gt;"",OR(Database!G104&lt;=TODAY(),Database!E104="")),104,"")</f>
        <v/>
      </c>
      <c r="B104" s="15" t="str">
        <f aca="false">IF(A104="","",Database!A104&amp;" - "&amp;Database!B104)</f>
        <v/>
      </c>
      <c r="C104" s="16" t="str">
        <f aca="false">IF(A104="","","Level "&amp;Database!D104)</f>
        <v/>
      </c>
      <c r="D104" s="16" t="str">
        <f aca="false">IF(A104="","",IF(Database!E104="","Never",TEXT(Database!E104,"DD/MM/YY")))</f>
        <v/>
      </c>
      <c r="E104" s="16" t="str">
        <f aca="true">IF(A104="","",IF(Database!G104="","START NOW!",IF(Database!G104&lt;TODAY(),"OVERDUE "&amp;ABS(Database!G104-TODAY())&amp;"d","Today")))</f>
        <v/>
      </c>
      <c r="H104" s="17" t="str">
        <f aca="false">IF(G104="✅ DONE",
        IF(F104="😊 Easy",MIN(Database!D104+2,7),
        IF(F104="👍 Good",MIN(Database!D104+1,7),
        IF(F104="😐 Hard",Database!D104,
        IF(F104="🔴 Again",MAX(Database!D104-1,0),
        "")))),
    "")</f>
        <v/>
      </c>
      <c r="I104" s="17" t="str">
        <f aca="true">IF(G104="✅ DONE",TEXT(TODAY(),"DD/MM/YY"),"")</f>
        <v/>
      </c>
    </row>
    <row r="106" customFormat="false" ht="34.5" hidden="false" customHeight="true" outlineLevel="0" collapsed="false">
      <c r="A106" s="18" t="s">
        <v>74</v>
      </c>
      <c r="B106" s="18"/>
      <c r="C106" s="18"/>
      <c r="D106" s="18"/>
      <c r="E106" s="18"/>
      <c r="F106" s="18"/>
      <c r="G106" s="18"/>
      <c r="H106" s="18"/>
      <c r="I106" s="18"/>
    </row>
    <row r="107" customFormat="false" ht="30" hidden="false" customHeight="true" outlineLevel="0" collapsed="false">
      <c r="A107" s="19" t="s">
        <v>75</v>
      </c>
      <c r="B107" s="19"/>
      <c r="C107" s="19"/>
      <c r="D107" s="19"/>
      <c r="E107" s="19"/>
      <c r="F107" s="19"/>
      <c r="G107" s="19"/>
      <c r="H107" s="19"/>
      <c r="I107" s="19"/>
    </row>
  </sheetData>
  <mergeCells count="4">
    <mergeCell ref="A1:I1"/>
    <mergeCell ref="A3:I3"/>
    <mergeCell ref="A106:I106"/>
    <mergeCell ref="A107:I107"/>
  </mergeCells>
  <conditionalFormatting sqref="A5:A104">
    <cfRule type="expression" priority="2" aboveAverage="0" equalAverage="0" bottom="0" percent="0" rank="0" text="" dxfId="0">
      <formula>$G5="✅ DONE"</formula>
    </cfRule>
    <cfRule type="expression" priority="3" aboveAverage="0" equalAverage="0" bottom="0" percent="0" rank="0" text="" dxfId="1">
      <formula>AND($A5&lt;&gt;"",LEFT($E5,7)="OVERDUE",$G5&lt;&gt;"✅ DONE")</formula>
    </cfRule>
  </conditionalFormatting>
  <conditionalFormatting sqref="B5:B104">
    <cfRule type="expression" priority="4" aboveAverage="0" equalAverage="0" bottom="0" percent="0" rank="0" text="" dxfId="0">
      <formula>$G5="✅ DONE"</formula>
    </cfRule>
    <cfRule type="expression" priority="5" aboveAverage="0" equalAverage="0" bottom="0" percent="0" rank="0" text="" dxfId="1">
      <formula>AND($A5&lt;&gt;"",LEFT($E5,7)="OVERDUE",$G5&lt;&gt;"✅ DONE")</formula>
    </cfRule>
  </conditionalFormatting>
  <conditionalFormatting sqref="C5:C104">
    <cfRule type="expression" priority="6" aboveAverage="0" equalAverage="0" bottom="0" percent="0" rank="0" text="" dxfId="0">
      <formula>$G5="✅ DONE"</formula>
    </cfRule>
    <cfRule type="expression" priority="7" aboveAverage="0" equalAverage="0" bottom="0" percent="0" rank="0" text="" dxfId="1">
      <formula>AND($A5&lt;&gt;"",LEFT($E5,7)="OVERDUE",$G5&lt;&gt;"✅ DONE")</formula>
    </cfRule>
  </conditionalFormatting>
  <conditionalFormatting sqref="D5:D104">
    <cfRule type="expression" priority="8" aboveAverage="0" equalAverage="0" bottom="0" percent="0" rank="0" text="" dxfId="0">
      <formula>$G5="✅ DONE"</formula>
    </cfRule>
    <cfRule type="expression" priority="9" aboveAverage="0" equalAverage="0" bottom="0" percent="0" rank="0" text="" dxfId="1">
      <formula>AND($A5&lt;&gt;"",LEFT($E5,7)="OVERDUE",$G5&lt;&gt;"✅ DONE")</formula>
    </cfRule>
  </conditionalFormatting>
  <conditionalFormatting sqref="E5:E104">
    <cfRule type="expression" priority="10" aboveAverage="0" equalAverage="0" bottom="0" percent="0" rank="0" text="" dxfId="0">
      <formula>$G5="✅ DONE"</formula>
    </cfRule>
    <cfRule type="expression" priority="11" aboveAverage="0" equalAverage="0" bottom="0" percent="0" rank="0" text="" dxfId="1">
      <formula>AND($A5&lt;&gt;"",LEFT($E5,7)="OVERDUE",$G5&lt;&gt;"✅ DONE")</formula>
    </cfRule>
  </conditionalFormatting>
  <conditionalFormatting sqref="F5:F104">
    <cfRule type="expression" priority="12" aboveAverage="0" equalAverage="0" bottom="0" percent="0" rank="0" text="" dxfId="0">
      <formula>$G5="✅ DONE"</formula>
    </cfRule>
    <cfRule type="expression" priority="13" aboveAverage="0" equalAverage="0" bottom="0" percent="0" rank="0" text="" dxfId="1">
      <formula>AND($A5&lt;&gt;"",LEFT($E5,7)="OVERDUE",$G5&lt;&gt;"✅ DONE")</formula>
    </cfRule>
  </conditionalFormatting>
  <conditionalFormatting sqref="G5:G104">
    <cfRule type="expression" priority="14" aboveAverage="0" equalAverage="0" bottom="0" percent="0" rank="0" text="" dxfId="0">
      <formula>$G5="✅ DONE"</formula>
    </cfRule>
    <cfRule type="expression" priority="15" aboveAverage="0" equalAverage="0" bottom="0" percent="0" rank="0" text="" dxfId="1">
      <formula>AND($A5&lt;&gt;"",LEFT($E5,7)="OVERDUE",$G5&lt;&gt;"✅ DONE")</formula>
    </cfRule>
  </conditionalFormatting>
  <conditionalFormatting sqref="H5:H104">
    <cfRule type="expression" priority="16" aboveAverage="0" equalAverage="0" bottom="0" percent="0" rank="0" text="" dxfId="0">
      <formula>$G5="✅ DONE"</formula>
    </cfRule>
    <cfRule type="expression" priority="17" aboveAverage="0" equalAverage="0" bottom="0" percent="0" rank="0" text="" dxfId="1">
      <formula>AND($A5&lt;&gt;"",LEFT($E5,7)="OVERDUE",$G5&lt;&gt;"✅ DONE")</formula>
    </cfRule>
  </conditionalFormatting>
  <conditionalFormatting sqref="I5:I104">
    <cfRule type="expression" priority="18" aboveAverage="0" equalAverage="0" bottom="0" percent="0" rank="0" text="" dxfId="0">
      <formula>$G5="✅ DONE"</formula>
    </cfRule>
    <cfRule type="expression" priority="19" aboveAverage="0" equalAverage="0" bottom="0" percent="0" rank="0" text="" dxfId="1">
      <formula>AND($A5&lt;&gt;"",LEFT($E5,7)="OVERDUE",$G5&lt;&gt;"✅ DONE")</formula>
    </cfRule>
  </conditionalFormatting>
  <dataValidations count="2">
    <dataValidation allowBlank="true" errorStyle="stop" operator="between" showDropDown="false" showErrorMessage="false" showInputMessage="false" sqref="F5:F104" type="list">
      <formula1>"—,😊 Easy,👍 Good,😐 Hard,🔴 Again"</formula1>
      <formula2>0</formula2>
    </dataValidation>
    <dataValidation allowBlank="true" errorStyle="stop" operator="between" showDropDown="false" showErrorMessage="false" showInputMessage="false" sqref="G5:G104" type="list">
      <formula1>"—,✅ 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5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3"/>
  </cols>
  <sheetData>
    <row r="1" customFormat="false" ht="24.75" hidden="false" customHeight="true" outlineLevel="0" collapsed="false">
      <c r="A1" s="20" t="s">
        <v>76</v>
      </c>
      <c r="B1" s="20"/>
      <c r="C1" s="20"/>
      <c r="D1" s="20"/>
      <c r="E1" s="20"/>
      <c r="F1" s="20"/>
      <c r="G1" s="20"/>
    </row>
    <row r="2" customFormat="false" ht="15" hidden="false" customHeight="true" outlineLevel="0" collapsed="false">
      <c r="A2" s="21" t="s">
        <v>77</v>
      </c>
      <c r="B2" s="21"/>
      <c r="C2" s="21"/>
      <c r="D2" s="21"/>
      <c r="E2" s="21"/>
      <c r="F2" s="21"/>
      <c r="G2" s="21"/>
    </row>
    <row r="3" customFormat="false" ht="15" hidden="false" customHeight="true" outlineLevel="0" collapsed="false">
      <c r="A3" s="22" t="s">
        <v>78</v>
      </c>
      <c r="B3" s="22" t="s">
        <v>66</v>
      </c>
      <c r="C3" s="22" t="s">
        <v>79</v>
      </c>
      <c r="D3" s="22" t="s">
        <v>30</v>
      </c>
      <c r="E3" s="22" t="s">
        <v>68</v>
      </c>
      <c r="F3" s="22" t="s">
        <v>80</v>
      </c>
      <c r="G3" s="22" t="s">
        <v>81</v>
      </c>
    </row>
    <row r="4" customFormat="false" ht="15" hidden="false" customHeight="true" outlineLevel="0" collapsed="false">
      <c r="A4" s="23" t="s">
        <v>82</v>
      </c>
      <c r="B4" s="23" t="s">
        <v>83</v>
      </c>
      <c r="C4" s="23" t="s">
        <v>84</v>
      </c>
      <c r="D4" s="1" t="n">
        <v>2</v>
      </c>
      <c r="E4" s="24" t="n">
        <v>46054</v>
      </c>
      <c r="F4" s="25" t="n">
        <f aca="false">IF(D4="","",
        ROUND(
            CHOOSE(MIN(D4+1,8),0,1,3,7,15,30,60,90) *
            IF(C4="Easy Topic",1.3,IF(C4="Hard Topic",0.7,1))
        ,0))</f>
        <v>3</v>
      </c>
      <c r="G4" s="24" t="n">
        <f aca="true">IF(E4="","",MAX(E4,TODAY())+F4)</f>
        <v>46066</v>
      </c>
    </row>
    <row r="5" customFormat="false" ht="15" hidden="false" customHeight="true" outlineLevel="0" collapsed="false">
      <c r="A5" s="23" t="s">
        <v>85</v>
      </c>
      <c r="B5" s="23" t="s">
        <v>86</v>
      </c>
      <c r="C5" s="23" t="s">
        <v>87</v>
      </c>
      <c r="D5" s="1" t="n">
        <v>0</v>
      </c>
      <c r="E5" s="24"/>
      <c r="F5" s="25" t="n">
        <f aca="false">IF(D5="","",
        ROUND(
            CHOOSE(MIN(D5+1,8),0,1,3,7,15,30,60,90) *
            IF(C5="Easy Topic",1.3,IF(C5="Hard Topic",0.7,1))
        ,0))</f>
        <v>0</v>
      </c>
      <c r="G5" s="24" t="str">
        <f aca="true">IF(E5="","",MAX(E5,TODAY())+F5)</f>
        <v/>
      </c>
    </row>
    <row r="6" customFormat="false" ht="15" hidden="false" customHeight="true" outlineLevel="0" collapsed="false">
      <c r="A6" s="23" t="s">
        <v>88</v>
      </c>
      <c r="B6" s="23" t="s">
        <v>89</v>
      </c>
      <c r="C6" s="23" t="s">
        <v>90</v>
      </c>
      <c r="D6" s="1" t="n">
        <v>1</v>
      </c>
      <c r="E6" s="24" t="n">
        <v>46062</v>
      </c>
      <c r="F6" s="25" t="n">
        <f aca="false">IF(D6="","",
        ROUND(
            CHOOSE(MIN(D6+1,8),0,1,3,7,15,30,60,90) *
            IF(C6="Easy Topic",1.3,IF(C6="Hard Topic",0.7,1))
        ,0))</f>
        <v>1</v>
      </c>
      <c r="G6" s="24" t="n">
        <f aca="true">IF(E6="","",MAX(E6,TODAY())+F6)</f>
        <v>46064</v>
      </c>
    </row>
    <row r="7" customFormat="false" ht="15" hidden="false" customHeight="true" outlineLevel="0" collapsed="false">
      <c r="A7" s="23" t="s">
        <v>91</v>
      </c>
      <c r="B7" s="23" t="s">
        <v>92</v>
      </c>
      <c r="C7" s="23" t="s">
        <v>84</v>
      </c>
      <c r="D7" s="1" t="n">
        <v>3</v>
      </c>
      <c r="E7" s="24" t="n">
        <v>46050</v>
      </c>
      <c r="F7" s="25" t="n">
        <f aca="false">IF(D7="","",
        ROUND(
            CHOOSE(MIN(D7+1,8),0,1,3,7,15,30,60,90) *
            IF(C7="Easy Topic",1.3,IF(C7="Hard Topic",0.7,1))
        ,0))</f>
        <v>7</v>
      </c>
      <c r="G7" s="24" t="n">
        <f aca="true">IF(E7="","",MAX(E7,TODAY())+F7)</f>
        <v>46070</v>
      </c>
    </row>
    <row r="8" customFormat="false" ht="15" hidden="false" customHeight="true" outlineLevel="0" collapsed="false">
      <c r="A8" s="23"/>
      <c r="B8" s="23"/>
      <c r="C8" s="23"/>
      <c r="E8" s="24"/>
      <c r="F8" s="25" t="str">
        <f aca="false">IF(D8="","",
        ROUND(
            CHOOSE(MIN(D8+1,8),0,1,3,7,15,30,60,90) *
            IF(C8="Easy Topic",1.3,IF(C8="Hard Topic",0.7,1))
        ,0))</f>
        <v/>
      </c>
      <c r="G8" s="24" t="str">
        <f aca="true">IF(E8="","",MAX(E8,TODAY())+F8)</f>
        <v/>
      </c>
    </row>
    <row r="9" customFormat="false" ht="15" hidden="false" customHeight="true" outlineLevel="0" collapsed="false">
      <c r="A9" s="23"/>
      <c r="B9" s="23"/>
      <c r="C9" s="23"/>
      <c r="E9" s="24"/>
      <c r="F9" s="25" t="str">
        <f aca="false">IF(D9="","",
        ROUND(
            CHOOSE(MIN(D9+1,8),0,1,3,7,15,30,60,90) *
            IF(C9="Easy Topic",1.3,IF(C9="Hard Topic",0.7,1))
        ,0))</f>
        <v/>
      </c>
      <c r="G9" s="24" t="str">
        <f aca="true">IF(E9="","",MAX(E9,TODAY())+F9)</f>
        <v/>
      </c>
    </row>
    <row r="10" customFormat="false" ht="15" hidden="false" customHeight="true" outlineLevel="0" collapsed="false">
      <c r="A10" s="23"/>
      <c r="B10" s="23"/>
      <c r="C10" s="23"/>
      <c r="E10" s="24"/>
      <c r="F10" s="25" t="str">
        <f aca="false">IF(D10="","",
        ROUND(
            CHOOSE(MIN(D10+1,8),0,1,3,7,15,30,60,90) *
            IF(C10="Easy Topic",1.3,IF(C10="Hard Topic",0.7,1))
        ,0))</f>
        <v/>
      </c>
      <c r="G10" s="24" t="str">
        <f aca="true">IF(E10="","",MAX(E10,TODAY())+F10)</f>
        <v/>
      </c>
    </row>
    <row r="11" customFormat="false" ht="15" hidden="false" customHeight="true" outlineLevel="0" collapsed="false">
      <c r="A11" s="23"/>
      <c r="B11" s="23"/>
      <c r="C11" s="23"/>
      <c r="E11" s="24"/>
      <c r="F11" s="25" t="str">
        <f aca="false">IF(D11="","",
        ROUND(
            CHOOSE(MIN(D11+1,8),0,1,3,7,15,30,60,90) *
            IF(C11="Easy Topic",1.3,IF(C11="Hard Topic",0.7,1))
        ,0))</f>
        <v/>
      </c>
      <c r="G11" s="24" t="str">
        <f aca="true">IF(E11="","",MAX(E11,TODAY())+F11)</f>
        <v/>
      </c>
    </row>
    <row r="12" customFormat="false" ht="15" hidden="false" customHeight="true" outlineLevel="0" collapsed="false">
      <c r="A12" s="23"/>
      <c r="B12" s="23"/>
      <c r="C12" s="23"/>
      <c r="E12" s="24"/>
      <c r="F12" s="25" t="str">
        <f aca="false">IF(D12="","",
        ROUND(
            CHOOSE(MIN(D12+1,8),0,1,3,7,15,30,60,90) *
            IF(C12="Easy Topic",1.3,IF(C12="Hard Topic",0.7,1))
        ,0))</f>
        <v/>
      </c>
      <c r="G12" s="24" t="str">
        <f aca="true">IF(E12="","",MAX(E12,TODAY())+F12)</f>
        <v/>
      </c>
    </row>
    <row r="13" customFormat="false" ht="15" hidden="false" customHeight="true" outlineLevel="0" collapsed="false">
      <c r="A13" s="23"/>
      <c r="B13" s="23"/>
      <c r="C13" s="23"/>
      <c r="E13" s="24"/>
      <c r="F13" s="25" t="str">
        <f aca="false">IF(D13="","",
        ROUND(
            CHOOSE(MIN(D13+1,8),0,1,3,7,15,30,60,90) *
            IF(C13="Easy Topic",1.3,IF(C13="Hard Topic",0.7,1))
        ,0))</f>
        <v/>
      </c>
      <c r="G13" s="24" t="str">
        <f aca="true">IF(E13="","",MAX(E13,TODAY())+F13)</f>
        <v/>
      </c>
    </row>
    <row r="14" customFormat="false" ht="15" hidden="false" customHeight="true" outlineLevel="0" collapsed="false">
      <c r="A14" s="23"/>
      <c r="B14" s="23"/>
      <c r="C14" s="23"/>
      <c r="E14" s="24"/>
      <c r="F14" s="25" t="str">
        <f aca="false">IF(D14="","",
        ROUND(
            CHOOSE(MIN(D14+1,8),0,1,3,7,15,30,60,90) *
            IF(C14="Easy Topic",1.3,IF(C14="Hard Topic",0.7,1))
        ,0))</f>
        <v/>
      </c>
      <c r="G14" s="24" t="str">
        <f aca="true">IF(E14="","",MAX(E14,TODAY())+F14)</f>
        <v/>
      </c>
    </row>
    <row r="15" customFormat="false" ht="15" hidden="false" customHeight="true" outlineLevel="0" collapsed="false">
      <c r="A15" s="23"/>
      <c r="B15" s="23"/>
      <c r="C15" s="23"/>
      <c r="E15" s="24"/>
      <c r="F15" s="25" t="str">
        <f aca="false">IF(D15="","",
        ROUND(
            CHOOSE(MIN(D15+1,8),0,1,3,7,15,30,60,90) *
            IF(C15="Easy Topic",1.3,IF(C15="Hard Topic",0.7,1))
        ,0))</f>
        <v/>
      </c>
      <c r="G15" s="24" t="str">
        <f aca="true">IF(E15="","",MAX(E15,TODAY())+F15)</f>
        <v/>
      </c>
    </row>
    <row r="16" customFormat="false" ht="15" hidden="false" customHeight="true" outlineLevel="0" collapsed="false">
      <c r="A16" s="23"/>
      <c r="B16" s="23"/>
      <c r="C16" s="23"/>
      <c r="E16" s="24"/>
      <c r="F16" s="25" t="str">
        <f aca="false">IF(D16="","",
        ROUND(
            CHOOSE(MIN(D16+1,8),0,1,3,7,15,30,60,90) *
            IF(C16="Easy Topic",1.3,IF(C16="Hard Topic",0.7,1))
        ,0))</f>
        <v/>
      </c>
      <c r="G16" s="24" t="str">
        <f aca="true">IF(E16="","",MAX(E16,TODAY())+F16)</f>
        <v/>
      </c>
    </row>
    <row r="17" customFormat="false" ht="15" hidden="false" customHeight="true" outlineLevel="0" collapsed="false">
      <c r="A17" s="23"/>
      <c r="B17" s="23"/>
      <c r="C17" s="23"/>
      <c r="E17" s="24"/>
      <c r="F17" s="25" t="str">
        <f aca="false">IF(D17="","",
        ROUND(
            CHOOSE(MIN(D17+1,8),0,1,3,7,15,30,60,90) *
            IF(C17="Easy Topic",1.3,IF(C17="Hard Topic",0.7,1))
        ,0))</f>
        <v/>
      </c>
      <c r="G17" s="24" t="str">
        <f aca="true">IF(E17="","",MAX(E17,TODAY())+F17)</f>
        <v/>
      </c>
    </row>
    <row r="18" customFormat="false" ht="15" hidden="false" customHeight="true" outlineLevel="0" collapsed="false">
      <c r="A18" s="23"/>
      <c r="B18" s="23"/>
      <c r="C18" s="23"/>
      <c r="E18" s="24"/>
      <c r="F18" s="25" t="str">
        <f aca="false">IF(D18="","",
        ROUND(
            CHOOSE(MIN(D18+1,8),0,1,3,7,15,30,60,90) *
            IF(C18="Easy Topic",1.3,IF(C18="Hard Topic",0.7,1))
        ,0))</f>
        <v/>
      </c>
      <c r="G18" s="24" t="str">
        <f aca="true">IF(E18="","",MAX(E18,TODAY())+F18)</f>
        <v/>
      </c>
    </row>
    <row r="19" customFormat="false" ht="15" hidden="false" customHeight="true" outlineLevel="0" collapsed="false">
      <c r="A19" s="23"/>
      <c r="B19" s="23"/>
      <c r="C19" s="23"/>
      <c r="E19" s="24"/>
      <c r="F19" s="25" t="str">
        <f aca="false">IF(D19="","",
        ROUND(
            CHOOSE(MIN(D19+1,8),0,1,3,7,15,30,60,90) *
            IF(C19="Easy Topic",1.3,IF(C19="Hard Topic",0.7,1))
        ,0))</f>
        <v/>
      </c>
      <c r="G19" s="24" t="str">
        <f aca="true">IF(E19="","",MAX(E19,TODAY())+F19)</f>
        <v/>
      </c>
    </row>
    <row r="20" customFormat="false" ht="15" hidden="false" customHeight="true" outlineLevel="0" collapsed="false">
      <c r="A20" s="23"/>
      <c r="B20" s="23"/>
      <c r="C20" s="23"/>
      <c r="E20" s="24"/>
      <c r="F20" s="25" t="str">
        <f aca="false">IF(D20="","",
        ROUND(
            CHOOSE(MIN(D20+1,8),0,1,3,7,15,30,60,90) *
            IF(C20="Easy Topic",1.3,IF(C20="Hard Topic",0.7,1))
        ,0))</f>
        <v/>
      </c>
      <c r="G20" s="24" t="str">
        <f aca="true">IF(E20="","",MAX(E20,TODAY())+F20)</f>
        <v/>
      </c>
    </row>
    <row r="21" customFormat="false" ht="15" hidden="false" customHeight="true" outlineLevel="0" collapsed="false">
      <c r="A21" s="23"/>
      <c r="B21" s="23"/>
      <c r="C21" s="23"/>
      <c r="E21" s="24"/>
      <c r="F21" s="25" t="str">
        <f aca="false">IF(D21="","",
        ROUND(
            CHOOSE(MIN(D21+1,8),0,1,3,7,15,30,60,90) *
            IF(C21="Easy Topic",1.3,IF(C21="Hard Topic",0.7,1))
        ,0))</f>
        <v/>
      </c>
      <c r="G21" s="24" t="str">
        <f aca="true">IF(E21="","",MAX(E21,TODAY())+F21)</f>
        <v/>
      </c>
    </row>
    <row r="22" customFormat="false" ht="15" hidden="false" customHeight="true" outlineLevel="0" collapsed="false">
      <c r="A22" s="23"/>
      <c r="B22" s="23"/>
      <c r="C22" s="23"/>
      <c r="E22" s="24"/>
      <c r="F22" s="25" t="str">
        <f aca="false">IF(D22="","",
        ROUND(
            CHOOSE(MIN(D22+1,8),0,1,3,7,15,30,60,90) *
            IF(C22="Easy Topic",1.3,IF(C22="Hard Topic",0.7,1))
        ,0))</f>
        <v/>
      </c>
      <c r="G22" s="24" t="str">
        <f aca="true">IF(E22="","",MAX(E22,TODAY())+F22)</f>
        <v/>
      </c>
    </row>
    <row r="23" customFormat="false" ht="15" hidden="false" customHeight="true" outlineLevel="0" collapsed="false">
      <c r="A23" s="23"/>
      <c r="B23" s="23"/>
      <c r="C23" s="23"/>
      <c r="E23" s="24"/>
      <c r="F23" s="25" t="str">
        <f aca="false">IF(D23="","",
        ROUND(
            CHOOSE(MIN(D23+1,8),0,1,3,7,15,30,60,90) *
            IF(C23="Easy Topic",1.3,IF(C23="Hard Topic",0.7,1))
        ,0))</f>
        <v/>
      </c>
      <c r="G23" s="24" t="str">
        <f aca="true">IF(E23="","",MAX(E23,TODAY())+F23)</f>
        <v/>
      </c>
    </row>
    <row r="24" customFormat="false" ht="15" hidden="false" customHeight="true" outlineLevel="0" collapsed="false">
      <c r="A24" s="23"/>
      <c r="B24" s="23"/>
      <c r="C24" s="23"/>
      <c r="E24" s="24"/>
      <c r="F24" s="25" t="str">
        <f aca="false">IF(D24="","",
        ROUND(
            CHOOSE(MIN(D24+1,8),0,1,3,7,15,30,60,90) *
            IF(C24="Easy Topic",1.3,IF(C24="Hard Topic",0.7,1))
        ,0))</f>
        <v/>
      </c>
      <c r="G24" s="24" t="str">
        <f aca="true">IF(E24="","",MAX(E24,TODAY())+F24)</f>
        <v/>
      </c>
    </row>
    <row r="25" customFormat="false" ht="15" hidden="false" customHeight="true" outlineLevel="0" collapsed="false">
      <c r="A25" s="23"/>
      <c r="B25" s="23"/>
      <c r="C25" s="23"/>
      <c r="E25" s="24"/>
      <c r="F25" s="25" t="str">
        <f aca="false">IF(D25="","",
        ROUND(
            CHOOSE(MIN(D25+1,8),0,1,3,7,15,30,60,90) *
            IF(C25="Easy Topic",1.3,IF(C25="Hard Topic",0.7,1))
        ,0))</f>
        <v/>
      </c>
      <c r="G25" s="24" t="str">
        <f aca="true">IF(E25="","",MAX(E25,TODAY())+F25)</f>
        <v/>
      </c>
    </row>
    <row r="26" customFormat="false" ht="15" hidden="false" customHeight="true" outlineLevel="0" collapsed="false">
      <c r="A26" s="23"/>
      <c r="B26" s="23"/>
      <c r="C26" s="23"/>
      <c r="E26" s="24"/>
      <c r="F26" s="25" t="str">
        <f aca="false">IF(D26="","",
        ROUND(
            CHOOSE(MIN(D26+1,8),0,1,3,7,15,30,60,90) *
            IF(C26="Easy Topic",1.3,IF(C26="Hard Topic",0.7,1))
        ,0))</f>
        <v/>
      </c>
      <c r="G26" s="24" t="str">
        <f aca="true">IF(E26="","",MAX(E26,TODAY())+F26)</f>
        <v/>
      </c>
    </row>
    <row r="27" customFormat="false" ht="15" hidden="false" customHeight="true" outlineLevel="0" collapsed="false">
      <c r="A27" s="23"/>
      <c r="B27" s="23"/>
      <c r="C27" s="23"/>
      <c r="E27" s="24"/>
      <c r="F27" s="25" t="str">
        <f aca="false">IF(D27="","",
        ROUND(
            CHOOSE(MIN(D27+1,8),0,1,3,7,15,30,60,90) *
            IF(C27="Easy Topic",1.3,IF(C27="Hard Topic",0.7,1))
        ,0))</f>
        <v/>
      </c>
      <c r="G27" s="24" t="str">
        <f aca="true">IF(E27="","",MAX(E27,TODAY())+F27)</f>
        <v/>
      </c>
    </row>
    <row r="28" customFormat="false" ht="15" hidden="false" customHeight="true" outlineLevel="0" collapsed="false">
      <c r="A28" s="23"/>
      <c r="B28" s="23"/>
      <c r="C28" s="23"/>
      <c r="E28" s="24"/>
      <c r="F28" s="25" t="str">
        <f aca="false">IF(D28="","",
        ROUND(
            CHOOSE(MIN(D28+1,8),0,1,3,7,15,30,60,90) *
            IF(C28="Easy Topic",1.3,IF(C28="Hard Topic",0.7,1))
        ,0))</f>
        <v/>
      </c>
      <c r="G28" s="24" t="str">
        <f aca="true">IF(E28="","",MAX(E28,TODAY())+F28)</f>
        <v/>
      </c>
    </row>
    <row r="29" customFormat="false" ht="15" hidden="false" customHeight="true" outlineLevel="0" collapsed="false">
      <c r="A29" s="23"/>
      <c r="B29" s="23"/>
      <c r="C29" s="23"/>
      <c r="E29" s="24"/>
      <c r="F29" s="25" t="str">
        <f aca="false">IF(D29="","",
        ROUND(
            CHOOSE(MIN(D29+1,8),0,1,3,7,15,30,60,90) *
            IF(C29="Easy Topic",1.3,IF(C29="Hard Topic",0.7,1))
        ,0))</f>
        <v/>
      </c>
      <c r="G29" s="24" t="str">
        <f aca="true">IF(E29="","",MAX(E29,TODAY())+F29)</f>
        <v/>
      </c>
    </row>
    <row r="30" customFormat="false" ht="15" hidden="false" customHeight="true" outlineLevel="0" collapsed="false">
      <c r="A30" s="23"/>
      <c r="B30" s="23"/>
      <c r="C30" s="23"/>
      <c r="E30" s="24"/>
      <c r="F30" s="25" t="str">
        <f aca="false">IF(D30="","",
        ROUND(
            CHOOSE(MIN(D30+1,8),0,1,3,7,15,30,60,90) *
            IF(C30="Easy Topic",1.3,IF(C30="Hard Topic",0.7,1))
        ,0))</f>
        <v/>
      </c>
      <c r="G30" s="24" t="str">
        <f aca="true">IF(E30="","",MAX(E30,TODAY())+F30)</f>
        <v/>
      </c>
    </row>
    <row r="31" customFormat="false" ht="15" hidden="false" customHeight="true" outlineLevel="0" collapsed="false">
      <c r="A31" s="23"/>
      <c r="B31" s="23"/>
      <c r="C31" s="23"/>
      <c r="E31" s="24"/>
      <c r="F31" s="25" t="str">
        <f aca="false">IF(D31="","",
        ROUND(
            CHOOSE(MIN(D31+1,8),0,1,3,7,15,30,60,90) *
            IF(C31="Easy Topic",1.3,IF(C31="Hard Topic",0.7,1))
        ,0))</f>
        <v/>
      </c>
      <c r="G31" s="24" t="str">
        <f aca="true">IF(E31="","",MAX(E31,TODAY())+F31)</f>
        <v/>
      </c>
    </row>
    <row r="32" customFormat="false" ht="15" hidden="false" customHeight="true" outlineLevel="0" collapsed="false">
      <c r="A32" s="23"/>
      <c r="B32" s="23"/>
      <c r="C32" s="23"/>
      <c r="E32" s="24"/>
      <c r="F32" s="25" t="str">
        <f aca="false">IF(D32="","",
        ROUND(
            CHOOSE(MIN(D32+1,8),0,1,3,7,15,30,60,90) *
            IF(C32="Easy Topic",1.3,IF(C32="Hard Topic",0.7,1))
        ,0))</f>
        <v/>
      </c>
      <c r="G32" s="24" t="str">
        <f aca="true">IF(E32="","",MAX(E32,TODAY())+F32)</f>
        <v/>
      </c>
    </row>
    <row r="33" customFormat="false" ht="15" hidden="false" customHeight="true" outlineLevel="0" collapsed="false">
      <c r="A33" s="23"/>
      <c r="B33" s="23"/>
      <c r="C33" s="23"/>
      <c r="E33" s="24"/>
      <c r="F33" s="25" t="str">
        <f aca="false">IF(D33="","",
        ROUND(
            CHOOSE(MIN(D33+1,8),0,1,3,7,15,30,60,90) *
            IF(C33="Easy Topic",1.3,IF(C33="Hard Topic",0.7,1))
        ,0))</f>
        <v/>
      </c>
      <c r="G33" s="24" t="str">
        <f aca="true">IF(E33="","",MAX(E33,TODAY())+F33)</f>
        <v/>
      </c>
    </row>
    <row r="34" customFormat="false" ht="15" hidden="false" customHeight="true" outlineLevel="0" collapsed="false">
      <c r="A34" s="23"/>
      <c r="B34" s="23"/>
      <c r="C34" s="23"/>
      <c r="E34" s="24"/>
      <c r="F34" s="25" t="str">
        <f aca="false">IF(D34="","",
        ROUND(
            CHOOSE(MIN(D34+1,8),0,1,3,7,15,30,60,90) *
            IF(C34="Easy Topic",1.3,IF(C34="Hard Topic",0.7,1))
        ,0))</f>
        <v/>
      </c>
      <c r="G34" s="24" t="str">
        <f aca="true">IF(E34="","",MAX(E34,TODAY())+F34)</f>
        <v/>
      </c>
    </row>
    <row r="35" customFormat="false" ht="15" hidden="false" customHeight="true" outlineLevel="0" collapsed="false">
      <c r="A35" s="23"/>
      <c r="B35" s="23"/>
      <c r="C35" s="23"/>
      <c r="E35" s="24"/>
      <c r="F35" s="25" t="str">
        <f aca="false">IF(D35="","",
        ROUND(
            CHOOSE(MIN(D35+1,8),0,1,3,7,15,30,60,90) *
            IF(C35="Easy Topic",1.3,IF(C35="Hard Topic",0.7,1))
        ,0))</f>
        <v/>
      </c>
      <c r="G35" s="24" t="str">
        <f aca="true">IF(E35="","",MAX(E35,TODAY())+F35)</f>
        <v/>
      </c>
    </row>
    <row r="36" customFormat="false" ht="15" hidden="false" customHeight="true" outlineLevel="0" collapsed="false">
      <c r="A36" s="23"/>
      <c r="B36" s="23"/>
      <c r="C36" s="23"/>
      <c r="E36" s="24"/>
      <c r="F36" s="25" t="str">
        <f aca="false">IF(D36="","",
        ROUND(
            CHOOSE(MIN(D36+1,8),0,1,3,7,15,30,60,90) *
            IF(C36="Easy Topic",1.3,IF(C36="Hard Topic",0.7,1))
        ,0))</f>
        <v/>
      </c>
      <c r="G36" s="24" t="str">
        <f aca="true">IF(E36="","",MAX(E36,TODAY())+F36)</f>
        <v/>
      </c>
    </row>
    <row r="37" customFormat="false" ht="15" hidden="false" customHeight="true" outlineLevel="0" collapsed="false">
      <c r="A37" s="23"/>
      <c r="B37" s="23"/>
      <c r="C37" s="23"/>
      <c r="E37" s="24"/>
      <c r="F37" s="25" t="str">
        <f aca="false">IF(D37="","",
        ROUND(
            CHOOSE(MIN(D37+1,8),0,1,3,7,15,30,60,90) *
            IF(C37="Easy Topic",1.3,IF(C37="Hard Topic",0.7,1))
        ,0))</f>
        <v/>
      </c>
      <c r="G37" s="24" t="str">
        <f aca="true">IF(E37="","",MAX(E37,TODAY())+F37)</f>
        <v/>
      </c>
    </row>
    <row r="38" customFormat="false" ht="15" hidden="false" customHeight="true" outlineLevel="0" collapsed="false">
      <c r="A38" s="23"/>
      <c r="B38" s="23"/>
      <c r="C38" s="23"/>
      <c r="E38" s="24"/>
      <c r="F38" s="25" t="str">
        <f aca="false">IF(D38="","",
        ROUND(
            CHOOSE(MIN(D38+1,8),0,1,3,7,15,30,60,90) *
            IF(C38="Easy Topic",1.3,IF(C38="Hard Topic",0.7,1))
        ,0))</f>
        <v/>
      </c>
      <c r="G38" s="24" t="str">
        <f aca="true">IF(E38="","",MAX(E38,TODAY())+F38)</f>
        <v/>
      </c>
    </row>
    <row r="39" customFormat="false" ht="15" hidden="false" customHeight="true" outlineLevel="0" collapsed="false">
      <c r="A39" s="23"/>
      <c r="B39" s="23"/>
      <c r="C39" s="23"/>
      <c r="E39" s="24"/>
      <c r="F39" s="25" t="str">
        <f aca="false">IF(D39="","",
        ROUND(
            CHOOSE(MIN(D39+1,8),0,1,3,7,15,30,60,90) *
            IF(C39="Easy Topic",1.3,IF(C39="Hard Topic",0.7,1))
        ,0))</f>
        <v/>
      </c>
      <c r="G39" s="24" t="str">
        <f aca="true">IF(E39="","",MAX(E39,TODAY())+F39)</f>
        <v/>
      </c>
    </row>
    <row r="40" customFormat="false" ht="15" hidden="false" customHeight="true" outlineLevel="0" collapsed="false">
      <c r="A40" s="23"/>
      <c r="B40" s="23"/>
      <c r="C40" s="23"/>
      <c r="E40" s="24"/>
      <c r="F40" s="25" t="str">
        <f aca="false">IF(D40="","",
        ROUND(
            CHOOSE(MIN(D40+1,8),0,1,3,7,15,30,60,90) *
            IF(C40="Easy Topic",1.3,IF(C40="Hard Topic",0.7,1))
        ,0))</f>
        <v/>
      </c>
      <c r="G40" s="24" t="str">
        <f aca="true">IF(E40="","",MAX(E40,TODAY())+F40)</f>
        <v/>
      </c>
    </row>
    <row r="41" customFormat="false" ht="15" hidden="false" customHeight="true" outlineLevel="0" collapsed="false">
      <c r="A41" s="23"/>
      <c r="B41" s="23"/>
      <c r="C41" s="23"/>
      <c r="E41" s="24"/>
      <c r="F41" s="25" t="str">
        <f aca="false">IF(D41="","",
        ROUND(
            CHOOSE(MIN(D41+1,8),0,1,3,7,15,30,60,90) *
            IF(C41="Easy Topic",1.3,IF(C41="Hard Topic",0.7,1))
        ,0))</f>
        <v/>
      </c>
      <c r="G41" s="24" t="str">
        <f aca="true">IF(E41="","",MAX(E41,TODAY())+F41)</f>
        <v/>
      </c>
    </row>
    <row r="42" customFormat="false" ht="15" hidden="false" customHeight="true" outlineLevel="0" collapsed="false">
      <c r="A42" s="23"/>
      <c r="B42" s="23"/>
      <c r="C42" s="23"/>
      <c r="E42" s="24"/>
      <c r="F42" s="25" t="str">
        <f aca="false">IF(D42="","",
        ROUND(
            CHOOSE(MIN(D42+1,8),0,1,3,7,15,30,60,90) *
            IF(C42="Easy Topic",1.3,IF(C42="Hard Topic",0.7,1))
        ,0))</f>
        <v/>
      </c>
      <c r="G42" s="24" t="str">
        <f aca="true">IF(E42="","",MAX(E42,TODAY())+F42)</f>
        <v/>
      </c>
    </row>
    <row r="43" customFormat="false" ht="15" hidden="false" customHeight="true" outlineLevel="0" collapsed="false">
      <c r="A43" s="23"/>
      <c r="B43" s="23"/>
      <c r="C43" s="23"/>
      <c r="E43" s="24"/>
      <c r="F43" s="25" t="str">
        <f aca="false">IF(D43="","",
        ROUND(
            CHOOSE(MIN(D43+1,8),0,1,3,7,15,30,60,90) *
            IF(C43="Easy Topic",1.3,IF(C43="Hard Topic",0.7,1))
        ,0))</f>
        <v/>
      </c>
      <c r="G43" s="24" t="str">
        <f aca="true">IF(E43="","",MAX(E43,TODAY())+F43)</f>
        <v/>
      </c>
    </row>
    <row r="44" customFormat="false" ht="15" hidden="false" customHeight="true" outlineLevel="0" collapsed="false">
      <c r="A44" s="23"/>
      <c r="B44" s="23"/>
      <c r="C44" s="23"/>
      <c r="E44" s="24"/>
      <c r="F44" s="25" t="str">
        <f aca="false">IF(D44="","",
        ROUND(
            CHOOSE(MIN(D44+1,8),0,1,3,7,15,30,60,90) *
            IF(C44="Easy Topic",1.3,IF(C44="Hard Topic",0.7,1))
        ,0))</f>
        <v/>
      </c>
      <c r="G44" s="24" t="str">
        <f aca="true">IF(E44="","",MAX(E44,TODAY())+F44)</f>
        <v/>
      </c>
    </row>
    <row r="45" customFormat="false" ht="15" hidden="false" customHeight="true" outlineLevel="0" collapsed="false">
      <c r="A45" s="23"/>
      <c r="B45" s="23"/>
      <c r="C45" s="23"/>
      <c r="E45" s="24"/>
      <c r="F45" s="25" t="str">
        <f aca="false">IF(D45="","",
        ROUND(
            CHOOSE(MIN(D45+1,8),0,1,3,7,15,30,60,90) *
            IF(C45="Easy Topic",1.3,IF(C45="Hard Topic",0.7,1))
        ,0))</f>
        <v/>
      </c>
      <c r="G45" s="24" t="str">
        <f aca="true">IF(E45="","",MAX(E45,TODAY())+F45)</f>
        <v/>
      </c>
    </row>
    <row r="46" customFormat="false" ht="15" hidden="false" customHeight="true" outlineLevel="0" collapsed="false">
      <c r="A46" s="23"/>
      <c r="B46" s="23"/>
      <c r="C46" s="23"/>
      <c r="E46" s="24"/>
      <c r="F46" s="25" t="str">
        <f aca="false">IF(D46="","",
        ROUND(
            CHOOSE(MIN(D46+1,8),0,1,3,7,15,30,60,90) *
            IF(C46="Easy Topic",1.3,IF(C46="Hard Topic",0.7,1))
        ,0))</f>
        <v/>
      </c>
      <c r="G46" s="24" t="str">
        <f aca="true">IF(E46="","",MAX(E46,TODAY())+F46)</f>
        <v/>
      </c>
    </row>
    <row r="47" customFormat="false" ht="15" hidden="false" customHeight="true" outlineLevel="0" collapsed="false">
      <c r="A47" s="23"/>
      <c r="B47" s="23"/>
      <c r="C47" s="23"/>
      <c r="E47" s="24"/>
      <c r="F47" s="25" t="str">
        <f aca="false">IF(D47="","",
        ROUND(
            CHOOSE(MIN(D47+1,8),0,1,3,7,15,30,60,90) *
            IF(C47="Easy Topic",1.3,IF(C47="Hard Topic",0.7,1))
        ,0))</f>
        <v/>
      </c>
      <c r="G47" s="24" t="str">
        <f aca="true">IF(E47="","",MAX(E47,TODAY())+F47)</f>
        <v/>
      </c>
    </row>
    <row r="48" customFormat="false" ht="15" hidden="false" customHeight="true" outlineLevel="0" collapsed="false">
      <c r="A48" s="23"/>
      <c r="B48" s="23"/>
      <c r="C48" s="23"/>
      <c r="E48" s="24"/>
      <c r="F48" s="25" t="str">
        <f aca="false">IF(D48="","",
        ROUND(
            CHOOSE(MIN(D48+1,8),0,1,3,7,15,30,60,90) *
            IF(C48="Easy Topic",1.3,IF(C48="Hard Topic",0.7,1))
        ,0))</f>
        <v/>
      </c>
      <c r="G48" s="24" t="str">
        <f aca="true">IF(E48="","",MAX(E48,TODAY())+F48)</f>
        <v/>
      </c>
    </row>
    <row r="49" customFormat="false" ht="15" hidden="false" customHeight="true" outlineLevel="0" collapsed="false">
      <c r="A49" s="23"/>
      <c r="B49" s="23"/>
      <c r="C49" s="23"/>
      <c r="E49" s="24"/>
      <c r="F49" s="25" t="str">
        <f aca="false">IF(D49="","",
        ROUND(
            CHOOSE(MIN(D49+1,8),0,1,3,7,15,30,60,90) *
            IF(C49="Easy Topic",1.3,IF(C49="Hard Topic",0.7,1))
        ,0))</f>
        <v/>
      </c>
      <c r="G49" s="24" t="str">
        <f aca="true">IF(E49="","",MAX(E49,TODAY())+F49)</f>
        <v/>
      </c>
    </row>
    <row r="50" customFormat="false" ht="15" hidden="false" customHeight="true" outlineLevel="0" collapsed="false">
      <c r="A50" s="23"/>
      <c r="B50" s="23"/>
      <c r="C50" s="23"/>
      <c r="E50" s="24"/>
      <c r="F50" s="25" t="str">
        <f aca="false">IF(D50="","",
        ROUND(
            CHOOSE(MIN(D50+1,8),0,1,3,7,15,30,60,90) *
            IF(C50="Easy Topic",1.3,IF(C50="Hard Topic",0.7,1))
        ,0))</f>
        <v/>
      </c>
      <c r="G50" s="24" t="str">
        <f aca="true">IF(E50="","",MAX(E50,TODAY())+F50)</f>
        <v/>
      </c>
    </row>
    <row r="51" customFormat="false" ht="15" hidden="false" customHeight="true" outlineLevel="0" collapsed="false">
      <c r="A51" s="23"/>
      <c r="B51" s="23"/>
      <c r="C51" s="23"/>
      <c r="E51" s="24"/>
      <c r="F51" s="25" t="str">
        <f aca="false">IF(D51="","",
        ROUND(
            CHOOSE(MIN(D51+1,8),0,1,3,7,15,30,60,90) *
            IF(C51="Easy Topic",1.3,IF(C51="Hard Topic",0.7,1))
        ,0))</f>
        <v/>
      </c>
      <c r="G51" s="24" t="str">
        <f aca="true">IF(E51="","",MAX(E51,TODAY())+F51)</f>
        <v/>
      </c>
    </row>
    <row r="52" customFormat="false" ht="15" hidden="false" customHeight="true" outlineLevel="0" collapsed="false">
      <c r="A52" s="23"/>
      <c r="B52" s="23"/>
      <c r="C52" s="23"/>
      <c r="E52" s="24"/>
      <c r="F52" s="25" t="str">
        <f aca="false">IF(D52="","",
        ROUND(
            CHOOSE(MIN(D52+1,8),0,1,3,7,15,30,60,90) *
            IF(C52="Easy Topic",1.3,IF(C52="Hard Topic",0.7,1))
        ,0))</f>
        <v/>
      </c>
      <c r="G52" s="24" t="str">
        <f aca="true">IF(E52="","",MAX(E52,TODAY())+F52)</f>
        <v/>
      </c>
    </row>
    <row r="53" customFormat="false" ht="15" hidden="false" customHeight="true" outlineLevel="0" collapsed="false">
      <c r="A53" s="23"/>
      <c r="B53" s="23"/>
      <c r="C53" s="23"/>
      <c r="E53" s="24"/>
      <c r="F53" s="25" t="str">
        <f aca="false">IF(D53="","",
        ROUND(
            CHOOSE(MIN(D53+1,8),0,1,3,7,15,30,60,90) *
            IF(C53="Easy Topic",1.3,IF(C53="Hard Topic",0.7,1))
        ,0))</f>
        <v/>
      </c>
      <c r="G53" s="24" t="str">
        <f aca="true">IF(E53="","",MAX(E53,TODAY())+F53)</f>
        <v/>
      </c>
    </row>
    <row r="54" customFormat="false" ht="15" hidden="false" customHeight="true" outlineLevel="0" collapsed="false">
      <c r="A54" s="23"/>
      <c r="B54" s="23"/>
      <c r="C54" s="23"/>
      <c r="E54" s="24"/>
      <c r="F54" s="25" t="str">
        <f aca="false">IF(D54="","",
        ROUND(
            CHOOSE(MIN(D54+1,8),0,1,3,7,15,30,60,90) *
            IF(C54="Easy Topic",1.3,IF(C54="Hard Topic",0.7,1))
        ,0))</f>
        <v/>
      </c>
      <c r="G54" s="24" t="str">
        <f aca="true">IF(E54="","",MAX(E54,TODAY())+F54)</f>
        <v/>
      </c>
    </row>
    <row r="55" customFormat="false" ht="15" hidden="false" customHeight="true" outlineLevel="0" collapsed="false">
      <c r="A55" s="23"/>
      <c r="B55" s="23"/>
      <c r="C55" s="23"/>
      <c r="E55" s="24"/>
      <c r="F55" s="25" t="str">
        <f aca="false">IF(D55="","",
        ROUND(
            CHOOSE(MIN(D55+1,8),0,1,3,7,15,30,60,90) *
            IF(C55="Easy Topic",1.3,IF(C55="Hard Topic",0.7,1))
        ,0))</f>
        <v/>
      </c>
      <c r="G55" s="24" t="str">
        <f aca="true">IF(E55="","",MAX(E55,TODAY())+F55)</f>
        <v/>
      </c>
    </row>
    <row r="56" customFormat="false" ht="15" hidden="false" customHeight="true" outlineLevel="0" collapsed="false">
      <c r="A56" s="23"/>
      <c r="B56" s="23"/>
      <c r="C56" s="23"/>
      <c r="E56" s="24"/>
      <c r="F56" s="25" t="str">
        <f aca="false">IF(D56="","",
        ROUND(
            CHOOSE(MIN(D56+1,8),0,1,3,7,15,30,60,90) *
            IF(C56="Easy Topic",1.3,IF(C56="Hard Topic",0.7,1))
        ,0))</f>
        <v/>
      </c>
      <c r="G56" s="24" t="str">
        <f aca="true">IF(E56="","",MAX(E56,TODAY())+F56)</f>
        <v/>
      </c>
    </row>
    <row r="57" customFormat="false" ht="15" hidden="false" customHeight="true" outlineLevel="0" collapsed="false">
      <c r="A57" s="23"/>
      <c r="B57" s="23"/>
      <c r="C57" s="23"/>
      <c r="E57" s="24"/>
      <c r="F57" s="25" t="str">
        <f aca="false">IF(D57="","",
        ROUND(
            CHOOSE(MIN(D57+1,8),0,1,3,7,15,30,60,90) *
            IF(C57="Easy Topic",1.3,IF(C57="Hard Topic",0.7,1))
        ,0))</f>
        <v/>
      </c>
      <c r="G57" s="24" t="str">
        <f aca="true">IF(E57="","",MAX(E57,TODAY())+F57)</f>
        <v/>
      </c>
    </row>
    <row r="58" customFormat="false" ht="15" hidden="false" customHeight="true" outlineLevel="0" collapsed="false">
      <c r="A58" s="23"/>
      <c r="B58" s="23"/>
      <c r="C58" s="23"/>
      <c r="E58" s="24"/>
      <c r="F58" s="25" t="str">
        <f aca="false">IF(D58="","",
        ROUND(
            CHOOSE(MIN(D58+1,8),0,1,3,7,15,30,60,90) *
            IF(C58="Easy Topic",1.3,IF(C58="Hard Topic",0.7,1))
        ,0))</f>
        <v/>
      </c>
      <c r="G58" s="24" t="str">
        <f aca="true">IF(E58="","",MAX(E58,TODAY())+F58)</f>
        <v/>
      </c>
    </row>
    <row r="59" customFormat="false" ht="15" hidden="false" customHeight="true" outlineLevel="0" collapsed="false">
      <c r="A59" s="23"/>
      <c r="B59" s="23"/>
      <c r="C59" s="23"/>
      <c r="E59" s="24"/>
      <c r="F59" s="25" t="str">
        <f aca="false">IF(D59="","",
        ROUND(
            CHOOSE(MIN(D59+1,8),0,1,3,7,15,30,60,90) *
            IF(C59="Easy Topic",1.3,IF(C59="Hard Topic",0.7,1))
        ,0))</f>
        <v/>
      </c>
      <c r="G59" s="24" t="str">
        <f aca="true">IF(E59="","",MAX(E59,TODAY())+F59)</f>
        <v/>
      </c>
    </row>
    <row r="60" customFormat="false" ht="15" hidden="false" customHeight="true" outlineLevel="0" collapsed="false">
      <c r="A60" s="23"/>
      <c r="B60" s="23"/>
      <c r="C60" s="23"/>
      <c r="E60" s="24"/>
      <c r="F60" s="25" t="str">
        <f aca="false">IF(D60="","",
        ROUND(
            CHOOSE(MIN(D60+1,8),0,1,3,7,15,30,60,90) *
            IF(C60="Easy Topic",1.3,IF(C60="Hard Topic",0.7,1))
        ,0))</f>
        <v/>
      </c>
      <c r="G60" s="24" t="str">
        <f aca="true">IF(E60="","",MAX(E60,TODAY())+F60)</f>
        <v/>
      </c>
    </row>
    <row r="61" customFormat="false" ht="15" hidden="false" customHeight="true" outlineLevel="0" collapsed="false">
      <c r="A61" s="23"/>
      <c r="B61" s="23"/>
      <c r="C61" s="23"/>
      <c r="E61" s="24"/>
      <c r="F61" s="25" t="str">
        <f aca="false">IF(D61="","",
        ROUND(
            CHOOSE(MIN(D61+1,8),0,1,3,7,15,30,60,90) *
            IF(C61="Easy Topic",1.3,IF(C61="Hard Topic",0.7,1))
        ,0))</f>
        <v/>
      </c>
      <c r="G61" s="24" t="str">
        <f aca="true">IF(E61="","",MAX(E61,TODAY())+F61)</f>
        <v/>
      </c>
    </row>
    <row r="62" customFormat="false" ht="15" hidden="false" customHeight="true" outlineLevel="0" collapsed="false">
      <c r="A62" s="23"/>
      <c r="B62" s="23"/>
      <c r="C62" s="23"/>
      <c r="E62" s="24"/>
      <c r="F62" s="25" t="str">
        <f aca="false">IF(D62="","",
        ROUND(
            CHOOSE(MIN(D62+1,8),0,1,3,7,15,30,60,90) *
            IF(C62="Easy Topic",1.3,IF(C62="Hard Topic",0.7,1))
        ,0))</f>
        <v/>
      </c>
      <c r="G62" s="24" t="str">
        <f aca="true">IF(E62="","",MAX(E62,TODAY())+F62)</f>
        <v/>
      </c>
    </row>
    <row r="63" customFormat="false" ht="15" hidden="false" customHeight="true" outlineLevel="0" collapsed="false">
      <c r="A63" s="23"/>
      <c r="B63" s="23"/>
      <c r="C63" s="23"/>
      <c r="E63" s="24"/>
      <c r="F63" s="25" t="str">
        <f aca="false">IF(D63="","",
        ROUND(
            CHOOSE(MIN(D63+1,8),0,1,3,7,15,30,60,90) *
            IF(C63="Easy Topic",1.3,IF(C63="Hard Topic",0.7,1))
        ,0))</f>
        <v/>
      </c>
      <c r="G63" s="24" t="str">
        <f aca="true">IF(E63="","",MAX(E63,TODAY())+F63)</f>
        <v/>
      </c>
    </row>
    <row r="64" customFormat="false" ht="15" hidden="false" customHeight="true" outlineLevel="0" collapsed="false">
      <c r="A64" s="23"/>
      <c r="B64" s="23"/>
      <c r="C64" s="23"/>
      <c r="E64" s="24"/>
      <c r="F64" s="25" t="str">
        <f aca="false">IF(D64="","",
        ROUND(
            CHOOSE(MIN(D64+1,8),0,1,3,7,15,30,60,90) *
            IF(C64="Easy Topic",1.3,IF(C64="Hard Topic",0.7,1))
        ,0))</f>
        <v/>
      </c>
      <c r="G64" s="24" t="str">
        <f aca="true">IF(E64="","",MAX(E64,TODAY())+F64)</f>
        <v/>
      </c>
    </row>
    <row r="65" customFormat="false" ht="15" hidden="false" customHeight="true" outlineLevel="0" collapsed="false">
      <c r="A65" s="23"/>
      <c r="B65" s="23"/>
      <c r="C65" s="23"/>
      <c r="E65" s="24"/>
      <c r="F65" s="25" t="str">
        <f aca="false">IF(D65="","",
        ROUND(
            CHOOSE(MIN(D65+1,8),0,1,3,7,15,30,60,90) *
            IF(C65="Easy Topic",1.3,IF(C65="Hard Topic",0.7,1))
        ,0))</f>
        <v/>
      </c>
      <c r="G65" s="24" t="str">
        <f aca="true">IF(E65="","",MAX(E65,TODAY())+F65)</f>
        <v/>
      </c>
    </row>
    <row r="66" customFormat="false" ht="15" hidden="false" customHeight="true" outlineLevel="0" collapsed="false">
      <c r="A66" s="23"/>
      <c r="B66" s="23"/>
      <c r="C66" s="23"/>
      <c r="E66" s="24"/>
      <c r="F66" s="25" t="str">
        <f aca="false">IF(D66="","",
        ROUND(
            CHOOSE(MIN(D66+1,8),0,1,3,7,15,30,60,90) *
            IF(C66="Easy Topic",1.3,IF(C66="Hard Topic",0.7,1))
        ,0))</f>
        <v/>
      </c>
      <c r="G66" s="24" t="str">
        <f aca="true">IF(E66="","",MAX(E66,TODAY())+F66)</f>
        <v/>
      </c>
    </row>
    <row r="67" customFormat="false" ht="15" hidden="false" customHeight="true" outlineLevel="0" collapsed="false">
      <c r="A67" s="23"/>
      <c r="B67" s="23"/>
      <c r="C67" s="23"/>
      <c r="E67" s="24"/>
      <c r="F67" s="25" t="str">
        <f aca="false">IF(D67="","",
        ROUND(
            CHOOSE(MIN(D67+1,8),0,1,3,7,15,30,60,90) *
            IF(C67="Easy Topic",1.3,IF(C67="Hard Topic",0.7,1))
        ,0))</f>
        <v/>
      </c>
      <c r="G67" s="24" t="str">
        <f aca="true">IF(E67="","",MAX(E67,TODAY())+F67)</f>
        <v/>
      </c>
    </row>
    <row r="68" customFormat="false" ht="15" hidden="false" customHeight="true" outlineLevel="0" collapsed="false">
      <c r="A68" s="23"/>
      <c r="B68" s="23"/>
      <c r="C68" s="23"/>
      <c r="E68" s="24"/>
      <c r="F68" s="25" t="str">
        <f aca="false">IF(D68="","",
        ROUND(
            CHOOSE(MIN(D68+1,8),0,1,3,7,15,30,60,90) *
            IF(C68="Easy Topic",1.3,IF(C68="Hard Topic",0.7,1))
        ,0))</f>
        <v/>
      </c>
      <c r="G68" s="24" t="str">
        <f aca="true">IF(E68="","",MAX(E68,TODAY())+F68)</f>
        <v/>
      </c>
    </row>
    <row r="69" customFormat="false" ht="15" hidden="false" customHeight="true" outlineLevel="0" collapsed="false">
      <c r="A69" s="23"/>
      <c r="B69" s="23"/>
      <c r="C69" s="23"/>
      <c r="E69" s="24"/>
      <c r="F69" s="25" t="str">
        <f aca="false">IF(D69="","",
        ROUND(
            CHOOSE(MIN(D69+1,8),0,1,3,7,15,30,60,90) *
            IF(C69="Easy Topic",1.3,IF(C69="Hard Topic",0.7,1))
        ,0))</f>
        <v/>
      </c>
      <c r="G69" s="24" t="str">
        <f aca="true">IF(E69="","",MAX(E69,TODAY())+F69)</f>
        <v/>
      </c>
    </row>
    <row r="70" customFormat="false" ht="15" hidden="false" customHeight="true" outlineLevel="0" collapsed="false">
      <c r="A70" s="23"/>
      <c r="B70" s="23"/>
      <c r="C70" s="23"/>
      <c r="E70" s="24"/>
      <c r="F70" s="25" t="str">
        <f aca="false">IF(D70="","",
        ROUND(
            CHOOSE(MIN(D70+1,8),0,1,3,7,15,30,60,90) *
            IF(C70="Easy Topic",1.3,IF(C70="Hard Topic",0.7,1))
        ,0))</f>
        <v/>
      </c>
      <c r="G70" s="24" t="str">
        <f aca="true">IF(E70="","",MAX(E70,TODAY())+F70)</f>
        <v/>
      </c>
    </row>
    <row r="71" customFormat="false" ht="15" hidden="false" customHeight="true" outlineLevel="0" collapsed="false">
      <c r="A71" s="23"/>
      <c r="B71" s="23"/>
      <c r="C71" s="23"/>
      <c r="E71" s="24"/>
      <c r="F71" s="25" t="str">
        <f aca="false">IF(D71="","",
        ROUND(
            CHOOSE(MIN(D71+1,8),0,1,3,7,15,30,60,90) *
            IF(C71="Easy Topic",1.3,IF(C71="Hard Topic",0.7,1))
        ,0))</f>
        <v/>
      </c>
      <c r="G71" s="24" t="str">
        <f aca="true">IF(E71="","",MAX(E71,TODAY())+F71)</f>
        <v/>
      </c>
    </row>
    <row r="72" customFormat="false" ht="15" hidden="false" customHeight="true" outlineLevel="0" collapsed="false">
      <c r="A72" s="23"/>
      <c r="B72" s="23"/>
      <c r="C72" s="23"/>
      <c r="E72" s="24"/>
      <c r="F72" s="25" t="str">
        <f aca="false">IF(D72="","",
        ROUND(
            CHOOSE(MIN(D72+1,8),0,1,3,7,15,30,60,90) *
            IF(C72="Easy Topic",1.3,IF(C72="Hard Topic",0.7,1))
        ,0))</f>
        <v/>
      </c>
      <c r="G72" s="24" t="str">
        <f aca="true">IF(E72="","",MAX(E72,TODAY())+F72)</f>
        <v/>
      </c>
    </row>
    <row r="73" customFormat="false" ht="15" hidden="false" customHeight="true" outlineLevel="0" collapsed="false">
      <c r="A73" s="23"/>
      <c r="B73" s="23"/>
      <c r="C73" s="23"/>
      <c r="E73" s="24"/>
      <c r="F73" s="25" t="str">
        <f aca="false">IF(D73="","",
        ROUND(
            CHOOSE(MIN(D73+1,8),0,1,3,7,15,30,60,90) *
            IF(C73="Easy Topic",1.3,IF(C73="Hard Topic",0.7,1))
        ,0))</f>
        <v/>
      </c>
      <c r="G73" s="24" t="str">
        <f aca="true">IF(E73="","",MAX(E73,TODAY())+F73)</f>
        <v/>
      </c>
    </row>
    <row r="74" customFormat="false" ht="15" hidden="false" customHeight="true" outlineLevel="0" collapsed="false">
      <c r="A74" s="23"/>
      <c r="B74" s="23"/>
      <c r="C74" s="23"/>
      <c r="E74" s="24"/>
      <c r="F74" s="25" t="str">
        <f aca="false">IF(D74="","",
        ROUND(
            CHOOSE(MIN(D74+1,8),0,1,3,7,15,30,60,90) *
            IF(C74="Easy Topic",1.3,IF(C74="Hard Topic",0.7,1))
        ,0))</f>
        <v/>
      </c>
      <c r="G74" s="24" t="str">
        <f aca="true">IF(E74="","",MAX(E74,TODAY())+F74)</f>
        <v/>
      </c>
    </row>
    <row r="75" customFormat="false" ht="15" hidden="false" customHeight="true" outlineLevel="0" collapsed="false">
      <c r="A75" s="23"/>
      <c r="B75" s="23"/>
      <c r="C75" s="23"/>
      <c r="E75" s="24"/>
      <c r="F75" s="25" t="str">
        <f aca="false">IF(D75="","",
        ROUND(
            CHOOSE(MIN(D75+1,8),0,1,3,7,15,30,60,90) *
            IF(C75="Easy Topic",1.3,IF(C75="Hard Topic",0.7,1))
        ,0))</f>
        <v/>
      </c>
      <c r="G75" s="24" t="str">
        <f aca="true">IF(E75="","",MAX(E75,TODAY())+F75)</f>
        <v/>
      </c>
    </row>
    <row r="76" customFormat="false" ht="15" hidden="false" customHeight="true" outlineLevel="0" collapsed="false">
      <c r="A76" s="23"/>
      <c r="B76" s="23"/>
      <c r="C76" s="23"/>
      <c r="E76" s="24"/>
      <c r="F76" s="25" t="str">
        <f aca="false">IF(D76="","",
        ROUND(
            CHOOSE(MIN(D76+1,8),0,1,3,7,15,30,60,90) *
            IF(C76="Easy Topic",1.3,IF(C76="Hard Topic",0.7,1))
        ,0))</f>
        <v/>
      </c>
      <c r="G76" s="24" t="str">
        <f aca="true">IF(E76="","",MAX(E76,TODAY())+F76)</f>
        <v/>
      </c>
    </row>
    <row r="77" customFormat="false" ht="15" hidden="false" customHeight="true" outlineLevel="0" collapsed="false">
      <c r="A77" s="23"/>
      <c r="B77" s="23"/>
      <c r="C77" s="23"/>
      <c r="E77" s="24"/>
      <c r="F77" s="25" t="str">
        <f aca="false">IF(D77="","",
        ROUND(
            CHOOSE(MIN(D77+1,8),0,1,3,7,15,30,60,90) *
            IF(C77="Easy Topic",1.3,IF(C77="Hard Topic",0.7,1))
        ,0))</f>
        <v/>
      </c>
      <c r="G77" s="24" t="str">
        <f aca="true">IF(E77="","",MAX(E77,TODAY())+F77)</f>
        <v/>
      </c>
    </row>
    <row r="78" customFormat="false" ht="15" hidden="false" customHeight="true" outlineLevel="0" collapsed="false">
      <c r="A78" s="23"/>
      <c r="B78" s="23"/>
      <c r="C78" s="23"/>
      <c r="E78" s="24"/>
      <c r="F78" s="25" t="str">
        <f aca="false">IF(D78="","",
        ROUND(
            CHOOSE(MIN(D78+1,8),0,1,3,7,15,30,60,90) *
            IF(C78="Easy Topic",1.3,IF(C78="Hard Topic",0.7,1))
        ,0))</f>
        <v/>
      </c>
      <c r="G78" s="24" t="str">
        <f aca="true">IF(E78="","",MAX(E78,TODAY())+F78)</f>
        <v/>
      </c>
    </row>
    <row r="79" customFormat="false" ht="15" hidden="false" customHeight="true" outlineLevel="0" collapsed="false">
      <c r="A79" s="23"/>
      <c r="B79" s="23"/>
      <c r="C79" s="23"/>
      <c r="E79" s="24"/>
      <c r="F79" s="25" t="str">
        <f aca="false">IF(D79="","",
        ROUND(
            CHOOSE(MIN(D79+1,8),0,1,3,7,15,30,60,90) *
            IF(C79="Easy Topic",1.3,IF(C79="Hard Topic",0.7,1))
        ,0))</f>
        <v/>
      </c>
      <c r="G79" s="24" t="str">
        <f aca="true">IF(E79="","",MAX(E79,TODAY())+F79)</f>
        <v/>
      </c>
    </row>
    <row r="80" customFormat="false" ht="15" hidden="false" customHeight="true" outlineLevel="0" collapsed="false">
      <c r="A80" s="23"/>
      <c r="B80" s="23"/>
      <c r="C80" s="23"/>
      <c r="E80" s="24"/>
      <c r="F80" s="25" t="str">
        <f aca="false">IF(D80="","",
        ROUND(
            CHOOSE(MIN(D80+1,8),0,1,3,7,15,30,60,90) *
            IF(C80="Easy Topic",1.3,IF(C80="Hard Topic",0.7,1))
        ,0))</f>
        <v/>
      </c>
      <c r="G80" s="24" t="str">
        <f aca="true">IF(E80="","",MAX(E80,TODAY())+F80)</f>
        <v/>
      </c>
    </row>
    <row r="81" customFormat="false" ht="15" hidden="false" customHeight="true" outlineLevel="0" collapsed="false">
      <c r="A81" s="23"/>
      <c r="B81" s="23"/>
      <c r="C81" s="23"/>
      <c r="E81" s="24"/>
      <c r="F81" s="25" t="str">
        <f aca="false">IF(D81="","",
        ROUND(
            CHOOSE(MIN(D81+1,8),0,1,3,7,15,30,60,90) *
            IF(C81="Easy Topic",1.3,IF(C81="Hard Topic",0.7,1))
        ,0))</f>
        <v/>
      </c>
      <c r="G81" s="24" t="str">
        <f aca="true">IF(E81="","",MAX(E81,TODAY())+F81)</f>
        <v/>
      </c>
    </row>
    <row r="82" customFormat="false" ht="15" hidden="false" customHeight="true" outlineLevel="0" collapsed="false">
      <c r="A82" s="23"/>
      <c r="B82" s="23"/>
      <c r="C82" s="23"/>
      <c r="E82" s="24"/>
      <c r="F82" s="25" t="str">
        <f aca="false">IF(D82="","",
        ROUND(
            CHOOSE(MIN(D82+1,8),0,1,3,7,15,30,60,90) *
            IF(C82="Easy Topic",1.3,IF(C82="Hard Topic",0.7,1))
        ,0))</f>
        <v/>
      </c>
      <c r="G82" s="24" t="str">
        <f aca="true">IF(E82="","",MAX(E82,TODAY())+F82)</f>
        <v/>
      </c>
    </row>
    <row r="83" customFormat="false" ht="15" hidden="false" customHeight="true" outlineLevel="0" collapsed="false">
      <c r="A83" s="23"/>
      <c r="B83" s="23"/>
      <c r="C83" s="23"/>
      <c r="E83" s="24"/>
      <c r="F83" s="25" t="str">
        <f aca="false">IF(D83="","",
        ROUND(
            CHOOSE(MIN(D83+1,8),0,1,3,7,15,30,60,90) *
            IF(C83="Easy Topic",1.3,IF(C83="Hard Topic",0.7,1))
        ,0))</f>
        <v/>
      </c>
      <c r="G83" s="24" t="str">
        <f aca="true">IF(E83="","",MAX(E83,TODAY())+F83)</f>
        <v/>
      </c>
    </row>
    <row r="84" customFormat="false" ht="15" hidden="false" customHeight="true" outlineLevel="0" collapsed="false">
      <c r="A84" s="23"/>
      <c r="B84" s="23"/>
      <c r="C84" s="23"/>
      <c r="E84" s="24"/>
      <c r="F84" s="25" t="str">
        <f aca="false">IF(D84="","",
        ROUND(
            CHOOSE(MIN(D84+1,8),0,1,3,7,15,30,60,90) *
            IF(C84="Easy Topic",1.3,IF(C84="Hard Topic",0.7,1))
        ,0))</f>
        <v/>
      </c>
      <c r="G84" s="24" t="str">
        <f aca="true">IF(E84="","",MAX(E84,TODAY())+F84)</f>
        <v/>
      </c>
    </row>
    <row r="85" customFormat="false" ht="15" hidden="false" customHeight="true" outlineLevel="0" collapsed="false">
      <c r="A85" s="23"/>
      <c r="B85" s="23"/>
      <c r="C85" s="23"/>
      <c r="E85" s="24"/>
      <c r="F85" s="25" t="str">
        <f aca="false">IF(D85="","",
        ROUND(
            CHOOSE(MIN(D85+1,8),0,1,3,7,15,30,60,90) *
            IF(C85="Easy Topic",1.3,IF(C85="Hard Topic",0.7,1))
        ,0))</f>
        <v/>
      </c>
      <c r="G85" s="24" t="str">
        <f aca="true">IF(E85="","",MAX(E85,TODAY())+F85)</f>
        <v/>
      </c>
    </row>
    <row r="86" customFormat="false" ht="15" hidden="false" customHeight="true" outlineLevel="0" collapsed="false">
      <c r="A86" s="23"/>
      <c r="B86" s="23"/>
      <c r="C86" s="23"/>
      <c r="E86" s="24"/>
      <c r="F86" s="25" t="str">
        <f aca="false">IF(D86="","",
        ROUND(
            CHOOSE(MIN(D86+1,8),0,1,3,7,15,30,60,90) *
            IF(C86="Easy Topic",1.3,IF(C86="Hard Topic",0.7,1))
        ,0))</f>
        <v/>
      </c>
      <c r="G86" s="24" t="str">
        <f aca="true">IF(E86="","",MAX(E86,TODAY())+F86)</f>
        <v/>
      </c>
    </row>
    <row r="87" customFormat="false" ht="15" hidden="false" customHeight="true" outlineLevel="0" collapsed="false">
      <c r="A87" s="23"/>
      <c r="B87" s="23"/>
      <c r="C87" s="23"/>
      <c r="E87" s="24"/>
      <c r="F87" s="25" t="str">
        <f aca="false">IF(D87="","",
        ROUND(
            CHOOSE(MIN(D87+1,8),0,1,3,7,15,30,60,90) *
            IF(C87="Easy Topic",1.3,IF(C87="Hard Topic",0.7,1))
        ,0))</f>
        <v/>
      </c>
      <c r="G87" s="24" t="str">
        <f aca="true">IF(E87="","",MAX(E87,TODAY())+F87)</f>
        <v/>
      </c>
    </row>
    <row r="88" customFormat="false" ht="15" hidden="false" customHeight="true" outlineLevel="0" collapsed="false">
      <c r="A88" s="23"/>
      <c r="B88" s="23"/>
      <c r="C88" s="23"/>
      <c r="E88" s="24"/>
      <c r="F88" s="25" t="str">
        <f aca="false">IF(D88="","",
        ROUND(
            CHOOSE(MIN(D88+1,8),0,1,3,7,15,30,60,90) *
            IF(C88="Easy Topic",1.3,IF(C88="Hard Topic",0.7,1))
        ,0))</f>
        <v/>
      </c>
      <c r="G88" s="24" t="str">
        <f aca="true">IF(E88="","",MAX(E88,TODAY())+F88)</f>
        <v/>
      </c>
    </row>
    <row r="89" customFormat="false" ht="15" hidden="false" customHeight="true" outlineLevel="0" collapsed="false">
      <c r="A89" s="23"/>
      <c r="B89" s="23"/>
      <c r="C89" s="23"/>
      <c r="E89" s="24"/>
      <c r="F89" s="25" t="str">
        <f aca="false">IF(D89="","",
        ROUND(
            CHOOSE(MIN(D89+1,8),0,1,3,7,15,30,60,90) *
            IF(C89="Easy Topic",1.3,IF(C89="Hard Topic",0.7,1))
        ,0))</f>
        <v/>
      </c>
      <c r="G89" s="24" t="str">
        <f aca="true">IF(E89="","",MAX(E89,TODAY())+F89)</f>
        <v/>
      </c>
    </row>
    <row r="90" customFormat="false" ht="15" hidden="false" customHeight="true" outlineLevel="0" collapsed="false">
      <c r="A90" s="23"/>
      <c r="B90" s="23"/>
      <c r="C90" s="23"/>
      <c r="E90" s="24"/>
      <c r="F90" s="25" t="str">
        <f aca="false">IF(D90="","",
        ROUND(
            CHOOSE(MIN(D90+1,8),0,1,3,7,15,30,60,90) *
            IF(C90="Easy Topic",1.3,IF(C90="Hard Topic",0.7,1))
        ,0))</f>
        <v/>
      </c>
      <c r="G90" s="24" t="str">
        <f aca="true">IF(E90="","",MAX(E90,TODAY())+F90)</f>
        <v/>
      </c>
    </row>
    <row r="91" customFormat="false" ht="15" hidden="false" customHeight="true" outlineLevel="0" collapsed="false">
      <c r="A91" s="23"/>
      <c r="B91" s="23"/>
      <c r="C91" s="23"/>
      <c r="E91" s="24"/>
      <c r="F91" s="25" t="str">
        <f aca="false">IF(D91="","",
        ROUND(
            CHOOSE(MIN(D91+1,8),0,1,3,7,15,30,60,90) *
            IF(C91="Easy Topic",1.3,IF(C91="Hard Topic",0.7,1))
        ,0))</f>
        <v/>
      </c>
      <c r="G91" s="24" t="str">
        <f aca="true">IF(E91="","",MAX(E91,TODAY())+F91)</f>
        <v/>
      </c>
    </row>
    <row r="92" customFormat="false" ht="15" hidden="false" customHeight="true" outlineLevel="0" collapsed="false">
      <c r="A92" s="23"/>
      <c r="B92" s="23"/>
      <c r="C92" s="23"/>
      <c r="E92" s="24"/>
      <c r="F92" s="25" t="str">
        <f aca="false">IF(D92="","",
        ROUND(
            CHOOSE(MIN(D92+1,8),0,1,3,7,15,30,60,90) *
            IF(C92="Easy Topic",1.3,IF(C92="Hard Topic",0.7,1))
        ,0))</f>
        <v/>
      </c>
      <c r="G92" s="24" t="str">
        <f aca="true">IF(E92="","",MAX(E92,TODAY())+F92)</f>
        <v/>
      </c>
    </row>
    <row r="93" customFormat="false" ht="15" hidden="false" customHeight="true" outlineLevel="0" collapsed="false">
      <c r="A93" s="23"/>
      <c r="B93" s="23"/>
      <c r="C93" s="23"/>
      <c r="E93" s="24"/>
      <c r="F93" s="25" t="str">
        <f aca="false">IF(D93="","",
        ROUND(
            CHOOSE(MIN(D93+1,8),0,1,3,7,15,30,60,90) *
            IF(C93="Easy Topic",1.3,IF(C93="Hard Topic",0.7,1))
        ,0))</f>
        <v/>
      </c>
      <c r="G93" s="24" t="str">
        <f aca="true">IF(E93="","",MAX(E93,TODAY())+F93)</f>
        <v/>
      </c>
    </row>
    <row r="94" customFormat="false" ht="15" hidden="false" customHeight="true" outlineLevel="0" collapsed="false">
      <c r="A94" s="23"/>
      <c r="B94" s="23"/>
      <c r="C94" s="23"/>
      <c r="E94" s="24"/>
      <c r="F94" s="25" t="str">
        <f aca="false">IF(D94="","",
        ROUND(
            CHOOSE(MIN(D94+1,8),0,1,3,7,15,30,60,90) *
            IF(C94="Easy Topic",1.3,IF(C94="Hard Topic",0.7,1))
        ,0))</f>
        <v/>
      </c>
      <c r="G94" s="24" t="str">
        <f aca="true">IF(E94="","",MAX(E94,TODAY())+F94)</f>
        <v/>
      </c>
    </row>
    <row r="95" customFormat="false" ht="15" hidden="false" customHeight="true" outlineLevel="0" collapsed="false">
      <c r="A95" s="23"/>
      <c r="B95" s="23"/>
      <c r="C95" s="23"/>
      <c r="E95" s="24"/>
      <c r="F95" s="25" t="str">
        <f aca="false">IF(D95="","",
        ROUND(
            CHOOSE(MIN(D95+1,8),0,1,3,7,15,30,60,90) *
            IF(C95="Easy Topic",1.3,IF(C95="Hard Topic",0.7,1))
        ,0))</f>
        <v/>
      </c>
      <c r="G95" s="24" t="str">
        <f aca="true">IF(E95="","",MAX(E95,TODAY())+F95)</f>
        <v/>
      </c>
    </row>
    <row r="96" customFormat="false" ht="15" hidden="false" customHeight="true" outlineLevel="0" collapsed="false">
      <c r="A96" s="23"/>
      <c r="B96" s="23"/>
      <c r="C96" s="23"/>
      <c r="E96" s="24"/>
      <c r="F96" s="25" t="str">
        <f aca="false">IF(D96="","",
        ROUND(
            CHOOSE(MIN(D96+1,8),0,1,3,7,15,30,60,90) *
            IF(C96="Easy Topic",1.3,IF(C96="Hard Topic",0.7,1))
        ,0))</f>
        <v/>
      </c>
      <c r="G96" s="24" t="str">
        <f aca="true">IF(E96="","",MAX(E96,TODAY())+F96)</f>
        <v/>
      </c>
    </row>
    <row r="97" customFormat="false" ht="15" hidden="false" customHeight="true" outlineLevel="0" collapsed="false">
      <c r="A97" s="23"/>
      <c r="B97" s="23"/>
      <c r="C97" s="23"/>
      <c r="E97" s="24"/>
      <c r="F97" s="25" t="str">
        <f aca="false">IF(D97="","",
        ROUND(
            CHOOSE(MIN(D97+1,8),0,1,3,7,15,30,60,90) *
            IF(C97="Easy Topic",1.3,IF(C97="Hard Topic",0.7,1))
        ,0))</f>
        <v/>
      </c>
      <c r="G97" s="24" t="str">
        <f aca="true">IF(E97="","",MAX(E97,TODAY())+F97)</f>
        <v/>
      </c>
    </row>
    <row r="98" customFormat="false" ht="15" hidden="false" customHeight="true" outlineLevel="0" collapsed="false">
      <c r="A98" s="23"/>
      <c r="B98" s="23"/>
      <c r="C98" s="23"/>
      <c r="E98" s="24"/>
      <c r="F98" s="25" t="str">
        <f aca="false">IF(D98="","",
        ROUND(
            CHOOSE(MIN(D98+1,8),0,1,3,7,15,30,60,90) *
            IF(C98="Easy Topic",1.3,IF(C98="Hard Topic",0.7,1))
        ,0))</f>
        <v/>
      </c>
      <c r="G98" s="24" t="str">
        <f aca="true">IF(E98="","",MAX(E98,TODAY())+F98)</f>
        <v/>
      </c>
    </row>
    <row r="99" customFormat="false" ht="15" hidden="false" customHeight="true" outlineLevel="0" collapsed="false">
      <c r="A99" s="23"/>
      <c r="B99" s="23"/>
      <c r="C99" s="23"/>
      <c r="E99" s="24"/>
      <c r="F99" s="25" t="str">
        <f aca="false">IF(D99="","",
        ROUND(
            CHOOSE(MIN(D99+1,8),0,1,3,7,15,30,60,90) *
            IF(C99="Easy Topic",1.3,IF(C99="Hard Topic",0.7,1))
        ,0))</f>
        <v/>
      </c>
      <c r="G99" s="24" t="str">
        <f aca="true">IF(E99="","",MAX(E99,TODAY())+F99)</f>
        <v/>
      </c>
    </row>
    <row r="100" customFormat="false" ht="15" hidden="false" customHeight="true" outlineLevel="0" collapsed="false">
      <c r="A100" s="23"/>
      <c r="B100" s="23"/>
      <c r="C100" s="23"/>
      <c r="E100" s="24"/>
      <c r="F100" s="25" t="str">
        <f aca="false">IF(D100="","",
        ROUND(
            CHOOSE(MIN(D100+1,8),0,1,3,7,15,30,60,90) *
            IF(C100="Easy Topic",1.3,IF(C100="Hard Topic",0.7,1))
        ,0))</f>
        <v/>
      </c>
      <c r="G100" s="24" t="str">
        <f aca="true">IF(E100="","",MAX(E100,TODAY())+F100)</f>
        <v/>
      </c>
    </row>
    <row r="101" customFormat="false" ht="15" hidden="false" customHeight="true" outlineLevel="0" collapsed="false">
      <c r="A101" s="23"/>
      <c r="B101" s="23"/>
      <c r="C101" s="23"/>
      <c r="E101" s="24"/>
      <c r="F101" s="25" t="str">
        <f aca="false">IF(D101="","",
        ROUND(
            CHOOSE(MIN(D101+1,8),0,1,3,7,15,30,60,90) *
            IF(C101="Easy Topic",1.3,IF(C101="Hard Topic",0.7,1))
        ,0))</f>
        <v/>
      </c>
      <c r="G101" s="24" t="str">
        <f aca="true">IF(E101="","",MAX(E101,TODAY())+F101)</f>
        <v/>
      </c>
    </row>
    <row r="102" customFormat="false" ht="15" hidden="false" customHeight="true" outlineLevel="0" collapsed="false">
      <c r="A102" s="23"/>
      <c r="B102" s="23"/>
      <c r="C102" s="23"/>
      <c r="E102" s="24"/>
      <c r="F102" s="25" t="str">
        <f aca="false">IF(D102="","",
        ROUND(
            CHOOSE(MIN(D102+1,8),0,1,3,7,15,30,60,90) *
            IF(C102="Easy Topic",1.3,IF(C102="Hard Topic",0.7,1))
        ,0))</f>
        <v/>
      </c>
      <c r="G102" s="24" t="str">
        <f aca="true">IF(E102="","",MAX(E102,TODAY())+F102)</f>
        <v/>
      </c>
    </row>
    <row r="103" customFormat="false" ht="15" hidden="false" customHeight="true" outlineLevel="0" collapsed="false">
      <c r="A103" s="23"/>
      <c r="B103" s="23"/>
      <c r="C103" s="23"/>
      <c r="E103" s="24"/>
      <c r="F103" s="25" t="str">
        <f aca="false">IF(D103="","",
        ROUND(
            CHOOSE(MIN(D103+1,8),0,1,3,7,15,30,60,90) *
            IF(C103="Easy Topic",1.3,IF(C103="Hard Topic",0.7,1))
        ,0))</f>
        <v/>
      </c>
      <c r="G103" s="24" t="str">
        <f aca="true">IF(E103="","",MAX(E103,TODAY())+F103)</f>
        <v/>
      </c>
    </row>
    <row r="104" customFormat="false" ht="15" hidden="false" customHeight="true" outlineLevel="0" collapsed="false">
      <c r="A104" s="23"/>
      <c r="B104" s="23"/>
      <c r="C104" s="23"/>
      <c r="E104" s="24"/>
      <c r="F104" s="25" t="str">
        <f aca="false">IF(D104="","",
        ROUND(
            CHOOSE(MIN(D104+1,8),0,1,3,7,15,30,60,90) *
            IF(C104="Easy Topic",1.3,IF(C104="Hard Topic",0.7,1))
        ,0))</f>
        <v/>
      </c>
      <c r="G104" s="24" t="str">
        <f aca="true">IF(E104="","",MAX(E104,TODAY())+F104)</f>
        <v/>
      </c>
    </row>
    <row r="105" customFormat="false" ht="15" hidden="false" customHeight="true" outlineLevel="0" collapsed="false">
      <c r="A105" s="23"/>
      <c r="B105" s="23"/>
      <c r="C105" s="23"/>
      <c r="E105" s="24"/>
      <c r="F105" s="25" t="str">
        <f aca="false">IF(D105="","",
        ROUND(
            CHOOSE(MIN(D105+1,8),0,1,3,7,15,30,60,90) *
            IF(C105="Easy Topic",1.3,IF(C105="Hard Topic",0.7,1))
        ,0))</f>
        <v/>
      </c>
      <c r="G105" s="24" t="str">
        <f aca="true">IF(E105="","",MAX(E105,TODAY())+F105)</f>
        <v/>
      </c>
    </row>
    <row r="106" customFormat="false" ht="15" hidden="false" customHeight="true" outlineLevel="0" collapsed="false">
      <c r="A106" s="23"/>
      <c r="B106" s="23"/>
      <c r="C106" s="23"/>
      <c r="E106" s="24"/>
      <c r="F106" s="25" t="str">
        <f aca="false">IF(D106="","",
        ROUND(
            CHOOSE(MIN(D106+1,8),0,1,3,7,15,30,60,90) *
            IF(C106="Easy Topic",1.3,IF(C106="Hard Topic",0.7,1))
        ,0))</f>
        <v/>
      </c>
      <c r="G106" s="24" t="str">
        <f aca="true">IF(E106="","",MAX(E106,TODAY())+F106)</f>
        <v/>
      </c>
    </row>
    <row r="107" customFormat="false" ht="15" hidden="false" customHeight="true" outlineLevel="0" collapsed="false">
      <c r="A107" s="23"/>
      <c r="B107" s="23"/>
      <c r="C107" s="23"/>
      <c r="E107" s="24"/>
      <c r="F107" s="25" t="str">
        <f aca="false">IF(D107="","",
        ROUND(
            CHOOSE(MIN(D107+1,8),0,1,3,7,15,30,60,90) *
            IF(C107="Easy Topic",1.3,IF(C107="Hard Topic",0.7,1))
        ,0))</f>
        <v/>
      </c>
      <c r="G107" s="24" t="str">
        <f aca="true">IF(E107="","",MAX(E107,TODAY())+F107)</f>
        <v/>
      </c>
    </row>
    <row r="108" customFormat="false" ht="15" hidden="false" customHeight="true" outlineLevel="0" collapsed="false">
      <c r="A108" s="23"/>
      <c r="B108" s="23"/>
      <c r="C108" s="23"/>
      <c r="E108" s="24"/>
      <c r="F108" s="25" t="str">
        <f aca="false">IF(D108="","",
        ROUND(
            CHOOSE(MIN(D108+1,8),0,1,3,7,15,30,60,90) *
            IF(C108="Easy Topic",1.3,IF(C108="Hard Topic",0.7,1))
        ,0))</f>
        <v/>
      </c>
      <c r="G108" s="24" t="str">
        <f aca="true">IF(E108="","",MAX(E108,TODAY())+F108)</f>
        <v/>
      </c>
    </row>
    <row r="109" customFormat="false" ht="15" hidden="false" customHeight="true" outlineLevel="0" collapsed="false">
      <c r="A109" s="23"/>
      <c r="B109" s="23"/>
      <c r="C109" s="23"/>
      <c r="E109" s="24"/>
      <c r="F109" s="25" t="str">
        <f aca="false">IF(D109="","",
        ROUND(
            CHOOSE(MIN(D109+1,8),0,1,3,7,15,30,60,90) *
            IF(C109="Easy Topic",1.3,IF(C109="Hard Topic",0.7,1))
        ,0))</f>
        <v/>
      </c>
      <c r="G109" s="24" t="str">
        <f aca="true">IF(E109="","",MAX(E109,TODAY())+F109)</f>
        <v/>
      </c>
    </row>
    <row r="110" customFormat="false" ht="15" hidden="false" customHeight="true" outlineLevel="0" collapsed="false">
      <c r="A110" s="23"/>
      <c r="B110" s="23"/>
      <c r="C110" s="23"/>
      <c r="E110" s="24"/>
      <c r="F110" s="25" t="str">
        <f aca="false">IF(D110="","",
        ROUND(
            CHOOSE(MIN(D110+1,8),0,1,3,7,15,30,60,90) *
            IF(C110="Easy Topic",1.3,IF(C110="Hard Topic",0.7,1))
        ,0))</f>
        <v/>
      </c>
      <c r="G110" s="24" t="str">
        <f aca="true">IF(E110="","",MAX(E110,TODAY())+F110)</f>
        <v/>
      </c>
    </row>
    <row r="111" customFormat="false" ht="15" hidden="false" customHeight="true" outlineLevel="0" collapsed="false">
      <c r="A111" s="23"/>
      <c r="B111" s="23"/>
      <c r="C111" s="23"/>
      <c r="E111" s="24"/>
      <c r="F111" s="25" t="str">
        <f aca="false">IF(D111="","",
        ROUND(
            CHOOSE(MIN(D111+1,8),0,1,3,7,15,30,60,90) *
            IF(C111="Easy Topic",1.3,IF(C111="Hard Topic",0.7,1))
        ,0))</f>
        <v/>
      </c>
      <c r="G111" s="24" t="str">
        <f aca="true">IF(E111="","",MAX(E111,TODAY())+F111)</f>
        <v/>
      </c>
    </row>
    <row r="112" customFormat="false" ht="15" hidden="false" customHeight="true" outlineLevel="0" collapsed="false">
      <c r="A112" s="23"/>
      <c r="B112" s="23"/>
      <c r="C112" s="23"/>
      <c r="E112" s="24"/>
      <c r="F112" s="25" t="str">
        <f aca="false">IF(D112="","",
        ROUND(
            CHOOSE(MIN(D112+1,8),0,1,3,7,15,30,60,90) *
            IF(C112="Easy Topic",1.3,IF(C112="Hard Topic",0.7,1))
        ,0))</f>
        <v/>
      </c>
      <c r="G112" s="24" t="str">
        <f aca="true">IF(E112="","",MAX(E112,TODAY())+F112)</f>
        <v/>
      </c>
    </row>
    <row r="113" customFormat="false" ht="15" hidden="false" customHeight="true" outlineLevel="0" collapsed="false">
      <c r="A113" s="23"/>
      <c r="B113" s="23"/>
      <c r="C113" s="23"/>
      <c r="E113" s="24"/>
      <c r="F113" s="25" t="str">
        <f aca="false">IF(D113="","",
        ROUND(
            CHOOSE(MIN(D113+1,8),0,1,3,7,15,30,60,90) *
            IF(C113="Easy Topic",1.3,IF(C113="Hard Topic",0.7,1))
        ,0))</f>
        <v/>
      </c>
      <c r="G113" s="24" t="str">
        <f aca="true">IF(E113="","",MAX(E113,TODAY())+F113)</f>
        <v/>
      </c>
    </row>
    <row r="114" customFormat="false" ht="15" hidden="false" customHeight="true" outlineLevel="0" collapsed="false">
      <c r="A114" s="23"/>
      <c r="B114" s="23"/>
      <c r="C114" s="23"/>
      <c r="E114" s="24"/>
      <c r="F114" s="25" t="str">
        <f aca="false">IF(D114="","",
        ROUND(
            CHOOSE(MIN(D114+1,8),0,1,3,7,15,30,60,90) *
            IF(C114="Easy Topic",1.3,IF(C114="Hard Topic",0.7,1))
        ,0))</f>
        <v/>
      </c>
      <c r="G114" s="24" t="str">
        <f aca="true">IF(E114="","",MAX(E114,TODAY())+F114)</f>
        <v/>
      </c>
    </row>
    <row r="115" customFormat="false" ht="15" hidden="false" customHeight="true" outlineLevel="0" collapsed="false">
      <c r="A115" s="23"/>
      <c r="B115" s="23"/>
      <c r="C115" s="23"/>
      <c r="E115" s="24"/>
      <c r="F115" s="25" t="str">
        <f aca="false">IF(D115="","",
        ROUND(
            CHOOSE(MIN(D115+1,8),0,1,3,7,15,30,60,90) *
            IF(C115="Easy Topic",1.3,IF(C115="Hard Topic",0.7,1))
        ,0))</f>
        <v/>
      </c>
      <c r="G115" s="24" t="str">
        <f aca="true">IF(E115="","",MAX(E115,TODAY())+F115)</f>
        <v/>
      </c>
    </row>
    <row r="116" customFormat="false" ht="15" hidden="false" customHeight="true" outlineLevel="0" collapsed="false">
      <c r="A116" s="23"/>
      <c r="B116" s="23"/>
      <c r="C116" s="23"/>
      <c r="E116" s="24"/>
      <c r="F116" s="25" t="str">
        <f aca="false">IF(D116="","",
        ROUND(
            CHOOSE(MIN(D116+1,8),0,1,3,7,15,30,60,90) *
            IF(C116="Easy Topic",1.3,IF(C116="Hard Topic",0.7,1))
        ,0))</f>
        <v/>
      </c>
      <c r="G116" s="24" t="str">
        <f aca="true">IF(E116="","",MAX(E116,TODAY())+F116)</f>
        <v/>
      </c>
    </row>
    <row r="117" customFormat="false" ht="15" hidden="false" customHeight="true" outlineLevel="0" collapsed="false">
      <c r="A117" s="23"/>
      <c r="B117" s="23"/>
      <c r="C117" s="23"/>
      <c r="E117" s="24"/>
      <c r="F117" s="25" t="str">
        <f aca="false">IF(D117="","",
        ROUND(
            CHOOSE(MIN(D117+1,8),0,1,3,7,15,30,60,90) *
            IF(C117="Easy Topic",1.3,IF(C117="Hard Topic",0.7,1))
        ,0))</f>
        <v/>
      </c>
      <c r="G117" s="24" t="str">
        <f aca="true">IF(E117="","",MAX(E117,TODAY())+F117)</f>
        <v/>
      </c>
    </row>
    <row r="118" customFormat="false" ht="15" hidden="false" customHeight="true" outlineLevel="0" collapsed="false">
      <c r="A118" s="23"/>
      <c r="B118" s="23"/>
      <c r="C118" s="23"/>
      <c r="E118" s="24"/>
      <c r="F118" s="25" t="str">
        <f aca="false">IF(D118="","",
        ROUND(
            CHOOSE(MIN(D118+1,8),0,1,3,7,15,30,60,90) *
            IF(C118="Easy Topic",1.3,IF(C118="Hard Topic",0.7,1))
        ,0))</f>
        <v/>
      </c>
      <c r="G118" s="24" t="str">
        <f aca="true">IF(E118="","",MAX(E118,TODAY())+F118)</f>
        <v/>
      </c>
    </row>
    <row r="119" customFormat="false" ht="15" hidden="false" customHeight="true" outlineLevel="0" collapsed="false">
      <c r="A119" s="23"/>
      <c r="B119" s="23"/>
      <c r="C119" s="23"/>
      <c r="E119" s="24"/>
      <c r="F119" s="25" t="str">
        <f aca="false">IF(D119="","",
        ROUND(
            CHOOSE(MIN(D119+1,8),0,1,3,7,15,30,60,90) *
            IF(C119="Easy Topic",1.3,IF(C119="Hard Topic",0.7,1))
        ,0))</f>
        <v/>
      </c>
      <c r="G119" s="24" t="str">
        <f aca="true">IF(E119="","",MAX(E119,TODAY())+F119)</f>
        <v/>
      </c>
    </row>
    <row r="120" customFormat="false" ht="15" hidden="false" customHeight="true" outlineLevel="0" collapsed="false">
      <c r="A120" s="23"/>
      <c r="B120" s="23"/>
      <c r="C120" s="23"/>
      <c r="E120" s="24"/>
      <c r="F120" s="25" t="str">
        <f aca="false">IF(D120="","",
        ROUND(
            CHOOSE(MIN(D120+1,8),0,1,3,7,15,30,60,90) *
            IF(C120="Easy Topic",1.3,IF(C120="Hard Topic",0.7,1))
        ,0))</f>
        <v/>
      </c>
      <c r="G120" s="24" t="str">
        <f aca="true">IF(E120="","",MAX(E120,TODAY())+F120)</f>
        <v/>
      </c>
    </row>
    <row r="121" customFormat="false" ht="15" hidden="false" customHeight="true" outlineLevel="0" collapsed="false">
      <c r="A121" s="23"/>
      <c r="B121" s="23"/>
      <c r="C121" s="23"/>
      <c r="E121" s="24"/>
      <c r="F121" s="25" t="str">
        <f aca="false">IF(D121="","",
        ROUND(
            CHOOSE(MIN(D121+1,8),0,1,3,7,15,30,60,90) *
            IF(C121="Easy Topic",1.3,IF(C121="Hard Topic",0.7,1))
        ,0))</f>
        <v/>
      </c>
      <c r="G121" s="24" t="str">
        <f aca="true">IF(E121="","",MAX(E121,TODAY())+F121)</f>
        <v/>
      </c>
    </row>
    <row r="122" customFormat="false" ht="15" hidden="false" customHeight="true" outlineLevel="0" collapsed="false">
      <c r="A122" s="23"/>
      <c r="B122" s="23"/>
      <c r="C122" s="23"/>
      <c r="E122" s="24"/>
      <c r="F122" s="25" t="str">
        <f aca="false">IF(D122="","",
        ROUND(
            CHOOSE(MIN(D122+1,8),0,1,3,7,15,30,60,90) *
            IF(C122="Easy Topic",1.3,IF(C122="Hard Topic",0.7,1))
        ,0))</f>
        <v/>
      </c>
      <c r="G122" s="24" t="str">
        <f aca="true">IF(E122="","",MAX(E122,TODAY())+F122)</f>
        <v/>
      </c>
    </row>
    <row r="123" customFormat="false" ht="15" hidden="false" customHeight="true" outlineLevel="0" collapsed="false">
      <c r="A123" s="23"/>
      <c r="B123" s="23"/>
      <c r="C123" s="23"/>
      <c r="E123" s="24"/>
      <c r="F123" s="25" t="str">
        <f aca="false">IF(D123="","",
        ROUND(
            CHOOSE(MIN(D123+1,8),0,1,3,7,15,30,60,90) *
            IF(C123="Easy Topic",1.3,IF(C123="Hard Topic",0.7,1))
        ,0))</f>
        <v/>
      </c>
      <c r="G123" s="24" t="str">
        <f aca="true">IF(E123="","",MAX(E123,TODAY())+F123)</f>
        <v/>
      </c>
    </row>
    <row r="124" customFormat="false" ht="15" hidden="false" customHeight="true" outlineLevel="0" collapsed="false">
      <c r="A124" s="23"/>
      <c r="B124" s="23"/>
      <c r="C124" s="23"/>
      <c r="E124" s="24"/>
      <c r="F124" s="25" t="str">
        <f aca="false">IF(D124="","",
        ROUND(
            CHOOSE(MIN(D124+1,8),0,1,3,7,15,30,60,90) *
            IF(C124="Easy Topic",1.3,IF(C124="Hard Topic",0.7,1))
        ,0))</f>
        <v/>
      </c>
      <c r="G124" s="24" t="str">
        <f aca="true">IF(E124="","",MAX(E124,TODAY())+F124)</f>
        <v/>
      </c>
    </row>
    <row r="125" customFormat="false" ht="15" hidden="false" customHeight="true" outlineLevel="0" collapsed="false">
      <c r="A125" s="23"/>
      <c r="B125" s="23"/>
      <c r="C125" s="23"/>
      <c r="E125" s="24"/>
      <c r="F125" s="25" t="str">
        <f aca="false">IF(D125="","",
        ROUND(
            CHOOSE(MIN(D125+1,8),0,1,3,7,15,30,60,90) *
            IF(C125="Easy Topic",1.3,IF(C125="Hard Topic",0.7,1))
        ,0))</f>
        <v/>
      </c>
      <c r="G125" s="24" t="str">
        <f aca="true">IF(E125="","",MAX(E125,TODAY())+F125)</f>
        <v/>
      </c>
    </row>
    <row r="126" customFormat="false" ht="15" hidden="false" customHeight="true" outlineLevel="0" collapsed="false">
      <c r="A126" s="23"/>
      <c r="B126" s="23"/>
      <c r="C126" s="23"/>
      <c r="E126" s="24"/>
      <c r="F126" s="25" t="str">
        <f aca="false">IF(D126="","",
        ROUND(
            CHOOSE(MIN(D126+1,8),0,1,3,7,15,30,60,90) *
            IF(C126="Easy Topic",1.3,IF(C126="Hard Topic",0.7,1))
        ,0))</f>
        <v/>
      </c>
      <c r="G126" s="24" t="str">
        <f aca="true">IF(E126="","",MAX(E126,TODAY())+F126)</f>
        <v/>
      </c>
    </row>
    <row r="127" customFormat="false" ht="15" hidden="false" customHeight="true" outlineLevel="0" collapsed="false">
      <c r="A127" s="23"/>
      <c r="B127" s="23"/>
      <c r="C127" s="23"/>
      <c r="E127" s="24"/>
      <c r="F127" s="25" t="str">
        <f aca="false">IF(D127="","",
        ROUND(
            CHOOSE(MIN(D127+1,8),0,1,3,7,15,30,60,90) *
            IF(C127="Easy Topic",1.3,IF(C127="Hard Topic",0.7,1))
        ,0))</f>
        <v/>
      </c>
      <c r="G127" s="24" t="str">
        <f aca="true">IF(E127="","",MAX(E127,TODAY())+F127)</f>
        <v/>
      </c>
    </row>
    <row r="128" customFormat="false" ht="15" hidden="false" customHeight="true" outlineLevel="0" collapsed="false">
      <c r="A128" s="23"/>
      <c r="B128" s="23"/>
      <c r="C128" s="23"/>
      <c r="E128" s="24"/>
      <c r="F128" s="25" t="str">
        <f aca="false">IF(D128="","",
        ROUND(
            CHOOSE(MIN(D128+1,8),0,1,3,7,15,30,60,90) *
            IF(C128="Easy Topic",1.3,IF(C128="Hard Topic",0.7,1))
        ,0))</f>
        <v/>
      </c>
      <c r="G128" s="24" t="str">
        <f aca="true">IF(E128="","",MAX(E128,TODAY())+F128)</f>
        <v/>
      </c>
    </row>
    <row r="129" customFormat="false" ht="15" hidden="false" customHeight="true" outlineLevel="0" collapsed="false">
      <c r="A129" s="23"/>
      <c r="B129" s="23"/>
      <c r="C129" s="23"/>
      <c r="E129" s="24"/>
      <c r="F129" s="25" t="str">
        <f aca="false">IF(D129="","",
        ROUND(
            CHOOSE(MIN(D129+1,8),0,1,3,7,15,30,60,90) *
            IF(C129="Easy Topic",1.3,IF(C129="Hard Topic",0.7,1))
        ,0))</f>
        <v/>
      </c>
      <c r="G129" s="24" t="str">
        <f aca="true">IF(E129="","",MAX(E129,TODAY())+F129)</f>
        <v/>
      </c>
    </row>
    <row r="130" customFormat="false" ht="15" hidden="false" customHeight="true" outlineLevel="0" collapsed="false">
      <c r="A130" s="23"/>
      <c r="B130" s="23"/>
      <c r="C130" s="23"/>
      <c r="E130" s="24"/>
      <c r="F130" s="25" t="str">
        <f aca="false">IF(D130="","",
        ROUND(
            CHOOSE(MIN(D130+1,8),0,1,3,7,15,30,60,90) *
            IF(C130="Easy Topic",1.3,IF(C130="Hard Topic",0.7,1))
        ,0))</f>
        <v/>
      </c>
      <c r="G130" s="24" t="str">
        <f aca="true">IF(E130="","",MAX(E130,TODAY())+F130)</f>
        <v/>
      </c>
    </row>
    <row r="131" customFormat="false" ht="15" hidden="false" customHeight="true" outlineLevel="0" collapsed="false">
      <c r="A131" s="23"/>
      <c r="B131" s="23"/>
      <c r="C131" s="23"/>
      <c r="E131" s="24"/>
      <c r="F131" s="25" t="str">
        <f aca="false">IF(D131="","",
        ROUND(
            CHOOSE(MIN(D131+1,8),0,1,3,7,15,30,60,90) *
            IF(C131="Easy Topic",1.3,IF(C131="Hard Topic",0.7,1))
        ,0))</f>
        <v/>
      </c>
      <c r="G131" s="24" t="str">
        <f aca="true">IF(E131="","",MAX(E131,TODAY())+F131)</f>
        <v/>
      </c>
    </row>
    <row r="132" customFormat="false" ht="15" hidden="false" customHeight="true" outlineLevel="0" collapsed="false">
      <c r="A132" s="23"/>
      <c r="B132" s="23"/>
      <c r="C132" s="23"/>
      <c r="E132" s="24"/>
      <c r="F132" s="25" t="str">
        <f aca="false">IF(D132="","",
        ROUND(
            CHOOSE(MIN(D132+1,8),0,1,3,7,15,30,60,90) *
            IF(C132="Easy Topic",1.3,IF(C132="Hard Topic",0.7,1))
        ,0))</f>
        <v/>
      </c>
      <c r="G132" s="24" t="str">
        <f aca="true">IF(E132="","",MAX(E132,TODAY())+F132)</f>
        <v/>
      </c>
    </row>
    <row r="133" customFormat="false" ht="15" hidden="false" customHeight="true" outlineLevel="0" collapsed="false">
      <c r="A133" s="23"/>
      <c r="B133" s="23"/>
      <c r="C133" s="23"/>
      <c r="E133" s="24"/>
      <c r="F133" s="25" t="str">
        <f aca="false">IF(D133="","",
        ROUND(
            CHOOSE(MIN(D133+1,8),0,1,3,7,15,30,60,90) *
            IF(C133="Easy Topic",1.3,IF(C133="Hard Topic",0.7,1))
        ,0))</f>
        <v/>
      </c>
      <c r="G133" s="24" t="str">
        <f aca="true">IF(E133="","",MAX(E133,TODAY())+F133)</f>
        <v/>
      </c>
    </row>
    <row r="134" customFormat="false" ht="15" hidden="false" customHeight="true" outlineLevel="0" collapsed="false">
      <c r="A134" s="23"/>
      <c r="B134" s="23"/>
      <c r="C134" s="23"/>
      <c r="E134" s="24"/>
      <c r="F134" s="25" t="str">
        <f aca="false">IF(D134="","",
        ROUND(
            CHOOSE(MIN(D134+1,8),0,1,3,7,15,30,60,90) *
            IF(C134="Easy Topic",1.3,IF(C134="Hard Topic",0.7,1))
        ,0))</f>
        <v/>
      </c>
      <c r="G134" s="24" t="str">
        <f aca="true">IF(E134="","",MAX(E134,TODAY())+F134)</f>
        <v/>
      </c>
    </row>
    <row r="135" customFormat="false" ht="15" hidden="false" customHeight="true" outlineLevel="0" collapsed="false">
      <c r="A135" s="23"/>
      <c r="B135" s="23"/>
      <c r="C135" s="23"/>
      <c r="E135" s="24"/>
      <c r="F135" s="25" t="str">
        <f aca="false">IF(D135="","",
        ROUND(
            CHOOSE(MIN(D135+1,8),0,1,3,7,15,30,60,90) *
            IF(C135="Easy Topic",1.3,IF(C135="Hard Topic",0.7,1))
        ,0))</f>
        <v/>
      </c>
      <c r="G135" s="24" t="str">
        <f aca="true">IF(E135="","",MAX(E135,TODAY())+F135)</f>
        <v/>
      </c>
    </row>
    <row r="136" customFormat="false" ht="15" hidden="false" customHeight="true" outlineLevel="0" collapsed="false">
      <c r="A136" s="23"/>
      <c r="B136" s="23"/>
      <c r="C136" s="23"/>
      <c r="E136" s="24"/>
      <c r="F136" s="25" t="str">
        <f aca="false">IF(D136="","",
        ROUND(
            CHOOSE(MIN(D136+1,8),0,1,3,7,15,30,60,90) *
            IF(C136="Easy Topic",1.3,IF(C136="Hard Topic",0.7,1))
        ,0))</f>
        <v/>
      </c>
      <c r="G136" s="24" t="str">
        <f aca="true">IF(E136="","",MAX(E136,TODAY())+F136)</f>
        <v/>
      </c>
    </row>
    <row r="137" customFormat="false" ht="15" hidden="false" customHeight="true" outlineLevel="0" collapsed="false">
      <c r="A137" s="23"/>
      <c r="B137" s="23"/>
      <c r="C137" s="23"/>
      <c r="E137" s="24"/>
      <c r="F137" s="25" t="str">
        <f aca="false">IF(D137="","",
        ROUND(
            CHOOSE(MIN(D137+1,8),0,1,3,7,15,30,60,90) *
            IF(C137="Easy Topic",1.3,IF(C137="Hard Topic",0.7,1))
        ,0))</f>
        <v/>
      </c>
      <c r="G137" s="24" t="str">
        <f aca="true">IF(E137="","",MAX(E137,TODAY())+F137)</f>
        <v/>
      </c>
    </row>
    <row r="138" customFormat="false" ht="15" hidden="false" customHeight="true" outlineLevel="0" collapsed="false">
      <c r="A138" s="23"/>
      <c r="B138" s="23"/>
      <c r="C138" s="23"/>
      <c r="E138" s="24"/>
      <c r="F138" s="25" t="str">
        <f aca="false">IF(D138="","",
        ROUND(
            CHOOSE(MIN(D138+1,8),0,1,3,7,15,30,60,90) *
            IF(C138="Easy Topic",1.3,IF(C138="Hard Topic",0.7,1))
        ,0))</f>
        <v/>
      </c>
      <c r="G138" s="24" t="str">
        <f aca="true">IF(E138="","",MAX(E138,TODAY())+F138)</f>
        <v/>
      </c>
    </row>
    <row r="139" customFormat="false" ht="15" hidden="false" customHeight="true" outlineLevel="0" collapsed="false">
      <c r="A139" s="23"/>
      <c r="B139" s="23"/>
      <c r="C139" s="23"/>
      <c r="E139" s="24"/>
      <c r="F139" s="25" t="str">
        <f aca="false">IF(D139="","",
        ROUND(
            CHOOSE(MIN(D139+1,8),0,1,3,7,15,30,60,90) *
            IF(C139="Easy Topic",1.3,IF(C139="Hard Topic",0.7,1))
        ,0))</f>
        <v/>
      </c>
      <c r="G139" s="24" t="str">
        <f aca="true">IF(E139="","",MAX(E139,TODAY())+F139)</f>
        <v/>
      </c>
    </row>
    <row r="140" customFormat="false" ht="15" hidden="false" customHeight="true" outlineLevel="0" collapsed="false">
      <c r="A140" s="23"/>
      <c r="B140" s="23"/>
      <c r="C140" s="23"/>
      <c r="E140" s="24"/>
      <c r="F140" s="25" t="str">
        <f aca="false">IF(D140="","",
        ROUND(
            CHOOSE(MIN(D140+1,8),0,1,3,7,15,30,60,90) *
            IF(C140="Easy Topic",1.3,IF(C140="Hard Topic",0.7,1))
        ,0))</f>
        <v/>
      </c>
      <c r="G140" s="24" t="str">
        <f aca="true">IF(E140="","",MAX(E140,TODAY())+F140)</f>
        <v/>
      </c>
    </row>
    <row r="141" customFormat="false" ht="15" hidden="false" customHeight="true" outlineLevel="0" collapsed="false">
      <c r="A141" s="23"/>
      <c r="B141" s="23"/>
      <c r="C141" s="23"/>
      <c r="E141" s="24"/>
      <c r="F141" s="25" t="str">
        <f aca="false">IF(D141="","",
        ROUND(
            CHOOSE(MIN(D141+1,8),0,1,3,7,15,30,60,90) *
            IF(C141="Easy Topic",1.3,IF(C141="Hard Topic",0.7,1))
        ,0))</f>
        <v/>
      </c>
      <c r="G141" s="24" t="str">
        <f aca="true">IF(E141="","",MAX(E141,TODAY())+F141)</f>
        <v/>
      </c>
    </row>
    <row r="142" customFormat="false" ht="15" hidden="false" customHeight="true" outlineLevel="0" collapsed="false">
      <c r="A142" s="23"/>
      <c r="B142" s="23"/>
      <c r="C142" s="23"/>
      <c r="E142" s="24"/>
      <c r="F142" s="25" t="str">
        <f aca="false">IF(D142="","",
        ROUND(
            CHOOSE(MIN(D142+1,8),0,1,3,7,15,30,60,90) *
            IF(C142="Easy Topic",1.3,IF(C142="Hard Topic",0.7,1))
        ,0))</f>
        <v/>
      </c>
      <c r="G142" s="24" t="str">
        <f aca="true">IF(E142="","",MAX(E142,TODAY())+F142)</f>
        <v/>
      </c>
    </row>
    <row r="143" customFormat="false" ht="15" hidden="false" customHeight="true" outlineLevel="0" collapsed="false">
      <c r="A143" s="23"/>
      <c r="B143" s="23"/>
      <c r="C143" s="23"/>
      <c r="E143" s="24"/>
      <c r="F143" s="25" t="str">
        <f aca="false">IF(D143="","",
        ROUND(
            CHOOSE(MIN(D143+1,8),0,1,3,7,15,30,60,90) *
            IF(C143="Easy Topic",1.3,IF(C143="Hard Topic",0.7,1))
        ,0))</f>
        <v/>
      </c>
      <c r="G143" s="24" t="str">
        <f aca="true">IF(E143="","",MAX(E143,TODAY())+F143)</f>
        <v/>
      </c>
    </row>
    <row r="144" customFormat="false" ht="15" hidden="false" customHeight="true" outlineLevel="0" collapsed="false">
      <c r="A144" s="23"/>
      <c r="B144" s="23"/>
      <c r="C144" s="23"/>
      <c r="E144" s="24"/>
      <c r="F144" s="25" t="str">
        <f aca="false">IF(D144="","",
        ROUND(
            CHOOSE(MIN(D144+1,8),0,1,3,7,15,30,60,90) *
            IF(C144="Easy Topic",1.3,IF(C144="Hard Topic",0.7,1))
        ,0))</f>
        <v/>
      </c>
      <c r="G144" s="24" t="str">
        <f aca="true">IF(E144="","",MAX(E144,TODAY())+F144)</f>
        <v/>
      </c>
    </row>
    <row r="145" customFormat="false" ht="15" hidden="false" customHeight="true" outlineLevel="0" collapsed="false">
      <c r="A145" s="23"/>
      <c r="B145" s="23"/>
      <c r="C145" s="23"/>
      <c r="E145" s="24"/>
      <c r="F145" s="25" t="str">
        <f aca="false">IF(D145="","",
        ROUND(
            CHOOSE(MIN(D145+1,8),0,1,3,7,15,30,60,90) *
            IF(C145="Easy Topic",1.3,IF(C145="Hard Topic",0.7,1))
        ,0))</f>
        <v/>
      </c>
      <c r="G145" s="24" t="str">
        <f aca="true">IF(E145="","",MAX(E145,TODAY())+F145)</f>
        <v/>
      </c>
    </row>
    <row r="146" customFormat="false" ht="15" hidden="false" customHeight="true" outlineLevel="0" collapsed="false">
      <c r="A146" s="23"/>
      <c r="B146" s="23"/>
      <c r="C146" s="23"/>
      <c r="E146" s="24"/>
      <c r="F146" s="25" t="str">
        <f aca="false">IF(D146="","",
        ROUND(
            CHOOSE(MIN(D146+1,8),0,1,3,7,15,30,60,90) *
            IF(C146="Easy Topic",1.3,IF(C146="Hard Topic",0.7,1))
        ,0))</f>
        <v/>
      </c>
      <c r="G146" s="24" t="str">
        <f aca="true">IF(E146="","",MAX(E146,TODAY())+F146)</f>
        <v/>
      </c>
    </row>
    <row r="147" customFormat="false" ht="15" hidden="false" customHeight="true" outlineLevel="0" collapsed="false">
      <c r="A147" s="23"/>
      <c r="B147" s="23"/>
      <c r="C147" s="23"/>
      <c r="E147" s="24"/>
      <c r="F147" s="25" t="str">
        <f aca="false">IF(D147="","",
        ROUND(
            CHOOSE(MIN(D147+1,8),0,1,3,7,15,30,60,90) *
            IF(C147="Easy Topic",1.3,IF(C147="Hard Topic",0.7,1))
        ,0))</f>
        <v/>
      </c>
      <c r="G147" s="24" t="str">
        <f aca="true">IF(E147="","",MAX(E147,TODAY())+F147)</f>
        <v/>
      </c>
    </row>
    <row r="148" customFormat="false" ht="15" hidden="false" customHeight="true" outlineLevel="0" collapsed="false">
      <c r="A148" s="23"/>
      <c r="B148" s="23"/>
      <c r="C148" s="23"/>
      <c r="E148" s="24"/>
      <c r="F148" s="25" t="str">
        <f aca="false">IF(D148="","",
        ROUND(
            CHOOSE(MIN(D148+1,8),0,1,3,7,15,30,60,90) *
            IF(C148="Easy Topic",1.3,IF(C148="Hard Topic",0.7,1))
        ,0))</f>
        <v/>
      </c>
      <c r="G148" s="24" t="str">
        <f aca="true">IF(E148="","",MAX(E148,TODAY())+F148)</f>
        <v/>
      </c>
    </row>
    <row r="149" customFormat="false" ht="15" hidden="false" customHeight="true" outlineLevel="0" collapsed="false">
      <c r="A149" s="23"/>
      <c r="B149" s="23"/>
      <c r="C149" s="23"/>
      <c r="E149" s="24"/>
      <c r="F149" s="25" t="str">
        <f aca="false">IF(D149="","",
        ROUND(
            CHOOSE(MIN(D149+1,8),0,1,3,7,15,30,60,90) *
            IF(C149="Easy Topic",1.3,IF(C149="Hard Topic",0.7,1))
        ,0))</f>
        <v/>
      </c>
      <c r="G149" s="24" t="str">
        <f aca="true">IF(E149="","",MAX(E149,TODAY())+F149)</f>
        <v/>
      </c>
    </row>
    <row r="150" customFormat="false" ht="15" hidden="false" customHeight="true" outlineLevel="0" collapsed="false">
      <c r="A150" s="23"/>
      <c r="B150" s="23"/>
      <c r="C150" s="23"/>
      <c r="E150" s="24"/>
      <c r="F150" s="25" t="str">
        <f aca="false">IF(D150="","",
        ROUND(
            CHOOSE(MIN(D150+1,8),0,1,3,7,15,30,60,90) *
            IF(C150="Easy Topic",1.3,IF(C150="Hard Topic",0.7,1))
        ,0))</f>
        <v/>
      </c>
      <c r="G150" s="24" t="str">
        <f aca="true">IF(E150="","",MAX(E150,TODAY())+F150)</f>
        <v/>
      </c>
    </row>
    <row r="151" customFormat="false" ht="15" hidden="false" customHeight="true" outlineLevel="0" collapsed="false">
      <c r="A151" s="23"/>
      <c r="B151" s="23"/>
      <c r="C151" s="23"/>
      <c r="E151" s="24"/>
      <c r="F151" s="25" t="str">
        <f aca="false">IF(D151="","",
        ROUND(
            CHOOSE(MIN(D151+1,8),0,1,3,7,15,30,60,90) *
            IF(C151="Easy Topic",1.3,IF(C151="Hard Topic",0.7,1))
        ,0))</f>
        <v/>
      </c>
      <c r="G151" s="24" t="str">
        <f aca="true">IF(E151="","",MAX(E151,TODAY())+F151)</f>
        <v/>
      </c>
    </row>
    <row r="152" customFormat="false" ht="15" hidden="false" customHeight="true" outlineLevel="0" collapsed="false">
      <c r="A152" s="23"/>
      <c r="B152" s="23"/>
      <c r="C152" s="23"/>
      <c r="E152" s="24"/>
      <c r="F152" s="25" t="str">
        <f aca="false">IF(D152="","",
        ROUND(
            CHOOSE(MIN(D152+1,8),0,1,3,7,15,30,60,90) *
            IF(C152="Easy Topic",1.3,IF(C152="Hard Topic",0.7,1))
        ,0))</f>
        <v/>
      </c>
      <c r="G152" s="24" t="str">
        <f aca="true">IF(E152="","",MAX(E152,TODAY())+F152)</f>
        <v/>
      </c>
    </row>
    <row r="153" customFormat="false" ht="15" hidden="false" customHeight="true" outlineLevel="0" collapsed="false">
      <c r="A153" s="23"/>
      <c r="B153" s="23"/>
      <c r="C153" s="23"/>
      <c r="E153" s="24"/>
      <c r="F153" s="25" t="str">
        <f aca="false">IF(D153="","",
        ROUND(
            CHOOSE(MIN(D153+1,8),0,1,3,7,15,30,60,90) *
            IF(C153="Easy Topic",1.3,IF(C153="Hard Topic",0.7,1))
        ,0))</f>
        <v/>
      </c>
      <c r="G153" s="24" t="str">
        <f aca="true">IF(E153="","",MAX(E153,TODAY())+F153)</f>
        <v/>
      </c>
    </row>
    <row r="154" customFormat="false" ht="15" hidden="false" customHeight="true" outlineLevel="0" collapsed="false">
      <c r="A154" s="23"/>
      <c r="B154" s="23"/>
      <c r="C154" s="23"/>
      <c r="E154" s="24"/>
      <c r="F154" s="25" t="str">
        <f aca="false">IF(D154="","",
        ROUND(
            CHOOSE(MIN(D154+1,8),0,1,3,7,15,30,60,90) *
            IF(C154="Easy Topic",1.3,IF(C154="Hard Topic",0.7,1))
        ,0))</f>
        <v/>
      </c>
      <c r="G154" s="24" t="str">
        <f aca="true">IF(E154="","",MAX(E154,TODAY())+F154)</f>
        <v/>
      </c>
    </row>
    <row r="155" customFormat="false" ht="15" hidden="false" customHeight="true" outlineLevel="0" collapsed="false">
      <c r="A155" s="23"/>
      <c r="B155" s="23"/>
      <c r="C155" s="23"/>
      <c r="E155" s="24"/>
      <c r="F155" s="25" t="str">
        <f aca="false">IF(D155="","",
        ROUND(
            CHOOSE(MIN(D155+1,8),0,1,3,7,15,30,60,90) *
            IF(C155="Easy Topic",1.3,IF(C155="Hard Topic",0.7,1))
        ,0))</f>
        <v/>
      </c>
      <c r="G155" s="24" t="str">
        <f aca="true">IF(E155="","",MAX(E155,TODAY())+F155)</f>
        <v/>
      </c>
    </row>
    <row r="156" customFormat="false" ht="15" hidden="false" customHeight="true" outlineLevel="0" collapsed="false">
      <c r="A156" s="23"/>
      <c r="B156" s="23"/>
      <c r="C156" s="23"/>
      <c r="E156" s="24"/>
      <c r="F156" s="25" t="str">
        <f aca="false">IF(D156="","",
        ROUND(
            CHOOSE(MIN(D156+1,8),0,1,3,7,15,30,60,90) *
            IF(C156="Easy Topic",1.3,IF(C156="Hard Topic",0.7,1))
        ,0))</f>
        <v/>
      </c>
      <c r="G156" s="24" t="str">
        <f aca="true">IF(E156="","",MAX(E156,TODAY())+F156)</f>
        <v/>
      </c>
    </row>
    <row r="157" customFormat="false" ht="15" hidden="false" customHeight="true" outlineLevel="0" collapsed="false">
      <c r="A157" s="23"/>
      <c r="B157" s="23"/>
      <c r="C157" s="23"/>
      <c r="E157" s="24"/>
      <c r="F157" s="25" t="str">
        <f aca="false">IF(D157="","",
        ROUND(
            CHOOSE(MIN(D157+1,8),0,1,3,7,15,30,60,90) *
            IF(C157="Easy Topic",1.3,IF(C157="Hard Topic",0.7,1))
        ,0))</f>
        <v/>
      </c>
      <c r="G157" s="24" t="str">
        <f aca="true">IF(E157="","",MAX(E157,TODAY())+F157)</f>
        <v/>
      </c>
    </row>
    <row r="158" customFormat="false" ht="15" hidden="false" customHeight="true" outlineLevel="0" collapsed="false">
      <c r="A158" s="23"/>
      <c r="B158" s="23"/>
      <c r="C158" s="23"/>
      <c r="E158" s="24"/>
      <c r="F158" s="25" t="str">
        <f aca="false">IF(D158="","",
        ROUND(
            CHOOSE(MIN(D158+1,8),0,1,3,7,15,30,60,90) *
            IF(C158="Easy Topic",1.3,IF(C158="Hard Topic",0.7,1))
        ,0))</f>
        <v/>
      </c>
      <c r="G158" s="24" t="str">
        <f aca="true">IF(E158="","",MAX(E158,TODAY())+F158)</f>
        <v/>
      </c>
    </row>
    <row r="159" customFormat="false" ht="15" hidden="false" customHeight="true" outlineLevel="0" collapsed="false">
      <c r="A159" s="23"/>
      <c r="B159" s="23"/>
      <c r="C159" s="23"/>
      <c r="E159" s="24"/>
      <c r="F159" s="25" t="str">
        <f aca="false">IF(D159="","",
        ROUND(
            CHOOSE(MIN(D159+1,8),0,1,3,7,15,30,60,90) *
            IF(C159="Easy Topic",1.3,IF(C159="Hard Topic",0.7,1))
        ,0))</f>
        <v/>
      </c>
      <c r="G159" s="24" t="str">
        <f aca="true">IF(E159="","",MAX(E159,TODAY())+F159)</f>
        <v/>
      </c>
    </row>
    <row r="160" customFormat="false" ht="15" hidden="false" customHeight="true" outlineLevel="0" collapsed="false">
      <c r="A160" s="23"/>
      <c r="B160" s="23"/>
      <c r="C160" s="23"/>
      <c r="E160" s="24"/>
      <c r="F160" s="25" t="str">
        <f aca="false">IF(D160="","",
        ROUND(
            CHOOSE(MIN(D160+1,8),0,1,3,7,15,30,60,90) *
            IF(C160="Easy Topic",1.3,IF(C160="Hard Topic",0.7,1))
        ,0))</f>
        <v/>
      </c>
      <c r="G160" s="24" t="str">
        <f aca="true">IF(E160="","",MAX(E160,TODAY())+F160)</f>
        <v/>
      </c>
    </row>
    <row r="161" customFormat="false" ht="15" hidden="false" customHeight="true" outlineLevel="0" collapsed="false">
      <c r="A161" s="23"/>
      <c r="B161" s="23"/>
      <c r="C161" s="23"/>
      <c r="E161" s="24"/>
      <c r="F161" s="25" t="str">
        <f aca="false">IF(D161="","",
        ROUND(
            CHOOSE(MIN(D161+1,8),0,1,3,7,15,30,60,90) *
            IF(C161="Easy Topic",1.3,IF(C161="Hard Topic",0.7,1))
        ,0))</f>
        <v/>
      </c>
      <c r="G161" s="24" t="str">
        <f aca="true">IF(E161="","",MAX(E161,TODAY())+F161)</f>
        <v/>
      </c>
    </row>
    <row r="162" customFormat="false" ht="15" hidden="false" customHeight="true" outlineLevel="0" collapsed="false">
      <c r="A162" s="23"/>
      <c r="B162" s="23"/>
      <c r="C162" s="23"/>
      <c r="E162" s="24"/>
      <c r="F162" s="25" t="str">
        <f aca="false">IF(D162="","",
        ROUND(
            CHOOSE(MIN(D162+1,8),0,1,3,7,15,30,60,90) *
            IF(C162="Easy Topic",1.3,IF(C162="Hard Topic",0.7,1))
        ,0))</f>
        <v/>
      </c>
      <c r="G162" s="24" t="str">
        <f aca="true">IF(E162="","",MAX(E162,TODAY())+F162)</f>
        <v/>
      </c>
    </row>
    <row r="163" customFormat="false" ht="15" hidden="false" customHeight="true" outlineLevel="0" collapsed="false">
      <c r="A163" s="23"/>
      <c r="B163" s="23"/>
      <c r="C163" s="23"/>
      <c r="E163" s="24"/>
      <c r="F163" s="25" t="str">
        <f aca="false">IF(D163="","",
        ROUND(
            CHOOSE(MIN(D163+1,8),0,1,3,7,15,30,60,90) *
            IF(C163="Easy Topic",1.3,IF(C163="Hard Topic",0.7,1))
        ,0))</f>
        <v/>
      </c>
      <c r="G163" s="24" t="str">
        <f aca="true">IF(E163="","",MAX(E163,TODAY())+F163)</f>
        <v/>
      </c>
    </row>
    <row r="164" customFormat="false" ht="15" hidden="false" customHeight="true" outlineLevel="0" collapsed="false">
      <c r="A164" s="23"/>
      <c r="B164" s="23"/>
      <c r="C164" s="23"/>
      <c r="E164" s="24"/>
      <c r="F164" s="25" t="str">
        <f aca="false">IF(D164="","",
        ROUND(
            CHOOSE(MIN(D164+1,8),0,1,3,7,15,30,60,90) *
            IF(C164="Easy Topic",1.3,IF(C164="Hard Topic",0.7,1))
        ,0))</f>
        <v/>
      </c>
      <c r="G164" s="24" t="str">
        <f aca="true">IF(E164="","",MAX(E164,TODAY())+F164)</f>
        <v/>
      </c>
    </row>
    <row r="165" customFormat="false" ht="15" hidden="false" customHeight="true" outlineLevel="0" collapsed="false">
      <c r="A165" s="23"/>
      <c r="B165" s="23"/>
      <c r="C165" s="23"/>
      <c r="E165" s="24"/>
      <c r="F165" s="25" t="str">
        <f aca="false">IF(D165="","",
        ROUND(
            CHOOSE(MIN(D165+1,8),0,1,3,7,15,30,60,90) *
            IF(C165="Easy Topic",1.3,IF(C165="Hard Topic",0.7,1))
        ,0))</f>
        <v/>
      </c>
      <c r="G165" s="24" t="str">
        <f aca="true">IF(E165="","",MAX(E165,TODAY())+F165)</f>
        <v/>
      </c>
    </row>
    <row r="166" customFormat="false" ht="15" hidden="false" customHeight="true" outlineLevel="0" collapsed="false">
      <c r="A166" s="23"/>
      <c r="B166" s="23"/>
      <c r="C166" s="23"/>
      <c r="E166" s="24"/>
      <c r="F166" s="25" t="str">
        <f aca="false">IF(D166="","",
        ROUND(
            CHOOSE(MIN(D166+1,8),0,1,3,7,15,30,60,90) *
            IF(C166="Easy Topic",1.3,IF(C166="Hard Topic",0.7,1))
        ,0))</f>
        <v/>
      </c>
      <c r="G166" s="24" t="str">
        <f aca="true">IF(E166="","",MAX(E166,TODAY())+F166)</f>
        <v/>
      </c>
    </row>
    <row r="167" customFormat="false" ht="15" hidden="false" customHeight="true" outlineLevel="0" collapsed="false">
      <c r="A167" s="23"/>
      <c r="B167" s="23"/>
      <c r="C167" s="23"/>
      <c r="E167" s="24"/>
      <c r="F167" s="25" t="str">
        <f aca="false">IF(D167="","",
        ROUND(
            CHOOSE(MIN(D167+1,8),0,1,3,7,15,30,60,90) *
            IF(C167="Easy Topic",1.3,IF(C167="Hard Topic",0.7,1))
        ,0))</f>
        <v/>
      </c>
      <c r="G167" s="24" t="str">
        <f aca="true">IF(E167="","",MAX(E167,TODAY())+F167)</f>
        <v/>
      </c>
    </row>
    <row r="168" customFormat="false" ht="15" hidden="false" customHeight="true" outlineLevel="0" collapsed="false">
      <c r="A168" s="23"/>
      <c r="B168" s="23"/>
      <c r="C168" s="23"/>
      <c r="E168" s="24"/>
      <c r="F168" s="25" t="str">
        <f aca="false">IF(D168="","",
        ROUND(
            CHOOSE(MIN(D168+1,8),0,1,3,7,15,30,60,90) *
            IF(C168="Easy Topic",1.3,IF(C168="Hard Topic",0.7,1))
        ,0))</f>
        <v/>
      </c>
      <c r="G168" s="24" t="str">
        <f aca="true">IF(E168="","",MAX(E168,TODAY())+F168)</f>
        <v/>
      </c>
    </row>
    <row r="169" customFormat="false" ht="15" hidden="false" customHeight="true" outlineLevel="0" collapsed="false">
      <c r="A169" s="23"/>
      <c r="B169" s="23"/>
      <c r="C169" s="23"/>
      <c r="E169" s="24"/>
      <c r="F169" s="25" t="str">
        <f aca="false">IF(D169="","",
        ROUND(
            CHOOSE(MIN(D169+1,8),0,1,3,7,15,30,60,90) *
            IF(C169="Easy Topic",1.3,IF(C169="Hard Topic",0.7,1))
        ,0))</f>
        <v/>
      </c>
      <c r="G169" s="24" t="str">
        <f aca="true">IF(E169="","",MAX(E169,TODAY())+F169)</f>
        <v/>
      </c>
    </row>
    <row r="170" customFormat="false" ht="15" hidden="false" customHeight="true" outlineLevel="0" collapsed="false">
      <c r="A170" s="23"/>
      <c r="B170" s="23"/>
      <c r="C170" s="23"/>
      <c r="E170" s="24"/>
      <c r="F170" s="25" t="str">
        <f aca="false">IF(D170="","",
        ROUND(
            CHOOSE(MIN(D170+1,8),0,1,3,7,15,30,60,90) *
            IF(C170="Easy Topic",1.3,IF(C170="Hard Topic",0.7,1))
        ,0))</f>
        <v/>
      </c>
      <c r="G170" s="24" t="str">
        <f aca="true">IF(E170="","",MAX(E170,TODAY())+F170)</f>
        <v/>
      </c>
    </row>
    <row r="171" customFormat="false" ht="15" hidden="false" customHeight="true" outlineLevel="0" collapsed="false">
      <c r="A171" s="23"/>
      <c r="B171" s="23"/>
      <c r="C171" s="23"/>
      <c r="E171" s="24"/>
      <c r="F171" s="25" t="str">
        <f aca="false">IF(D171="","",
        ROUND(
            CHOOSE(MIN(D171+1,8),0,1,3,7,15,30,60,90) *
            IF(C171="Easy Topic",1.3,IF(C171="Hard Topic",0.7,1))
        ,0))</f>
        <v/>
      </c>
      <c r="G171" s="24" t="str">
        <f aca="true">IF(E171="","",MAX(E171,TODAY())+F171)</f>
        <v/>
      </c>
    </row>
    <row r="172" customFormat="false" ht="15" hidden="false" customHeight="true" outlineLevel="0" collapsed="false">
      <c r="A172" s="23"/>
      <c r="B172" s="23"/>
      <c r="C172" s="23"/>
      <c r="E172" s="24"/>
      <c r="F172" s="25" t="str">
        <f aca="false">IF(D172="","",
        ROUND(
            CHOOSE(MIN(D172+1,8),0,1,3,7,15,30,60,90) *
            IF(C172="Easy Topic",1.3,IF(C172="Hard Topic",0.7,1))
        ,0))</f>
        <v/>
      </c>
      <c r="G172" s="24" t="str">
        <f aca="true">IF(E172="","",MAX(E172,TODAY())+F172)</f>
        <v/>
      </c>
    </row>
    <row r="173" customFormat="false" ht="15" hidden="false" customHeight="true" outlineLevel="0" collapsed="false">
      <c r="A173" s="23"/>
      <c r="B173" s="23"/>
      <c r="C173" s="23"/>
      <c r="E173" s="24"/>
      <c r="F173" s="25" t="str">
        <f aca="false">IF(D173="","",
        ROUND(
            CHOOSE(MIN(D173+1,8),0,1,3,7,15,30,60,90) *
            IF(C173="Easy Topic",1.3,IF(C173="Hard Topic",0.7,1))
        ,0))</f>
        <v/>
      </c>
      <c r="G173" s="24" t="str">
        <f aca="true">IF(E173="","",MAX(E173,TODAY())+F173)</f>
        <v/>
      </c>
    </row>
    <row r="174" customFormat="false" ht="15" hidden="false" customHeight="true" outlineLevel="0" collapsed="false">
      <c r="A174" s="23"/>
      <c r="B174" s="23"/>
      <c r="C174" s="23"/>
      <c r="E174" s="24"/>
      <c r="F174" s="25" t="str">
        <f aca="false">IF(D174="","",
        ROUND(
            CHOOSE(MIN(D174+1,8),0,1,3,7,15,30,60,90) *
            IF(C174="Easy Topic",1.3,IF(C174="Hard Topic",0.7,1))
        ,0))</f>
        <v/>
      </c>
      <c r="G174" s="24" t="str">
        <f aca="true">IF(E174="","",MAX(E174,TODAY())+F174)</f>
        <v/>
      </c>
    </row>
    <row r="175" customFormat="false" ht="15" hidden="false" customHeight="true" outlineLevel="0" collapsed="false">
      <c r="A175" s="23"/>
      <c r="B175" s="23"/>
      <c r="C175" s="23"/>
      <c r="E175" s="24"/>
      <c r="F175" s="25" t="str">
        <f aca="false">IF(D175="","",
        ROUND(
            CHOOSE(MIN(D175+1,8),0,1,3,7,15,30,60,90) *
            IF(C175="Easy Topic",1.3,IF(C175="Hard Topic",0.7,1))
        ,0))</f>
        <v/>
      </c>
      <c r="G175" s="24" t="str">
        <f aca="true">IF(E175="","",MAX(E175,TODAY())+F175)</f>
        <v/>
      </c>
    </row>
    <row r="176" customFormat="false" ht="15" hidden="false" customHeight="true" outlineLevel="0" collapsed="false">
      <c r="A176" s="23"/>
      <c r="B176" s="23"/>
      <c r="C176" s="23"/>
      <c r="E176" s="24"/>
      <c r="F176" s="25" t="str">
        <f aca="false">IF(D176="","",
        ROUND(
            CHOOSE(MIN(D176+1,8),0,1,3,7,15,30,60,90) *
            IF(C176="Easy Topic",1.3,IF(C176="Hard Topic",0.7,1))
        ,0))</f>
        <v/>
      </c>
      <c r="G176" s="24" t="str">
        <f aca="true">IF(E176="","",MAX(E176,TODAY())+F176)</f>
        <v/>
      </c>
    </row>
    <row r="177" customFormat="false" ht="15" hidden="false" customHeight="true" outlineLevel="0" collapsed="false">
      <c r="A177" s="23"/>
      <c r="B177" s="23"/>
      <c r="C177" s="23"/>
      <c r="E177" s="24"/>
      <c r="F177" s="25" t="str">
        <f aca="false">IF(D177="","",
        ROUND(
            CHOOSE(MIN(D177+1,8),0,1,3,7,15,30,60,90) *
            IF(C177="Easy Topic",1.3,IF(C177="Hard Topic",0.7,1))
        ,0))</f>
        <v/>
      </c>
      <c r="G177" s="24" t="str">
        <f aca="true">IF(E177="","",MAX(E177,TODAY())+F177)</f>
        <v/>
      </c>
    </row>
    <row r="178" customFormat="false" ht="15" hidden="false" customHeight="true" outlineLevel="0" collapsed="false">
      <c r="A178" s="23"/>
      <c r="B178" s="23"/>
      <c r="C178" s="23"/>
      <c r="E178" s="24"/>
      <c r="F178" s="25" t="str">
        <f aca="false">IF(D178="","",
        ROUND(
            CHOOSE(MIN(D178+1,8),0,1,3,7,15,30,60,90) *
            IF(C178="Easy Topic",1.3,IF(C178="Hard Topic",0.7,1))
        ,0))</f>
        <v/>
      </c>
      <c r="G178" s="24" t="str">
        <f aca="true">IF(E178="","",MAX(E178,TODAY())+F178)</f>
        <v/>
      </c>
    </row>
    <row r="179" customFormat="false" ht="15" hidden="false" customHeight="true" outlineLevel="0" collapsed="false">
      <c r="A179" s="23"/>
      <c r="B179" s="23"/>
      <c r="C179" s="23"/>
      <c r="E179" s="24"/>
      <c r="F179" s="25" t="str">
        <f aca="false">IF(D179="","",
        ROUND(
            CHOOSE(MIN(D179+1,8),0,1,3,7,15,30,60,90) *
            IF(C179="Easy Topic",1.3,IF(C179="Hard Topic",0.7,1))
        ,0))</f>
        <v/>
      </c>
      <c r="G179" s="24" t="str">
        <f aca="true">IF(E179="","",MAX(E179,TODAY())+F179)</f>
        <v/>
      </c>
    </row>
    <row r="180" customFormat="false" ht="15" hidden="false" customHeight="true" outlineLevel="0" collapsed="false">
      <c r="A180" s="23"/>
      <c r="B180" s="23"/>
      <c r="C180" s="23"/>
      <c r="E180" s="24"/>
      <c r="F180" s="25" t="str">
        <f aca="false">IF(D180="","",
        ROUND(
            CHOOSE(MIN(D180+1,8),0,1,3,7,15,30,60,90) *
            IF(C180="Easy Topic",1.3,IF(C180="Hard Topic",0.7,1))
        ,0))</f>
        <v/>
      </c>
      <c r="G180" s="24" t="str">
        <f aca="true">IF(E180="","",MAX(E180,TODAY())+F180)</f>
        <v/>
      </c>
    </row>
    <row r="181" customFormat="false" ht="15" hidden="false" customHeight="true" outlineLevel="0" collapsed="false">
      <c r="A181" s="23"/>
      <c r="B181" s="23"/>
      <c r="C181" s="23"/>
      <c r="E181" s="24"/>
      <c r="F181" s="25" t="str">
        <f aca="false">IF(D181="","",
        ROUND(
            CHOOSE(MIN(D181+1,8),0,1,3,7,15,30,60,90) *
            IF(C181="Easy Topic",1.3,IF(C181="Hard Topic",0.7,1))
        ,0))</f>
        <v/>
      </c>
      <c r="G181" s="24" t="str">
        <f aca="true">IF(E181="","",MAX(E181,TODAY())+F181)</f>
        <v/>
      </c>
    </row>
    <row r="182" customFormat="false" ht="15" hidden="false" customHeight="true" outlineLevel="0" collapsed="false">
      <c r="A182" s="23"/>
      <c r="B182" s="23"/>
      <c r="C182" s="23"/>
      <c r="E182" s="24"/>
      <c r="F182" s="25" t="str">
        <f aca="false">IF(D182="","",
        ROUND(
            CHOOSE(MIN(D182+1,8),0,1,3,7,15,30,60,90) *
            IF(C182="Easy Topic",1.3,IF(C182="Hard Topic",0.7,1))
        ,0))</f>
        <v/>
      </c>
      <c r="G182" s="24" t="str">
        <f aca="true">IF(E182="","",MAX(E182,TODAY())+F182)</f>
        <v/>
      </c>
    </row>
    <row r="183" customFormat="false" ht="15" hidden="false" customHeight="true" outlineLevel="0" collapsed="false">
      <c r="A183" s="23"/>
      <c r="B183" s="23"/>
      <c r="C183" s="23"/>
      <c r="E183" s="24"/>
      <c r="F183" s="25" t="str">
        <f aca="false">IF(D183="","",
        ROUND(
            CHOOSE(MIN(D183+1,8),0,1,3,7,15,30,60,90) *
            IF(C183="Easy Topic",1.3,IF(C183="Hard Topic",0.7,1))
        ,0))</f>
        <v/>
      </c>
      <c r="G183" s="24" t="str">
        <f aca="true">IF(E183="","",MAX(E183,TODAY())+F183)</f>
        <v/>
      </c>
    </row>
    <row r="184" customFormat="false" ht="15" hidden="false" customHeight="true" outlineLevel="0" collapsed="false">
      <c r="A184" s="23"/>
      <c r="B184" s="23"/>
      <c r="C184" s="23"/>
      <c r="E184" s="24"/>
      <c r="F184" s="25" t="str">
        <f aca="false">IF(D184="","",
        ROUND(
            CHOOSE(MIN(D184+1,8),0,1,3,7,15,30,60,90) *
            IF(C184="Easy Topic",1.3,IF(C184="Hard Topic",0.7,1))
        ,0))</f>
        <v/>
      </c>
      <c r="G184" s="24" t="str">
        <f aca="true">IF(E184="","",MAX(E184,TODAY())+F184)</f>
        <v/>
      </c>
    </row>
    <row r="185" customFormat="false" ht="15" hidden="false" customHeight="true" outlineLevel="0" collapsed="false">
      <c r="A185" s="23"/>
      <c r="B185" s="23"/>
      <c r="C185" s="23"/>
      <c r="E185" s="24"/>
      <c r="F185" s="25" t="str">
        <f aca="false">IF(D185="","",
        ROUND(
            CHOOSE(MIN(D185+1,8),0,1,3,7,15,30,60,90) *
            IF(C185="Easy Topic",1.3,IF(C185="Hard Topic",0.7,1))
        ,0))</f>
        <v/>
      </c>
      <c r="G185" s="24" t="str">
        <f aca="true">IF(E185="","",MAX(E185,TODAY())+F185)</f>
        <v/>
      </c>
    </row>
    <row r="186" customFormat="false" ht="15" hidden="false" customHeight="true" outlineLevel="0" collapsed="false">
      <c r="A186" s="23"/>
      <c r="B186" s="23"/>
      <c r="C186" s="23"/>
      <c r="E186" s="24"/>
      <c r="F186" s="25" t="str">
        <f aca="false">IF(D186="","",
        ROUND(
            CHOOSE(MIN(D186+1,8),0,1,3,7,15,30,60,90) *
            IF(C186="Easy Topic",1.3,IF(C186="Hard Topic",0.7,1))
        ,0))</f>
        <v/>
      </c>
      <c r="G186" s="24" t="str">
        <f aca="true">IF(E186="","",MAX(E186,TODAY())+F186)</f>
        <v/>
      </c>
    </row>
    <row r="187" customFormat="false" ht="15" hidden="false" customHeight="true" outlineLevel="0" collapsed="false">
      <c r="A187" s="23"/>
      <c r="B187" s="23"/>
      <c r="C187" s="23"/>
      <c r="E187" s="24"/>
      <c r="F187" s="25" t="str">
        <f aca="false">IF(D187="","",
        ROUND(
            CHOOSE(MIN(D187+1,8),0,1,3,7,15,30,60,90) *
            IF(C187="Easy Topic",1.3,IF(C187="Hard Topic",0.7,1))
        ,0))</f>
        <v/>
      </c>
      <c r="G187" s="24" t="str">
        <f aca="true">IF(E187="","",MAX(E187,TODAY())+F187)</f>
        <v/>
      </c>
    </row>
    <row r="188" customFormat="false" ht="15" hidden="false" customHeight="true" outlineLevel="0" collapsed="false">
      <c r="A188" s="23"/>
      <c r="B188" s="23"/>
      <c r="C188" s="23"/>
      <c r="E188" s="24"/>
      <c r="F188" s="25" t="str">
        <f aca="false">IF(D188="","",
        ROUND(
            CHOOSE(MIN(D188+1,8),0,1,3,7,15,30,60,90) *
            IF(C188="Easy Topic",1.3,IF(C188="Hard Topic",0.7,1))
        ,0))</f>
        <v/>
      </c>
      <c r="G188" s="24" t="str">
        <f aca="true">IF(E188="","",MAX(E188,TODAY())+F188)</f>
        <v/>
      </c>
    </row>
    <row r="189" customFormat="false" ht="15" hidden="false" customHeight="true" outlineLevel="0" collapsed="false">
      <c r="A189" s="23"/>
      <c r="B189" s="23"/>
      <c r="C189" s="23"/>
      <c r="E189" s="24"/>
      <c r="F189" s="25" t="str">
        <f aca="false">IF(D189="","",
        ROUND(
            CHOOSE(MIN(D189+1,8),0,1,3,7,15,30,60,90) *
            IF(C189="Easy Topic",1.3,IF(C189="Hard Topic",0.7,1))
        ,0))</f>
        <v/>
      </c>
      <c r="G189" s="24" t="str">
        <f aca="true">IF(E189="","",MAX(E189,TODAY())+F189)</f>
        <v/>
      </c>
    </row>
    <row r="190" customFormat="false" ht="15" hidden="false" customHeight="true" outlineLevel="0" collapsed="false">
      <c r="A190" s="23"/>
      <c r="B190" s="23"/>
      <c r="C190" s="23"/>
      <c r="E190" s="24"/>
      <c r="F190" s="25" t="str">
        <f aca="false">IF(D190="","",
        ROUND(
            CHOOSE(MIN(D190+1,8),0,1,3,7,15,30,60,90) *
            IF(C190="Easy Topic",1.3,IF(C190="Hard Topic",0.7,1))
        ,0))</f>
        <v/>
      </c>
      <c r="G190" s="24" t="str">
        <f aca="true">IF(E190="","",MAX(E190,TODAY())+F190)</f>
        <v/>
      </c>
    </row>
    <row r="191" customFormat="false" ht="15" hidden="false" customHeight="true" outlineLevel="0" collapsed="false">
      <c r="A191" s="23"/>
      <c r="B191" s="23"/>
      <c r="C191" s="23"/>
      <c r="E191" s="24"/>
      <c r="F191" s="25" t="str">
        <f aca="false">IF(D191="","",
        ROUND(
            CHOOSE(MIN(D191+1,8),0,1,3,7,15,30,60,90) *
            IF(C191="Easy Topic",1.3,IF(C191="Hard Topic",0.7,1))
        ,0))</f>
        <v/>
      </c>
      <c r="G191" s="24" t="str">
        <f aca="true">IF(E191="","",MAX(E191,TODAY())+F191)</f>
        <v/>
      </c>
    </row>
    <row r="192" customFormat="false" ht="15" hidden="false" customHeight="true" outlineLevel="0" collapsed="false">
      <c r="A192" s="23"/>
      <c r="B192" s="23"/>
      <c r="C192" s="23"/>
      <c r="E192" s="24"/>
      <c r="F192" s="25" t="str">
        <f aca="false">IF(D192="","",
        ROUND(
            CHOOSE(MIN(D192+1,8),0,1,3,7,15,30,60,90) *
            IF(C192="Easy Topic",1.3,IF(C192="Hard Topic",0.7,1))
        ,0))</f>
        <v/>
      </c>
      <c r="G192" s="24" t="str">
        <f aca="true">IF(E192="","",MAX(E192,TODAY())+F192)</f>
        <v/>
      </c>
    </row>
    <row r="193" customFormat="false" ht="15" hidden="false" customHeight="true" outlineLevel="0" collapsed="false">
      <c r="A193" s="23"/>
      <c r="B193" s="23"/>
      <c r="C193" s="23"/>
      <c r="E193" s="24"/>
      <c r="F193" s="25" t="str">
        <f aca="false">IF(D193="","",
        ROUND(
            CHOOSE(MIN(D193+1,8),0,1,3,7,15,30,60,90) *
            IF(C193="Easy Topic",1.3,IF(C193="Hard Topic",0.7,1))
        ,0))</f>
        <v/>
      </c>
      <c r="G193" s="24" t="str">
        <f aca="true">IF(E193="","",MAX(E193,TODAY())+F193)</f>
        <v/>
      </c>
    </row>
    <row r="194" customFormat="false" ht="15" hidden="false" customHeight="true" outlineLevel="0" collapsed="false">
      <c r="A194" s="23"/>
      <c r="B194" s="23"/>
      <c r="C194" s="23"/>
      <c r="E194" s="24"/>
      <c r="F194" s="25" t="str">
        <f aca="false">IF(D194="","",
        ROUND(
            CHOOSE(MIN(D194+1,8),0,1,3,7,15,30,60,90) *
            IF(C194="Easy Topic",1.3,IF(C194="Hard Topic",0.7,1))
        ,0))</f>
        <v/>
      </c>
      <c r="G194" s="24" t="str">
        <f aca="true">IF(E194="","",MAX(E194,TODAY())+F194)</f>
        <v/>
      </c>
    </row>
    <row r="195" customFormat="false" ht="15" hidden="false" customHeight="true" outlineLevel="0" collapsed="false">
      <c r="A195" s="23"/>
      <c r="B195" s="23"/>
      <c r="C195" s="23"/>
      <c r="E195" s="24"/>
      <c r="F195" s="25" t="str">
        <f aca="false">IF(D195="","",
        ROUND(
            CHOOSE(MIN(D195+1,8),0,1,3,7,15,30,60,90) *
            IF(C195="Easy Topic",1.3,IF(C195="Hard Topic",0.7,1))
        ,0))</f>
        <v/>
      </c>
      <c r="G195" s="24" t="str">
        <f aca="true">IF(E195="","",MAX(E195,TODAY())+F195)</f>
        <v/>
      </c>
    </row>
    <row r="196" customFormat="false" ht="15" hidden="false" customHeight="true" outlineLevel="0" collapsed="false">
      <c r="A196" s="23"/>
      <c r="B196" s="23"/>
      <c r="C196" s="23"/>
      <c r="E196" s="24"/>
      <c r="F196" s="25" t="str">
        <f aca="false">IF(D196="","",
        ROUND(
            CHOOSE(MIN(D196+1,8),0,1,3,7,15,30,60,90) *
            IF(C196="Easy Topic",1.3,IF(C196="Hard Topic",0.7,1))
        ,0))</f>
        <v/>
      </c>
      <c r="G196" s="24" t="str">
        <f aca="true">IF(E196="","",MAX(E196,TODAY())+F196)</f>
        <v/>
      </c>
    </row>
    <row r="197" customFormat="false" ht="15" hidden="false" customHeight="true" outlineLevel="0" collapsed="false">
      <c r="A197" s="23"/>
      <c r="B197" s="23"/>
      <c r="C197" s="23"/>
      <c r="E197" s="24"/>
      <c r="F197" s="25" t="str">
        <f aca="false">IF(D197="","",
        ROUND(
            CHOOSE(MIN(D197+1,8),0,1,3,7,15,30,60,90) *
            IF(C197="Easy Topic",1.3,IF(C197="Hard Topic",0.7,1))
        ,0))</f>
        <v/>
      </c>
      <c r="G197" s="24" t="str">
        <f aca="true">IF(E197="","",MAX(E197,TODAY())+F197)</f>
        <v/>
      </c>
    </row>
    <row r="198" customFormat="false" ht="15" hidden="false" customHeight="true" outlineLevel="0" collapsed="false">
      <c r="A198" s="23"/>
      <c r="B198" s="23"/>
      <c r="C198" s="23"/>
      <c r="E198" s="24"/>
      <c r="F198" s="25" t="str">
        <f aca="false">IF(D198="","",
        ROUND(
            CHOOSE(MIN(D198+1,8),0,1,3,7,15,30,60,90) *
            IF(C198="Easy Topic",1.3,IF(C198="Hard Topic",0.7,1))
        ,0))</f>
        <v/>
      </c>
      <c r="G198" s="24" t="str">
        <f aca="true">IF(E198="","",MAX(E198,TODAY())+F198)</f>
        <v/>
      </c>
    </row>
    <row r="199" customFormat="false" ht="15" hidden="false" customHeight="true" outlineLevel="0" collapsed="false">
      <c r="A199" s="23"/>
      <c r="B199" s="23"/>
      <c r="C199" s="23"/>
      <c r="E199" s="24"/>
      <c r="F199" s="25" t="str">
        <f aca="false">IF(D199="","",
        ROUND(
            CHOOSE(MIN(D199+1,8),0,1,3,7,15,30,60,90) *
            IF(C199="Easy Topic",1.3,IF(C199="Hard Topic",0.7,1))
        ,0))</f>
        <v/>
      </c>
      <c r="G199" s="24" t="str">
        <f aca="true">IF(E199="","",MAX(E199,TODAY())+F199)</f>
        <v/>
      </c>
    </row>
    <row r="200" customFormat="false" ht="15" hidden="false" customHeight="true" outlineLevel="0" collapsed="false">
      <c r="A200" s="23"/>
      <c r="B200" s="23"/>
      <c r="C200" s="23"/>
      <c r="E200" s="24"/>
      <c r="F200" s="25" t="str">
        <f aca="false">IF(D200="","",
        ROUND(
            CHOOSE(MIN(D200+1,8),0,1,3,7,15,30,60,90) *
            IF(C200="Easy Topic",1.3,IF(C200="Hard Topic",0.7,1))
        ,0))</f>
        <v/>
      </c>
      <c r="G200" s="24" t="str">
        <f aca="true">IF(E200="","",MAX(E200,TODAY())+F200)</f>
        <v/>
      </c>
    </row>
    <row r="201" customFormat="false" ht="15" hidden="false" customHeight="true" outlineLevel="0" collapsed="false">
      <c r="A201" s="23"/>
      <c r="B201" s="23"/>
      <c r="C201" s="23"/>
      <c r="E201" s="24"/>
      <c r="F201" s="25" t="str">
        <f aca="false">IF(D201="","",
        ROUND(
            CHOOSE(MIN(D201+1,8),0,1,3,7,15,30,60,90) *
            IF(C201="Easy Topic",1.3,IF(C201="Hard Topic",0.7,1))
        ,0))</f>
        <v/>
      </c>
      <c r="G201" s="24" t="str">
        <f aca="true">IF(E201="","",MAX(E201,TODAY())+F201)</f>
        <v/>
      </c>
    </row>
    <row r="202" customFormat="false" ht="15" hidden="false" customHeight="true" outlineLevel="0" collapsed="false">
      <c r="A202" s="23"/>
      <c r="B202" s="23"/>
      <c r="C202" s="23"/>
      <c r="E202" s="24"/>
      <c r="F202" s="25" t="str">
        <f aca="false">IF(D202="","",
        ROUND(
            CHOOSE(MIN(D202+1,8),0,1,3,7,15,30,60,90) *
            IF(C202="Easy Topic",1.3,IF(C202="Hard Topic",0.7,1))
        ,0))</f>
        <v/>
      </c>
      <c r="G202" s="24" t="str">
        <f aca="true">IF(E202="","",MAX(E202,TODAY())+F202)</f>
        <v/>
      </c>
    </row>
    <row r="203" customFormat="false" ht="15" hidden="false" customHeight="true" outlineLevel="0" collapsed="false">
      <c r="A203" s="23"/>
      <c r="B203" s="23"/>
      <c r="C203" s="23"/>
      <c r="E203" s="24"/>
      <c r="F203" s="25" t="str">
        <f aca="false">IF(D203="","",
        ROUND(
            CHOOSE(MIN(D203+1,8),0,1,3,7,15,30,60,90) *
            IF(C203="Easy Topic",1.3,IF(C203="Hard Topic",0.7,1))
        ,0))</f>
        <v/>
      </c>
      <c r="G203" s="24" t="str">
        <f aca="true">IF(E203="","",MAX(E203,TODAY())+F203)</f>
        <v/>
      </c>
    </row>
  </sheetData>
  <mergeCells count="2">
    <mergeCell ref="A1:G1"/>
    <mergeCell ref="A2:G2"/>
  </mergeCells>
  <conditionalFormatting sqref="A4:A203">
    <cfRule type="expression" priority="2" aboveAverage="0" equalAverage="0" bottom="0" percent="0" rank="0" text="" dxfId="2">
      <formula>$E4=TODAY()</formula>
    </cfRule>
  </conditionalFormatting>
  <conditionalFormatting sqref="B4:B203">
    <cfRule type="expression" priority="3" aboveAverage="0" equalAverage="0" bottom="0" percent="0" rank="0" text="" dxfId="2">
      <formula>$E4=TODAY()</formula>
    </cfRule>
  </conditionalFormatting>
  <conditionalFormatting sqref="C4:C203">
    <cfRule type="expression" priority="4" aboveAverage="0" equalAverage="0" bottom="0" percent="0" rank="0" text="" dxfId="2">
      <formula>$E4=TODAY()</formula>
    </cfRule>
  </conditionalFormatting>
  <conditionalFormatting sqref="D4:D203">
    <cfRule type="expression" priority="5" aboveAverage="0" equalAverage="0" bottom="0" percent="0" rank="0" text="" dxfId="2">
      <formula>$E4=TODAY()</formula>
    </cfRule>
  </conditionalFormatting>
  <conditionalFormatting sqref="E4:E203">
    <cfRule type="expression" priority="6" aboveAverage="0" equalAverage="0" bottom="0" percent="0" rank="0" text="" dxfId="2">
      <formula>$E4=TODAY()</formula>
    </cfRule>
  </conditionalFormatting>
  <conditionalFormatting sqref="F4:F203">
    <cfRule type="expression" priority="7" aboveAverage="0" equalAverage="0" bottom="0" percent="0" rank="0" text="" dxfId="2">
      <formula>$E4=TODAY()</formula>
    </cfRule>
  </conditionalFormatting>
  <conditionalFormatting sqref="G4:G203">
    <cfRule type="expression" priority="8" aboveAverage="0" equalAverage="0" bottom="0" percent="0" rank="0" text="" dxfId="2">
      <formula>$E4=TODAY()</formula>
    </cfRule>
  </conditionalFormatting>
  <dataValidations count="1">
    <dataValidation allowBlank="true" errorStyle="stop" operator="between" showDropDown="false" showErrorMessage="false" showInputMessage="false" sqref="C4:C203" type="list">
      <formula1>"Easy Topic,Normal,Hard Topic"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12"/>
  </cols>
  <sheetData>
    <row r="1" customFormat="false" ht="30" hidden="false" customHeight="true" outlineLevel="0" collapsed="false">
      <c r="A1" s="26" t="s">
        <v>93</v>
      </c>
      <c r="B1" s="26"/>
      <c r="C1" s="26"/>
    </row>
    <row r="3" customFormat="false" ht="15.75" hidden="false" customHeight="true" outlineLevel="0" collapsed="false">
      <c r="A3" s="27" t="s">
        <v>94</v>
      </c>
    </row>
    <row r="4" customFormat="false" ht="15.75" hidden="false" customHeight="true" outlineLevel="0" collapsed="false">
      <c r="A4" s="15" t="s">
        <v>63</v>
      </c>
      <c r="B4" s="28" t="n">
        <f aca="true">COUNTIFS(Database!$G:$G,"&lt;="&amp;TODAY(),Database!$A:$A,"&lt;&gt;")+(COUNTIF(Database!$E:$E,"")-COUNTBLANK(Database!$A:$A))</f>
        <v>3</v>
      </c>
    </row>
    <row r="5" customFormat="false" ht="15.75" hidden="false" customHeight="true" outlineLevel="0" collapsed="false">
      <c r="A5" s="15" t="s">
        <v>95</v>
      </c>
      <c r="B5" s="29" t="n">
        <f aca="false">COUNTA(Database!$A:$A)-3</f>
        <v>4</v>
      </c>
    </row>
    <row r="6" customFormat="false" ht="15.75" hidden="false" customHeight="true" outlineLevel="0" collapsed="false">
      <c r="A6" s="15" t="s">
        <v>96</v>
      </c>
      <c r="B6" s="30" t="n">
        <f aca="false">COUNTIF(Database!$D:$D,7)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2026-02-10T12:35:24Z</dcterms:created>
  <dc:creator>openpyxl</dc:creator>
  <dc:description/>
  <dc:language>en-US</dc:language>
  <cp:lastModifiedBy/>
  <dcterms:modified xsi:type="dcterms:W3CDTF">2026-02-10T12:35:59Z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