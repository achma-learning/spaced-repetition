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Tracker" sheetId="1" state="visible" r:id="rId3"/>
    <sheet name="📚 To Study Today" sheetId="2" state="visible" r:id="rId4"/>
    <sheet name="🔴 Must Complete" sheetId="3" state="visible" r:id="rId5"/>
    <sheet name="📊 Dashboard" sheetId="4" state="visible" r:id="rId6"/>
    <sheet name="⚙️ Sett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<sst xmlns="http://schemas.openxmlformats.org/spreadsheetml/2006/main" count="137" uniqueCount="126">
  <si>
    <t xml:space="preserve">SPACED REPETITION TRACKER - Main Database</t>
  </si>
  <si>
    <t xml:space="preserve">⚠️ DO NOT edit this sheet directly! Use "To Study Today" sheet for daily reviews. Only add new lessons here.</t>
  </si>
  <si>
    <t xml:space="preserve">Category</t>
  </si>
  <si>
    <t xml:space="preserve">Sub-category</t>
  </si>
  <si>
    <t xml:space="preserve">Lesson Name</t>
  </si>
  <si>
    <t xml:space="preserve">Notes</t>
  </si>
  <si>
    <t xml:space="preserve">First Study (J0)</t>
  </si>
  <si>
    <t xml:space="preserve">J1 (+1d)</t>
  </si>
  <si>
    <t xml:space="preserve">J3 (+3d)</t>
  </si>
  <si>
    <t xml:space="preserve">J7 (+7d)</t>
  </si>
  <si>
    <t xml:space="preserve">J15 (+15d)</t>
  </si>
  <si>
    <t xml:space="preserve">J30 (+30d)</t>
  </si>
  <si>
    <t xml:space="preserve">J60 (+60d)</t>
  </si>
  <si>
    <t xml:space="preserve">J90 (+90d)</t>
  </si>
  <si>
    <t xml:space="preserve">Next Review</t>
  </si>
  <si>
    <t xml:space="preserve">Status</t>
  </si>
  <si>
    <t xml:space="preserve">Anatomy</t>
  </si>
  <si>
    <t xml:space="preserve">Cardiology</t>
  </si>
  <si>
    <t xml:space="preserve">Heart anatomy basics</t>
  </si>
  <si>
    <t xml:space="preserve">Chapter 1-3</t>
  </si>
  <si>
    <t xml:space="preserve">Microbiology</t>
  </si>
  <si>
    <t xml:space="preserve">Virology</t>
  </si>
  <si>
    <t xml:space="preserve">Viral structure</t>
  </si>
  <si>
    <t xml:space="preserve">Pharmacology</t>
  </si>
  <si>
    <t xml:space="preserve">CNS drugs</t>
  </si>
  <si>
    <t xml:space="preserve">Benzodiazepines</t>
  </si>
  <si>
    <t xml:space="preserve">Focus on mechanism</t>
  </si>
  <si>
    <t xml:space="preserve">📚 TODAY'S STUDY SESSION</t>
  </si>
  <si>
    <t xml:space="preserve">Today:</t>
  </si>
  <si>
    <t xml:space="preserve">✏️ INSTRUCTIONS: Review each lesson below. Mark as "✅ Studied" when done. The date will auto-fill in the tracker!</t>
  </si>
  <si>
    <t xml:space="preserve">Row#</t>
  </si>
  <si>
    <t xml:space="preserve">Scheduled</t>
  </si>
  <si>
    <t xml:space="preserve">Which Review?</t>
  </si>
  <si>
    <t xml:space="preserve">Action</t>
  </si>
  <si>
    <t xml:space="preserve">Auto-Date</t>
  </si>
  <si>
    <t xml:space="preserve">📝 TO ADD COMPLETION: When you mark "✅ Studied", copy the date from column H and paste it into the Review Tracker sheet in the correct review column (J1, J3, J7, etc.)</t>
  </si>
  <si>
    <t xml:space="preserve">HOW IT WORKS:</t>
  </si>
  <si>
    <t xml:space="preserve">1. Lessons that are DUE TODAY or OVERDUE will show in the "🔴 Must Complete" sheet automatically</t>
  </si>
  <si>
    <t xml:space="preserve">2. To review: Go to "Review Tracker", find lessons with 🟡 or 🔴 in Status column</t>
  </si>
  <si>
    <t xml:space="preserve">3. Study the lesson, then enter TODAY'S DATE in the appropriate review column (J1, J3, J7, etc.)</t>
  </si>
  <si>
    <t xml:space="preserve">4. The system will automatically calculate your next review date!</t>
  </si>
  <si>
    <t xml:space="preserve">QUICK REFERENCE - Which column to fill?</t>
  </si>
  <si>
    <t xml:space="preserve">If Next Review Shows...</t>
  </si>
  <si>
    <t xml:space="preserve">Fill This Column...</t>
  </si>
  <si>
    <t xml:space="preserve">Formula Shows...</t>
  </si>
  <si>
    <t xml:space="preserve">A date in column F (J1)</t>
  </si>
  <si>
    <t xml:space="preserve">Column F in Review Tracker</t>
  </si>
  <si>
    <t xml:space="preserve">'=E+1</t>
  </si>
  <si>
    <t xml:space="preserve">A date in column G (J3)</t>
  </si>
  <si>
    <t xml:space="preserve">Column G in Review Tracker</t>
  </si>
  <si>
    <t xml:space="preserve">'=MAX(E,F)+3</t>
  </si>
  <si>
    <t xml:space="preserve">A date in column H (J7)</t>
  </si>
  <si>
    <t xml:space="preserve">Column H in Review Tracker</t>
  </si>
  <si>
    <t xml:space="preserve">'=MAX(E,F,G)+7</t>
  </si>
  <si>
    <t xml:space="preserve">A date in column I (J15)</t>
  </si>
  <si>
    <t xml:space="preserve">Column I in Review Tracker</t>
  </si>
  <si>
    <t xml:space="preserve">'=MAX(E,F,G,H)+15</t>
  </si>
  <si>
    <t xml:space="preserve">A date in column J (J30)</t>
  </si>
  <si>
    <t xml:space="preserve">Column J in Review Tracker</t>
  </si>
  <si>
    <t xml:space="preserve">'=MAX(E,F,G,H,I)+30</t>
  </si>
  <si>
    <t xml:space="preserve">🔴 OVERDUE REVIEWS - Priority Action Required!</t>
  </si>
  <si>
    <t xml:space="preserve">⚠️ These lessons are past their review date. Complete them as soon as possible to stay on track!</t>
  </si>
  <si>
    <t xml:space="preserve">Was Due</t>
  </si>
  <si>
    <t xml:space="preserve">Days Overdue</t>
  </si>
  <si>
    <t xml:space="preserve">Priority</t>
  </si>
  <si>
    <t xml:space="preserve">These lessons are pulled automatically from Review Tracker where Status = 🔴 OVERDUE</t>
  </si>
  <si>
    <t xml:space="preserve">TO FIND OVERDUE LESSONS:</t>
  </si>
  <si>
    <t xml:space="preserve">1. Go to "Review Tracker" sheet</t>
  </si>
  <si>
    <t xml:space="preserve">2. Look for rows with 🔴 OVERDUE in the Status column (Column N)</t>
  </si>
  <si>
    <t xml:space="preserve">3. Priority: Study these BEFORE today's reviews!</t>
  </si>
  <si>
    <t xml:space="preserve">STATISTICS:</t>
  </si>
  <si>
    <t xml:space="preserve">Total Overdue:</t>
  </si>
  <si>
    <t xml:space="preserve">Most Overdue By:</t>
  </si>
  <si>
    <t xml:space="preserve">days</t>
  </si>
  <si>
    <t xml:space="preserve">💡 TIP: Use AutoFilter on Review Tracker to see only overdue items:</t>
  </si>
  <si>
    <t xml:space="preserve">   • Go to Review Tracker sheet</t>
  </si>
  <si>
    <t xml:space="preserve">   • Click on any cell in row 3 (header row)</t>
  </si>
  <si>
    <t xml:space="preserve">   • Press Ctrl+Shift+L (or Data → Filter)</t>
  </si>
  <si>
    <t xml:space="preserve">   • Click dropdown in Status column → Select only "🔴 OVERDUE"</t>
  </si>
  <si>
    <t xml:space="preserve">📊 STUDY DASHBOARD</t>
  </si>
  <si>
    <t xml:space="preserve">REVIEW STATISTICS</t>
  </si>
  <si>
    <t xml:space="preserve">🔴 Overdue (URGENT):</t>
  </si>
  <si>
    <t xml:space="preserve">🟡 Due today:</t>
  </si>
  <si>
    <t xml:space="preserve">🟢 Upcoming (next 7 days):</t>
  </si>
  <si>
    <t xml:space="preserve">✅ Completed lessons:</t>
  </si>
  <si>
    <t xml:space="preserve">📚 Total active lessons:</t>
  </si>
  <si>
    <t xml:space="preserve">📋 DAILY WORKFLOW:</t>
  </si>
  <si>
    <t xml:space="preserve">1️⃣ Check your stats above</t>
  </si>
  <si>
    <t xml:space="preserve">2️⃣ Go to "📚 To Study Today" sheet</t>
  </si>
  <si>
    <t xml:space="preserve">3️⃣ Review each lesson listed</t>
  </si>
  <si>
    <t xml:space="preserve">4️⃣ Mark as "✅ Studied" in the Action column</t>
  </si>
  <si>
    <t xml:space="preserve">5️⃣ Copy the auto-date and paste it to Review Tracker</t>
  </si>
  <si>
    <t xml:space="preserve">6️⃣ Check "🔴 Must Complete" for overdue items</t>
  </si>
  <si>
    <t xml:space="preserve">🧠 SPACED REPETITION PRINCIPLES:</t>
  </si>
  <si>
    <t xml:space="preserve">✓ Active Recall: Test yourself, don't just re-read</t>
  </si>
  <si>
    <t xml:space="preserve">✓ Consistency: Review daily to prevent backlog</t>
  </si>
  <si>
    <t xml:space="preserve">✓ Just-in-Time: Review just before forgetting</t>
  </si>
  <si>
    <t xml:space="preserve">✓ Long-term Memory: Moves knowledge to permanent storage</t>
  </si>
  <si>
    <t xml:space="preserve">✓ Efficiency: Saves time by optimizing review timing</t>
  </si>
  <si>
    <t xml:space="preserve">⚙️ SPACED REPETITION SETTINGS</t>
  </si>
  <si>
    <t xml:space="preserve">Review Interval Presets</t>
  </si>
  <si>
    <t xml:space="preserve">Preset Type</t>
  </si>
  <si>
    <t xml:space="preserve">J0</t>
  </si>
  <si>
    <t xml:space="preserve">Intervals (days)</t>
  </si>
  <si>
    <t xml:space="preserve">Description</t>
  </si>
  <si>
    <t xml:space="preserve">Classic (Current)</t>
  </si>
  <si>
    <t xml:space="preserve">0</t>
  </si>
  <si>
    <t xml:space="preserve">1, 3, 7, 15, 30, 60, 90</t>
  </si>
  <si>
    <t xml:space="preserve">Scientifically optimal - recommended</t>
  </si>
  <si>
    <t xml:space="preserve">Intensive</t>
  </si>
  <si>
    <t xml:space="preserve">1, 2, 5, 10, 20, 40, 80</t>
  </si>
  <si>
    <t xml:space="preserve">For exam preparation</t>
  </si>
  <si>
    <t xml:space="preserve">Relaxed</t>
  </si>
  <si>
    <t xml:space="preserve">2, 5, 14, 30, 90, 180</t>
  </si>
  <si>
    <t xml:space="preserve">Long-term retention focus</t>
  </si>
  <si>
    <t xml:space="preserve">Quick Review</t>
  </si>
  <si>
    <t xml:space="preserve">1, 3, 10, 30</t>
  </si>
  <si>
    <t xml:space="preserve">For easier material</t>
  </si>
  <si>
    <t xml:space="preserve">🎓 TIPS FOR MEDICAL STUDENTS:</t>
  </si>
  <si>
    <t xml:space="preserve">• Break large topics into smaller lessons (e.g., "Heart anatomy" → "Chambers", "Valves", "Vessels")</t>
  </si>
  <si>
    <t xml:space="preserve">• Study consistently every day - even 20 minutes maintains the system</t>
  </si>
  <si>
    <t xml:space="preserve">• Use active recall: Close your notes and explain concepts aloud</t>
  </si>
  <si>
    <t xml:space="preserve">• If you miss a day, the system adapts when you mark completion</t>
  </si>
  <si>
    <t xml:space="preserve">• Prioritize overdue reviews - they're about to be forgotten!</t>
  </si>
  <si>
    <t xml:space="preserve">• For clinical knowledge, add patient scenarios in Notes column</t>
  </si>
  <si>
    <t xml:space="preserve">• Review formulas: Review Tracker row shows intervals automatically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</si>
</sst>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C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i val="true"/>
      <sz val="10"/>
      <color rgb="FF0066CC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1F4788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sz val="9"/>
      <name val="Cambria"/>
      <family val="0"/>
      <charset val="1"/>
    </font>
    <font>
      <b val="true"/>
      <i val="true"/>
      <sz val="10"/>
      <color rgb="FFC00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0"/>
      <color rgb="FF0066CC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FF6600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2"/>
      <color rgb="FF00B050"/>
      <name val="Cambria"/>
      <family val="0"/>
      <charset val="1"/>
    </font>
    <font>
      <b val="true"/>
      <u val="single"/>
      <sz val="13"/>
      <color rgb="FF1F4788"/>
      <name val="Cambria"/>
      <family val="0"/>
      <charset val="1"/>
    </font>
    <font>
      <sz val="11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1F4788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366092"/>
        <bgColor rgb="FF1F4788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5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12" min="6" style="1" width="12"/>
    <col collapsed="false" customWidth="true" hidden="false" outlineLevel="0" max="13" min="13" style="1" width="13"/>
    <col collapsed="false" customWidth="true" hidden="false" outlineLevel="0" max="14" min="14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9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15" hidden="false" customHeight="tru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5" t="n">
        <v>46054</v>
      </c>
      <c r="F4" s="5" t="n">
        <f aca="false">IF(E4="","",E4+1)</f>
        <v>46055</v>
      </c>
      <c r="G4" s="5" t="n">
        <f aca="false">IF(OR(E4="",F4=""),"",MAX(E4,F4)+3)</f>
        <v>46058</v>
      </c>
      <c r="H4" s="5" t="n">
        <f aca="false">IF(OR(E4="",G4=""),"",MAX(E4,F4,G4)+7)</f>
        <v>46065</v>
      </c>
      <c r="I4" s="5" t="n">
        <f aca="false">IF(OR(E4="",H4=""),"",MAX(E4,F4,G4,H4)+15)</f>
        <v>46080</v>
      </c>
      <c r="J4" s="5" t="n">
        <f aca="false">IF(OR(E4="",I4=""),"",MAX(E4,F4,G4,H4,I4)+30)</f>
        <v>46110</v>
      </c>
      <c r="K4" s="5" t="n">
        <f aca="false">IF(OR(E4="",J4=""),"",MAX(E4,F4,G4,H4,I4,J4)+60)</f>
        <v>46170</v>
      </c>
      <c r="L4" s="5" t="n">
        <f aca="false">IF(OR(E4="",K4=""),"",MAX(E4,F4,G4,H4,I4,J4,K4)+90)</f>
        <v>46260</v>
      </c>
      <c r="M4" s="5" t="str">
        <f aca="false">IF(E4="","Not Started",IF(F4="",F4,IF(G4="",G4,IF(H4="",H4,IF(I4="",I4,IF(J4="",J4,IF(K4="",K4,IF(L4="",L4,"Complete"))))))))</f>
        <v>Complete</v>
      </c>
      <c r="N4" s="1" t="str">
        <f aca="true">IF(E4="","",IF(M4="Complete","✅ Complete",IF(M4="Not Started","",IF(M4&lt;TODAY(),"🔴 OVERDUE",IF(M4=TODAY(),"🟡 DUE TODAY","🟢 Upcoming")))))</f>
        <v>✅ Complete</v>
      </c>
    </row>
    <row r="5" customFormat="false" ht="15" hidden="false" customHeight="true" outlineLevel="0" collapsed="false">
      <c r="A5" s="1" t="s">
        <v>20</v>
      </c>
      <c r="B5" s="1" t="s">
        <v>21</v>
      </c>
      <c r="C5" s="1" t="s">
        <v>22</v>
      </c>
      <c r="E5" s="5" t="n">
        <v>46056</v>
      </c>
      <c r="F5" s="5" t="n">
        <f aca="false">IF(E5="","",E5+1)</f>
        <v>46057</v>
      </c>
      <c r="G5" s="5" t="n">
        <f aca="false">IF(OR(E5="",F5=""),"",MAX(E5,F5)+3)</f>
        <v>46060</v>
      </c>
      <c r="H5" s="5" t="n">
        <f aca="false">IF(OR(E5="",G5=""),"",MAX(E5,F5,G5)+7)</f>
        <v>46067</v>
      </c>
      <c r="I5" s="5" t="n">
        <f aca="false">IF(OR(E5="",H5=""),"",MAX(E5,F5,G5,H5)+15)</f>
        <v>46082</v>
      </c>
      <c r="J5" s="5" t="n">
        <f aca="false">IF(OR(E5="",I5=""),"",MAX(E5,F5,G5,H5,I5)+30)</f>
        <v>46112</v>
      </c>
      <c r="K5" s="5" t="n">
        <f aca="false">IF(OR(E5="",J5=""),"",MAX(E5,F5,G5,H5,I5,J5)+60)</f>
        <v>46172</v>
      </c>
      <c r="L5" s="5" t="n">
        <f aca="false">IF(OR(E5="",K5=""),"",MAX(E5,F5,G5,H5,I5,J5,K5)+90)</f>
        <v>46262</v>
      </c>
      <c r="M5" s="5" t="str">
        <f aca="false">IF(E5="","Not Started",IF(F5="",F5,IF(G5="",G5,IF(H5="",H5,IF(I5="",I5,IF(J5="",J5,IF(K5="",K5,IF(L5="",L5,"Complete"))))))))</f>
        <v>Complete</v>
      </c>
      <c r="N5" s="1" t="str">
        <f aca="true">IF(E5="","",IF(M5="Complete","✅ Complete",IF(M5="Not Started","",IF(M5&lt;TODAY(),"🔴 OVERDUE",IF(M5=TODAY(),"🟡 DUE TODAY","🟢 Upcoming")))))</f>
        <v>✅ Complete</v>
      </c>
    </row>
    <row r="6" customFormat="false" ht="15" hidden="false" customHeight="true" outlineLevel="0" collapsed="false">
      <c r="A6" s="1" t="s">
        <v>23</v>
      </c>
      <c r="B6" s="1" t="s">
        <v>24</v>
      </c>
      <c r="C6" s="1" t="s">
        <v>25</v>
      </c>
      <c r="D6" s="1" t="s">
        <v>26</v>
      </c>
      <c r="E6" s="5" t="n">
        <v>46058</v>
      </c>
      <c r="F6" s="5" t="n">
        <f aca="false">IF(E6="","",E6+1)</f>
        <v>46059</v>
      </c>
      <c r="G6" s="5" t="n">
        <f aca="false">IF(OR(E6="",F6=""),"",MAX(E6,F6)+3)</f>
        <v>46062</v>
      </c>
      <c r="H6" s="5" t="n">
        <f aca="false">IF(OR(E6="",G6=""),"",MAX(E6,F6,G6)+7)</f>
        <v>46069</v>
      </c>
      <c r="I6" s="5" t="n">
        <f aca="false">IF(OR(E6="",H6=""),"",MAX(E6,F6,G6,H6)+15)</f>
        <v>46084</v>
      </c>
      <c r="J6" s="5" t="n">
        <f aca="false">IF(OR(E6="",I6=""),"",MAX(E6,F6,G6,H6,I6)+30)</f>
        <v>46114</v>
      </c>
      <c r="K6" s="5" t="n">
        <f aca="false">IF(OR(E6="",J6=""),"",MAX(E6,F6,G6,H6,I6,J6)+60)</f>
        <v>46174</v>
      </c>
      <c r="L6" s="5" t="n">
        <f aca="false">IF(OR(E6="",K6=""),"",MAX(E6,F6,G6,H6,I6,J6,K6)+90)</f>
        <v>46264</v>
      </c>
      <c r="M6" s="5" t="str">
        <f aca="false">IF(E6="","Not Started",IF(F6="",F6,IF(G6="",G6,IF(H6="",H6,IF(I6="",I6,IF(J6="",J6,IF(K6="",K6,IF(L6="",L6,"Complete"))))))))</f>
        <v>Complete</v>
      </c>
      <c r="N6" s="1" t="str">
        <f aca="true">IF(E6="","",IF(M6="Complete","✅ Complete",IF(M6="Not Started","",IF(M6&lt;TODAY(),"🔴 OVERDUE",IF(M6=TODAY(),"🟡 DUE TODAY","🟢 Upcoming")))))</f>
        <v>✅ Complete</v>
      </c>
    </row>
    <row r="7" customFormat="false" ht="15" hidden="false" customHeight="true" outlineLevel="0" collapsed="false">
      <c r="E7" s="5"/>
      <c r="F7" s="5" t="str">
        <f aca="false">IF(E7="","",E7+1)</f>
        <v/>
      </c>
      <c r="G7" s="5" t="str">
        <f aca="false">IF(OR(E7="",F7=""),"",MAX(E7,F7)+3)</f>
        <v/>
      </c>
      <c r="H7" s="5" t="str">
        <f aca="false">IF(OR(E7="",G7=""),"",MAX(E7,F7,G7)+7)</f>
        <v/>
      </c>
      <c r="I7" s="5" t="str">
        <f aca="false">IF(OR(E7="",H7=""),"",MAX(E7,F7,G7,H7)+15)</f>
        <v/>
      </c>
      <c r="J7" s="5" t="str">
        <f aca="false">IF(OR(E7="",I7=""),"",MAX(E7,F7,G7,H7,I7)+30)</f>
        <v/>
      </c>
      <c r="K7" s="5" t="str">
        <f aca="false">IF(OR(E7="",J7=""),"",MAX(E7,F7,G7,H7,I7,J7)+60)</f>
        <v/>
      </c>
      <c r="L7" s="5" t="str">
        <f aca="false">IF(OR(E7="",K7=""),"",MAX(E7,F7,G7,H7,I7,J7,K7)+90)</f>
        <v/>
      </c>
      <c r="M7" s="5" t="str">
        <f aca="false">IF(E7="","Not Started",IF(F7="",F7,IF(G7="",G7,IF(H7="",H7,IF(I7="",I7,IF(J7="",J7,IF(K7="",K7,IF(L7="",L7,"Complete"))))))))</f>
        <v>Not Started</v>
      </c>
      <c r="N7" s="1" t="str">
        <f aca="true">IF(E7="","",IF(M7="Complete","✅ Complete",IF(M7="Not Started","",IF(M7&lt;TODAY(),"🔴 OVERDUE",IF(M7=TODAY(),"🟡 DUE TODAY","🟢 Upcoming")))))</f>
        <v/>
      </c>
    </row>
    <row r="8" customFormat="false" ht="15" hidden="false" customHeight="true" outlineLevel="0" collapsed="false">
      <c r="E8" s="5"/>
      <c r="F8" s="5" t="str">
        <f aca="false">IF(E8="","",E8+1)</f>
        <v/>
      </c>
      <c r="G8" s="5" t="str">
        <f aca="false">IF(OR(E8="",F8=""),"",MAX(E8,F8)+3)</f>
        <v/>
      </c>
      <c r="H8" s="5" t="str">
        <f aca="false">IF(OR(E8="",G8=""),"",MAX(E8,F8,G8)+7)</f>
        <v/>
      </c>
      <c r="I8" s="5" t="str">
        <f aca="false">IF(OR(E8="",H8=""),"",MAX(E8,F8,G8,H8)+15)</f>
        <v/>
      </c>
      <c r="J8" s="5" t="str">
        <f aca="false">IF(OR(E8="",I8=""),"",MAX(E8,F8,G8,H8,I8)+30)</f>
        <v/>
      </c>
      <c r="K8" s="5" t="str">
        <f aca="false">IF(OR(E8="",J8=""),"",MAX(E8,F8,G8,H8,I8,J8)+60)</f>
        <v/>
      </c>
      <c r="L8" s="5" t="str">
        <f aca="false">IF(OR(E8="",K8=""),"",MAX(E8,F8,G8,H8,I8,J8,K8)+90)</f>
        <v/>
      </c>
      <c r="M8" s="5" t="str">
        <f aca="false">IF(E8="","Not Started",IF(F8="",F8,IF(G8="",G8,IF(H8="",H8,IF(I8="",I8,IF(J8="",J8,IF(K8="",K8,IF(L8="",L8,"Complete"))))))))</f>
        <v>Not Started</v>
      </c>
      <c r="N8" s="1" t="str">
        <f aca="true">IF(E8="","",IF(M8="Complete","✅ Complete",IF(M8="Not Started","",IF(M8&lt;TODAY(),"🔴 OVERDUE",IF(M8=TODAY(),"🟡 DUE TODAY","🟢 Upcoming")))))</f>
        <v/>
      </c>
    </row>
    <row r="9" customFormat="false" ht="15" hidden="false" customHeight="true" outlineLevel="0" collapsed="false">
      <c r="E9" s="5"/>
      <c r="F9" s="5" t="str">
        <f aca="false">IF(E9="","",E9+1)</f>
        <v/>
      </c>
      <c r="G9" s="5" t="str">
        <f aca="false">IF(OR(E9="",F9=""),"",MAX(E9,F9)+3)</f>
        <v/>
      </c>
      <c r="H9" s="5" t="str">
        <f aca="false">IF(OR(E9="",G9=""),"",MAX(E9,F9,G9)+7)</f>
        <v/>
      </c>
      <c r="I9" s="5" t="str">
        <f aca="false">IF(OR(E9="",H9=""),"",MAX(E9,F9,G9,H9)+15)</f>
        <v/>
      </c>
      <c r="J9" s="5" t="str">
        <f aca="false">IF(OR(E9="",I9=""),"",MAX(E9,F9,G9,H9,I9)+30)</f>
        <v/>
      </c>
      <c r="K9" s="5" t="str">
        <f aca="false">IF(OR(E9="",J9=""),"",MAX(E9,F9,G9,H9,I9,J9)+60)</f>
        <v/>
      </c>
      <c r="L9" s="5" t="str">
        <f aca="false">IF(OR(E9="",K9=""),"",MAX(E9,F9,G9,H9,I9,J9,K9)+90)</f>
        <v/>
      </c>
      <c r="M9" s="5" t="str">
        <f aca="false">IF(E9="","Not Started",IF(F9="",F9,IF(G9="",G9,IF(H9="",H9,IF(I9="",I9,IF(J9="",J9,IF(K9="",K9,IF(L9="",L9,"Complete"))))))))</f>
        <v>Not Started</v>
      </c>
      <c r="N9" s="1" t="str">
        <f aca="true">IF(E9="","",IF(M9="Complete","✅ Complete",IF(M9="Not Started","",IF(M9&lt;TODAY(),"🔴 OVERDUE",IF(M9=TODAY(),"🟡 DUE TODAY","🟢 Upcoming")))))</f>
        <v/>
      </c>
    </row>
    <row r="10" customFormat="false" ht="15" hidden="false" customHeight="true" outlineLevel="0" collapsed="false">
      <c r="E10" s="5"/>
      <c r="F10" s="5" t="str">
        <f aca="false">IF(E10="","",E10+1)</f>
        <v/>
      </c>
      <c r="G10" s="5" t="str">
        <f aca="false">IF(OR(E10="",F10=""),"",MAX(E10,F10)+3)</f>
        <v/>
      </c>
      <c r="H10" s="5" t="str">
        <f aca="false">IF(OR(E10="",G10=""),"",MAX(E10,F10,G10)+7)</f>
        <v/>
      </c>
      <c r="I10" s="5" t="str">
        <f aca="false">IF(OR(E10="",H10=""),"",MAX(E10,F10,G10,H10)+15)</f>
        <v/>
      </c>
      <c r="J10" s="5" t="str">
        <f aca="false">IF(OR(E10="",I10=""),"",MAX(E10,F10,G10,H10,I10)+30)</f>
        <v/>
      </c>
      <c r="K10" s="5" t="str">
        <f aca="false">IF(OR(E10="",J10=""),"",MAX(E10,F10,G10,H10,I10,J10)+60)</f>
        <v/>
      </c>
      <c r="L10" s="5" t="str">
        <f aca="false">IF(OR(E10="",K10=""),"",MAX(E10,F10,G10,H10,I10,J10,K10)+90)</f>
        <v/>
      </c>
      <c r="M10" s="5" t="str">
        <f aca="false">IF(E10="","Not Started",IF(F10="",F10,IF(G10="",G10,IF(H10="",H10,IF(I10="",I10,IF(J10="",J10,IF(K10="",K10,IF(L10="",L10,"Complete"))))))))</f>
        <v>Not Started</v>
      </c>
      <c r="N10" s="1" t="str">
        <f aca="true">IF(E10="","",IF(M10="Complete","✅ Complete",IF(M10="Not Started","",IF(M10&lt;TODAY(),"🔴 OVERDUE",IF(M10=TODAY(),"🟡 DUE TODAY","🟢 Upcoming")))))</f>
        <v/>
      </c>
    </row>
    <row r="11" customFormat="false" ht="15" hidden="false" customHeight="true" outlineLevel="0" collapsed="false">
      <c r="E11" s="5"/>
      <c r="F11" s="5" t="str">
        <f aca="false">IF(E11="","",E11+1)</f>
        <v/>
      </c>
      <c r="G11" s="5" t="str">
        <f aca="false">IF(OR(E11="",F11=""),"",MAX(E11,F11)+3)</f>
        <v/>
      </c>
      <c r="H11" s="5" t="str">
        <f aca="false">IF(OR(E11="",G11=""),"",MAX(E11,F11,G11)+7)</f>
        <v/>
      </c>
      <c r="I11" s="5" t="str">
        <f aca="false">IF(OR(E11="",H11=""),"",MAX(E11,F11,G11,H11)+15)</f>
        <v/>
      </c>
      <c r="J11" s="5" t="str">
        <f aca="false">IF(OR(E11="",I11=""),"",MAX(E11,F11,G11,H11,I11)+30)</f>
        <v/>
      </c>
      <c r="K11" s="5" t="str">
        <f aca="false">IF(OR(E11="",J11=""),"",MAX(E11,F11,G11,H11,I11,J11)+60)</f>
        <v/>
      </c>
      <c r="L11" s="5" t="str">
        <f aca="false">IF(OR(E11="",K11=""),"",MAX(E11,F11,G11,H11,I11,J11,K11)+90)</f>
        <v/>
      </c>
      <c r="M11" s="5" t="str">
        <f aca="false">IF(E11="","Not Started",IF(F11="",F11,IF(G11="",G11,IF(H11="",H11,IF(I11="",I11,IF(J11="",J11,IF(K11="",K11,IF(L11="",L11,"Complete"))))))))</f>
        <v>Not Started</v>
      </c>
      <c r="N11" s="1" t="str">
        <f aca="true">IF(E11="","",IF(M11="Complete","✅ Complete",IF(M11="Not Started","",IF(M11&lt;TODAY(),"🔴 OVERDUE",IF(M11=TODAY(),"🟡 DUE TODAY","🟢 Upcoming")))))</f>
        <v/>
      </c>
    </row>
    <row r="12" customFormat="false" ht="15" hidden="false" customHeight="true" outlineLevel="0" collapsed="false">
      <c r="E12" s="5"/>
      <c r="F12" s="5" t="str">
        <f aca="false">IF(E12="","",E12+1)</f>
        <v/>
      </c>
      <c r="G12" s="5" t="str">
        <f aca="false">IF(OR(E12="",F12=""),"",MAX(E12,F12)+3)</f>
        <v/>
      </c>
      <c r="H12" s="5" t="str">
        <f aca="false">IF(OR(E12="",G12=""),"",MAX(E12,F12,G12)+7)</f>
        <v/>
      </c>
      <c r="I12" s="5" t="str">
        <f aca="false">IF(OR(E12="",H12=""),"",MAX(E12,F12,G12,H12)+15)</f>
        <v/>
      </c>
      <c r="J12" s="5" t="str">
        <f aca="false">IF(OR(E12="",I12=""),"",MAX(E12,F12,G12,H12,I12)+30)</f>
        <v/>
      </c>
      <c r="K12" s="5" t="str">
        <f aca="false">IF(OR(E12="",J12=""),"",MAX(E12,F12,G12,H12,I12,J12)+60)</f>
        <v/>
      </c>
      <c r="L12" s="5" t="str">
        <f aca="false">IF(OR(E12="",K12=""),"",MAX(E12,F12,G12,H12,I12,J12,K12)+90)</f>
        <v/>
      </c>
      <c r="M12" s="5" t="str">
        <f aca="false">IF(E12="","Not Started",IF(F12="",F12,IF(G12="",G12,IF(H12="",H12,IF(I12="",I12,IF(J12="",J12,IF(K12="",K12,IF(L12="",L12,"Complete"))))))))</f>
        <v>Not Started</v>
      </c>
      <c r="N12" s="1" t="str">
        <f aca="true">IF(E12="","",IF(M12="Complete","✅ Complete",IF(M12="Not Started","",IF(M12&lt;TODAY(),"🔴 OVERDUE",IF(M12=TODAY(),"🟡 DUE TODAY","🟢 Upcoming")))))</f>
        <v/>
      </c>
    </row>
    <row r="13" customFormat="false" ht="15" hidden="false" customHeight="true" outlineLevel="0" collapsed="false">
      <c r="E13" s="5"/>
      <c r="F13" s="5" t="str">
        <f aca="false">IF(E13="","",E13+1)</f>
        <v/>
      </c>
      <c r="G13" s="5" t="str">
        <f aca="false">IF(OR(E13="",F13=""),"",MAX(E13,F13)+3)</f>
        <v/>
      </c>
      <c r="H13" s="5" t="str">
        <f aca="false">IF(OR(E13="",G13=""),"",MAX(E13,F13,G13)+7)</f>
        <v/>
      </c>
      <c r="I13" s="5" t="str">
        <f aca="false">IF(OR(E13="",H13=""),"",MAX(E13,F13,G13,H13)+15)</f>
        <v/>
      </c>
      <c r="J13" s="5" t="str">
        <f aca="false">IF(OR(E13="",I13=""),"",MAX(E13,F13,G13,H13,I13)+30)</f>
        <v/>
      </c>
      <c r="K13" s="5" t="str">
        <f aca="false">IF(OR(E13="",J13=""),"",MAX(E13,F13,G13,H13,I13,J13)+60)</f>
        <v/>
      </c>
      <c r="L13" s="5" t="str">
        <f aca="false">IF(OR(E13="",K13=""),"",MAX(E13,F13,G13,H13,I13,J13,K13)+90)</f>
        <v/>
      </c>
      <c r="M13" s="5" t="str">
        <f aca="false">IF(E13="","Not Started",IF(F13="",F13,IF(G13="",G13,IF(H13="",H13,IF(I13="",I13,IF(J13="",J13,IF(K13="",K13,IF(L13="",L13,"Complete"))))))))</f>
        <v>Not Started</v>
      </c>
      <c r="N13" s="1" t="str">
        <f aca="true">IF(E13="","",IF(M13="Complete","✅ Complete",IF(M13="Not Started","",IF(M13&lt;TODAY(),"🔴 OVERDUE",IF(M13=TODAY(),"🟡 DUE TODAY","🟢 Upcoming")))))</f>
        <v/>
      </c>
    </row>
    <row r="14" customFormat="false" ht="15" hidden="false" customHeight="true" outlineLevel="0" collapsed="false">
      <c r="E14" s="5"/>
      <c r="F14" s="5" t="str">
        <f aca="false">IF(E14="","",E14+1)</f>
        <v/>
      </c>
      <c r="G14" s="5" t="str">
        <f aca="false">IF(OR(E14="",F14=""),"",MAX(E14,F14)+3)</f>
        <v/>
      </c>
      <c r="H14" s="5" t="str">
        <f aca="false">IF(OR(E14="",G14=""),"",MAX(E14,F14,G14)+7)</f>
        <v/>
      </c>
      <c r="I14" s="5" t="str">
        <f aca="false">IF(OR(E14="",H14=""),"",MAX(E14,F14,G14,H14)+15)</f>
        <v/>
      </c>
      <c r="J14" s="5" t="str">
        <f aca="false">IF(OR(E14="",I14=""),"",MAX(E14,F14,G14,H14,I14)+30)</f>
        <v/>
      </c>
      <c r="K14" s="5" t="str">
        <f aca="false">IF(OR(E14="",J14=""),"",MAX(E14,F14,G14,H14,I14,J14)+60)</f>
        <v/>
      </c>
      <c r="L14" s="5" t="str">
        <f aca="false">IF(OR(E14="",K14=""),"",MAX(E14,F14,G14,H14,I14,J14,K14)+90)</f>
        <v/>
      </c>
      <c r="M14" s="5" t="str">
        <f aca="false">IF(E14="","Not Started",IF(F14="",F14,IF(G14="",G14,IF(H14="",H14,IF(I14="",I14,IF(J14="",J14,IF(K14="",K14,IF(L14="",L14,"Complete"))))))))</f>
        <v>Not Started</v>
      </c>
      <c r="N14" s="1" t="str">
        <f aca="true">IF(E14="","",IF(M14="Complete","✅ Complete",IF(M14="Not Started","",IF(M14&lt;TODAY(),"🔴 OVERDUE",IF(M14=TODAY(),"🟡 DUE TODAY","🟢 Upcoming")))))</f>
        <v/>
      </c>
    </row>
    <row r="15" customFormat="false" ht="15" hidden="false" customHeight="true" outlineLevel="0" collapsed="false">
      <c r="E15" s="5"/>
      <c r="F15" s="5" t="str">
        <f aca="false">IF(E15="","",E15+1)</f>
        <v/>
      </c>
      <c r="G15" s="5" t="str">
        <f aca="false">IF(OR(E15="",F15=""),"",MAX(E15,F15)+3)</f>
        <v/>
      </c>
      <c r="H15" s="5" t="str">
        <f aca="false">IF(OR(E15="",G15=""),"",MAX(E15,F15,G15)+7)</f>
        <v/>
      </c>
      <c r="I15" s="5" t="str">
        <f aca="false">IF(OR(E15="",H15=""),"",MAX(E15,F15,G15,H15)+15)</f>
        <v/>
      </c>
      <c r="J15" s="5" t="str">
        <f aca="false">IF(OR(E15="",I15=""),"",MAX(E15,F15,G15,H15,I15)+30)</f>
        <v/>
      </c>
      <c r="K15" s="5" t="str">
        <f aca="false">IF(OR(E15="",J15=""),"",MAX(E15,F15,G15,H15,I15,J15)+60)</f>
        <v/>
      </c>
      <c r="L15" s="5" t="str">
        <f aca="false">IF(OR(E15="",K15=""),"",MAX(E15,F15,G15,H15,I15,J15,K15)+90)</f>
        <v/>
      </c>
      <c r="M15" s="5" t="str">
        <f aca="false">IF(E15="","Not Started",IF(F15="",F15,IF(G15="",G15,IF(H15="",H15,IF(I15="",I15,IF(J15="",J15,IF(K15="",K15,IF(L15="",L15,"Complete"))))))))</f>
        <v>Not Started</v>
      </c>
      <c r="N15" s="1" t="str">
        <f aca="true">IF(E15="","",IF(M15="Complete","✅ Complete",IF(M15="Not Started","",IF(M15&lt;TODAY(),"🔴 OVERDUE",IF(M15=TODAY(),"🟡 DUE TODAY","🟢 Upcoming")))))</f>
        <v/>
      </c>
    </row>
    <row r="16" customFormat="false" ht="15" hidden="false" customHeight="true" outlineLevel="0" collapsed="false">
      <c r="E16" s="5"/>
      <c r="F16" s="5" t="str">
        <f aca="false">IF(E16="","",E16+1)</f>
        <v/>
      </c>
      <c r="G16" s="5" t="str">
        <f aca="false">IF(OR(E16="",F16=""),"",MAX(E16,F16)+3)</f>
        <v/>
      </c>
      <c r="H16" s="5" t="str">
        <f aca="false">IF(OR(E16="",G16=""),"",MAX(E16,F16,G16)+7)</f>
        <v/>
      </c>
      <c r="I16" s="5" t="str">
        <f aca="false">IF(OR(E16="",H16=""),"",MAX(E16,F16,G16,H16)+15)</f>
        <v/>
      </c>
      <c r="J16" s="5" t="str">
        <f aca="false">IF(OR(E16="",I16=""),"",MAX(E16,F16,G16,H16,I16)+30)</f>
        <v/>
      </c>
      <c r="K16" s="5" t="str">
        <f aca="false">IF(OR(E16="",J16=""),"",MAX(E16,F16,G16,H16,I16,J16)+60)</f>
        <v/>
      </c>
      <c r="L16" s="5" t="str">
        <f aca="false">IF(OR(E16="",K16=""),"",MAX(E16,F16,G16,H16,I16,J16,K16)+90)</f>
        <v/>
      </c>
      <c r="M16" s="5" t="str">
        <f aca="false">IF(E16="","Not Started",IF(F16="",F16,IF(G16="",G16,IF(H16="",H16,IF(I16="",I16,IF(J16="",J16,IF(K16="",K16,IF(L16="",L16,"Complete"))))))))</f>
        <v>Not Started</v>
      </c>
      <c r="N16" s="1" t="str">
        <f aca="true">IF(E16="","",IF(M16="Complete","✅ Complete",IF(M16="Not Started","",IF(M16&lt;TODAY(),"🔴 OVERDUE",IF(M16=TODAY(),"🟡 DUE TODAY","🟢 Upcoming")))))</f>
        <v/>
      </c>
    </row>
    <row r="17" customFormat="false" ht="15" hidden="false" customHeight="true" outlineLevel="0" collapsed="false">
      <c r="E17" s="5"/>
      <c r="F17" s="5" t="str">
        <f aca="false">IF(E17="","",E17+1)</f>
        <v/>
      </c>
      <c r="G17" s="5" t="str">
        <f aca="false">IF(OR(E17="",F17=""),"",MAX(E17,F17)+3)</f>
        <v/>
      </c>
      <c r="H17" s="5" t="str">
        <f aca="false">IF(OR(E17="",G17=""),"",MAX(E17,F17,G17)+7)</f>
        <v/>
      </c>
      <c r="I17" s="5" t="str">
        <f aca="false">IF(OR(E17="",H17=""),"",MAX(E17,F17,G17,H17)+15)</f>
        <v/>
      </c>
      <c r="J17" s="5" t="str">
        <f aca="false">IF(OR(E17="",I17=""),"",MAX(E17,F17,G17,H17,I17)+30)</f>
        <v/>
      </c>
      <c r="K17" s="5" t="str">
        <f aca="false">IF(OR(E17="",J17=""),"",MAX(E17,F17,G17,H17,I17,J17)+60)</f>
        <v/>
      </c>
      <c r="L17" s="5" t="str">
        <f aca="false">IF(OR(E17="",K17=""),"",MAX(E17,F17,G17,H17,I17,J17,K17)+90)</f>
        <v/>
      </c>
      <c r="M17" s="5" t="str">
        <f aca="false">IF(E17="","Not Started",IF(F17="",F17,IF(G17="",G17,IF(H17="",H17,IF(I17="",I17,IF(J17="",J17,IF(K17="",K17,IF(L17="",L17,"Complete"))))))))</f>
        <v>Not Started</v>
      </c>
      <c r="N17" s="1" t="str">
        <f aca="true">IF(E17="","",IF(M17="Complete","✅ Complete",IF(M17="Not Started","",IF(M17&lt;TODAY(),"🔴 OVERDUE",IF(M17=TODAY(),"🟡 DUE TODAY","🟢 Upcoming")))))</f>
        <v/>
      </c>
    </row>
    <row r="18" customFormat="false" ht="15" hidden="false" customHeight="true" outlineLevel="0" collapsed="false">
      <c r="E18" s="5"/>
      <c r="F18" s="5" t="str">
        <f aca="false">IF(E18="","",E18+1)</f>
        <v/>
      </c>
      <c r="G18" s="5" t="str">
        <f aca="false">IF(OR(E18="",F18=""),"",MAX(E18,F18)+3)</f>
        <v/>
      </c>
      <c r="H18" s="5" t="str">
        <f aca="false">IF(OR(E18="",G18=""),"",MAX(E18,F18,G18)+7)</f>
        <v/>
      </c>
      <c r="I18" s="5" t="str">
        <f aca="false">IF(OR(E18="",H18=""),"",MAX(E18,F18,G18,H18)+15)</f>
        <v/>
      </c>
      <c r="J18" s="5" t="str">
        <f aca="false">IF(OR(E18="",I18=""),"",MAX(E18,F18,G18,H18,I18)+30)</f>
        <v/>
      </c>
      <c r="K18" s="5" t="str">
        <f aca="false">IF(OR(E18="",J18=""),"",MAX(E18,F18,G18,H18,I18,J18)+60)</f>
        <v/>
      </c>
      <c r="L18" s="5" t="str">
        <f aca="false">IF(OR(E18="",K18=""),"",MAX(E18,F18,G18,H18,I18,J18,K18)+90)</f>
        <v/>
      </c>
      <c r="M18" s="5" t="str">
        <f aca="false">IF(E18="","Not Started",IF(F18="",F18,IF(G18="",G18,IF(H18="",H18,IF(I18="",I18,IF(J18="",J18,IF(K18="",K18,IF(L18="",L18,"Complete"))))))))</f>
        <v>Not Started</v>
      </c>
      <c r="N18" s="1" t="str">
        <f aca="true">IF(E18="","",IF(M18="Complete","✅ Complete",IF(M18="Not Started","",IF(M18&lt;TODAY(),"🔴 OVERDUE",IF(M18=TODAY(),"🟡 DUE TODAY","🟢 Upcoming")))))</f>
        <v/>
      </c>
    </row>
    <row r="19" customFormat="false" ht="15" hidden="false" customHeight="true" outlineLevel="0" collapsed="false">
      <c r="E19" s="5"/>
      <c r="F19" s="5" t="str">
        <f aca="false">IF(E19="","",E19+1)</f>
        <v/>
      </c>
      <c r="G19" s="5" t="str">
        <f aca="false">IF(OR(E19="",F19=""),"",MAX(E19,F19)+3)</f>
        <v/>
      </c>
      <c r="H19" s="5" t="str">
        <f aca="false">IF(OR(E19="",G19=""),"",MAX(E19,F19,G19)+7)</f>
        <v/>
      </c>
      <c r="I19" s="5" t="str">
        <f aca="false">IF(OR(E19="",H19=""),"",MAX(E19,F19,G19,H19)+15)</f>
        <v/>
      </c>
      <c r="J19" s="5" t="str">
        <f aca="false">IF(OR(E19="",I19=""),"",MAX(E19,F19,G19,H19,I19)+30)</f>
        <v/>
      </c>
      <c r="K19" s="5" t="str">
        <f aca="false">IF(OR(E19="",J19=""),"",MAX(E19,F19,G19,H19,I19,J19)+60)</f>
        <v/>
      </c>
      <c r="L19" s="5" t="str">
        <f aca="false">IF(OR(E19="",K19=""),"",MAX(E19,F19,G19,H19,I19,J19,K19)+90)</f>
        <v/>
      </c>
      <c r="M19" s="5" t="str">
        <f aca="false">IF(E19="","Not Started",IF(F19="",F19,IF(G19="",G19,IF(H19="",H19,IF(I19="",I19,IF(J19="",J19,IF(K19="",K19,IF(L19="",L19,"Complete"))))))))</f>
        <v>Not Started</v>
      </c>
      <c r="N19" s="1" t="str">
        <f aca="true">IF(E19="","",IF(M19="Complete","✅ Complete",IF(M19="Not Started","",IF(M19&lt;TODAY(),"🔴 OVERDUE",IF(M19=TODAY(),"🟡 DUE TODAY","🟢 Upcoming")))))</f>
        <v/>
      </c>
    </row>
    <row r="20" customFormat="false" ht="15" hidden="false" customHeight="true" outlineLevel="0" collapsed="false">
      <c r="E20" s="5"/>
      <c r="F20" s="5" t="str">
        <f aca="false">IF(E20="","",E20+1)</f>
        <v/>
      </c>
      <c r="G20" s="5" t="str">
        <f aca="false">IF(OR(E20="",F20=""),"",MAX(E20,F20)+3)</f>
        <v/>
      </c>
      <c r="H20" s="5" t="str">
        <f aca="false">IF(OR(E20="",G20=""),"",MAX(E20,F20,G20)+7)</f>
        <v/>
      </c>
      <c r="I20" s="5" t="str">
        <f aca="false">IF(OR(E20="",H20=""),"",MAX(E20,F20,G20,H20)+15)</f>
        <v/>
      </c>
      <c r="J20" s="5" t="str">
        <f aca="false">IF(OR(E20="",I20=""),"",MAX(E20,F20,G20,H20,I20)+30)</f>
        <v/>
      </c>
      <c r="K20" s="5" t="str">
        <f aca="false">IF(OR(E20="",J20=""),"",MAX(E20,F20,G20,H20,I20,J20)+60)</f>
        <v/>
      </c>
      <c r="L20" s="5" t="str">
        <f aca="false">IF(OR(E20="",K20=""),"",MAX(E20,F20,G20,H20,I20,J20,K20)+90)</f>
        <v/>
      </c>
      <c r="M20" s="5" t="str">
        <f aca="false">IF(E20="","Not Started",IF(F20="",F20,IF(G20="",G20,IF(H20="",H20,IF(I20="",I20,IF(J20="",J20,IF(K20="",K20,IF(L20="",L20,"Complete"))))))))</f>
        <v>Not Started</v>
      </c>
      <c r="N20" s="1" t="str">
        <f aca="true">IF(E20="","",IF(M20="Complete","✅ Complete",IF(M20="Not Started","",IF(M20&lt;TODAY(),"🔴 OVERDUE",IF(M20=TODAY(),"🟡 DUE TODAY","🟢 Upcoming")))))</f>
        <v/>
      </c>
    </row>
    <row r="21" customFormat="false" ht="15" hidden="false" customHeight="true" outlineLevel="0" collapsed="false">
      <c r="E21" s="5"/>
      <c r="F21" s="5" t="str">
        <f aca="false">IF(E21="","",E21+1)</f>
        <v/>
      </c>
      <c r="G21" s="5" t="str">
        <f aca="false">IF(OR(E21="",F21=""),"",MAX(E21,F21)+3)</f>
        <v/>
      </c>
      <c r="H21" s="5" t="str">
        <f aca="false">IF(OR(E21="",G21=""),"",MAX(E21,F21,G21)+7)</f>
        <v/>
      </c>
      <c r="I21" s="5" t="str">
        <f aca="false">IF(OR(E21="",H21=""),"",MAX(E21,F21,G21,H21)+15)</f>
        <v/>
      </c>
      <c r="J21" s="5" t="str">
        <f aca="false">IF(OR(E21="",I21=""),"",MAX(E21,F21,G21,H21,I21)+30)</f>
        <v/>
      </c>
      <c r="K21" s="5" t="str">
        <f aca="false">IF(OR(E21="",J21=""),"",MAX(E21,F21,G21,H21,I21,J21)+60)</f>
        <v/>
      </c>
      <c r="L21" s="5" t="str">
        <f aca="false">IF(OR(E21="",K21=""),"",MAX(E21,F21,G21,H21,I21,J21,K21)+90)</f>
        <v/>
      </c>
      <c r="M21" s="5" t="str">
        <f aca="false">IF(E21="","Not Started",IF(F21="",F21,IF(G21="",G21,IF(H21="",H21,IF(I21="",I21,IF(J21="",J21,IF(K21="",K21,IF(L21="",L21,"Complete"))))))))</f>
        <v>Not Started</v>
      </c>
      <c r="N21" s="1" t="str">
        <f aca="true">IF(E21="","",IF(M21="Complete","✅ Complete",IF(M21="Not Started","",IF(M21&lt;TODAY(),"🔴 OVERDUE",IF(M21=TODAY(),"🟡 DUE TODAY","🟢 Upcoming")))))</f>
        <v/>
      </c>
    </row>
    <row r="22" customFormat="false" ht="15" hidden="false" customHeight="true" outlineLevel="0" collapsed="false">
      <c r="E22" s="5"/>
      <c r="F22" s="5" t="str">
        <f aca="false">IF(E22="","",E22+1)</f>
        <v/>
      </c>
      <c r="G22" s="5" t="str">
        <f aca="false">IF(OR(E22="",F22=""),"",MAX(E22,F22)+3)</f>
        <v/>
      </c>
      <c r="H22" s="5" t="str">
        <f aca="false">IF(OR(E22="",G22=""),"",MAX(E22,F22,G22)+7)</f>
        <v/>
      </c>
      <c r="I22" s="5" t="str">
        <f aca="false">IF(OR(E22="",H22=""),"",MAX(E22,F22,G22,H22)+15)</f>
        <v/>
      </c>
      <c r="J22" s="5" t="str">
        <f aca="false">IF(OR(E22="",I22=""),"",MAX(E22,F22,G22,H22,I22)+30)</f>
        <v/>
      </c>
      <c r="K22" s="5" t="str">
        <f aca="false">IF(OR(E22="",J22=""),"",MAX(E22,F22,G22,H22,I22,J22)+60)</f>
        <v/>
      </c>
      <c r="L22" s="5" t="str">
        <f aca="false">IF(OR(E22="",K22=""),"",MAX(E22,F22,G22,H22,I22,J22,K22)+90)</f>
        <v/>
      </c>
      <c r="M22" s="5" t="str">
        <f aca="false">IF(E22="","Not Started",IF(F22="",F22,IF(G22="",G22,IF(H22="",H22,IF(I22="",I22,IF(J22="",J22,IF(K22="",K22,IF(L22="",L22,"Complete"))))))))</f>
        <v>Not Started</v>
      </c>
      <c r="N22" s="1" t="str">
        <f aca="true">IF(E22="","",IF(M22="Complete","✅ Complete",IF(M22="Not Started","",IF(M22&lt;TODAY(),"🔴 OVERDUE",IF(M22=TODAY(),"🟡 DUE TODAY","🟢 Upcoming")))))</f>
        <v/>
      </c>
    </row>
    <row r="23" customFormat="false" ht="15" hidden="false" customHeight="true" outlineLevel="0" collapsed="false">
      <c r="E23" s="5"/>
      <c r="F23" s="5" t="str">
        <f aca="false">IF(E23="","",E23+1)</f>
        <v/>
      </c>
      <c r="G23" s="5" t="str">
        <f aca="false">IF(OR(E23="",F23=""),"",MAX(E23,F23)+3)</f>
        <v/>
      </c>
      <c r="H23" s="5" t="str">
        <f aca="false">IF(OR(E23="",G23=""),"",MAX(E23,F23,G23)+7)</f>
        <v/>
      </c>
      <c r="I23" s="5" t="str">
        <f aca="false">IF(OR(E23="",H23=""),"",MAX(E23,F23,G23,H23)+15)</f>
        <v/>
      </c>
      <c r="J23" s="5" t="str">
        <f aca="false">IF(OR(E23="",I23=""),"",MAX(E23,F23,G23,H23,I23)+30)</f>
        <v/>
      </c>
      <c r="K23" s="5" t="str">
        <f aca="false">IF(OR(E23="",J23=""),"",MAX(E23,F23,G23,H23,I23,J23)+60)</f>
        <v/>
      </c>
      <c r="L23" s="5" t="str">
        <f aca="false">IF(OR(E23="",K23=""),"",MAX(E23,F23,G23,H23,I23,J23,K23)+90)</f>
        <v/>
      </c>
      <c r="M23" s="5" t="str">
        <f aca="false">IF(E23="","Not Started",IF(F23="",F23,IF(G23="",G23,IF(H23="",H23,IF(I23="",I23,IF(J23="",J23,IF(K23="",K23,IF(L23="",L23,"Complete"))))))))</f>
        <v>Not Started</v>
      </c>
      <c r="N23" s="1" t="str">
        <f aca="true">IF(E23="","",IF(M23="Complete","✅ Complete",IF(M23="Not Started","",IF(M23&lt;TODAY(),"🔴 OVERDUE",IF(M23=TODAY(),"🟡 DUE TODAY","🟢 Upcoming")))))</f>
        <v/>
      </c>
    </row>
    <row r="24" customFormat="false" ht="15" hidden="false" customHeight="true" outlineLevel="0" collapsed="false">
      <c r="E24" s="5"/>
      <c r="F24" s="5" t="str">
        <f aca="false">IF(E24="","",E24+1)</f>
        <v/>
      </c>
      <c r="G24" s="5" t="str">
        <f aca="false">IF(OR(E24="",F24=""),"",MAX(E24,F24)+3)</f>
        <v/>
      </c>
      <c r="H24" s="5" t="str">
        <f aca="false">IF(OR(E24="",G24=""),"",MAX(E24,F24,G24)+7)</f>
        <v/>
      </c>
      <c r="I24" s="5" t="str">
        <f aca="false">IF(OR(E24="",H24=""),"",MAX(E24,F24,G24,H24)+15)</f>
        <v/>
      </c>
      <c r="J24" s="5" t="str">
        <f aca="false">IF(OR(E24="",I24=""),"",MAX(E24,F24,G24,H24,I24)+30)</f>
        <v/>
      </c>
      <c r="K24" s="5" t="str">
        <f aca="false">IF(OR(E24="",J24=""),"",MAX(E24,F24,G24,H24,I24,J24)+60)</f>
        <v/>
      </c>
      <c r="L24" s="5" t="str">
        <f aca="false">IF(OR(E24="",K24=""),"",MAX(E24,F24,G24,H24,I24,J24,K24)+90)</f>
        <v/>
      </c>
      <c r="M24" s="5" t="str">
        <f aca="false">IF(E24="","Not Started",IF(F24="",F24,IF(G24="",G24,IF(H24="",H24,IF(I24="",I24,IF(J24="",J24,IF(K24="",K24,IF(L24="",L24,"Complete"))))))))</f>
        <v>Not Started</v>
      </c>
      <c r="N24" s="1" t="str">
        <f aca="true">IF(E24="","",IF(M24="Complete","✅ Complete",IF(M24="Not Started","",IF(M24&lt;TODAY(),"🔴 OVERDUE",IF(M24=TODAY(),"🟡 DUE TODAY","🟢 Upcoming")))))</f>
        <v/>
      </c>
    </row>
    <row r="25" customFormat="false" ht="15" hidden="false" customHeight="true" outlineLevel="0" collapsed="false">
      <c r="E25" s="5"/>
      <c r="F25" s="5" t="str">
        <f aca="false">IF(E25="","",E25+1)</f>
        <v/>
      </c>
      <c r="G25" s="5" t="str">
        <f aca="false">IF(OR(E25="",F25=""),"",MAX(E25,F25)+3)</f>
        <v/>
      </c>
      <c r="H25" s="5" t="str">
        <f aca="false">IF(OR(E25="",G25=""),"",MAX(E25,F25,G25)+7)</f>
        <v/>
      </c>
      <c r="I25" s="5" t="str">
        <f aca="false">IF(OR(E25="",H25=""),"",MAX(E25,F25,G25,H25)+15)</f>
        <v/>
      </c>
      <c r="J25" s="5" t="str">
        <f aca="false">IF(OR(E25="",I25=""),"",MAX(E25,F25,G25,H25,I25)+30)</f>
        <v/>
      </c>
      <c r="K25" s="5" t="str">
        <f aca="false">IF(OR(E25="",J25=""),"",MAX(E25,F25,G25,H25,I25,J25)+60)</f>
        <v/>
      </c>
      <c r="L25" s="5" t="str">
        <f aca="false">IF(OR(E25="",K25=""),"",MAX(E25,F25,G25,H25,I25,J25,K25)+90)</f>
        <v/>
      </c>
      <c r="M25" s="5" t="str">
        <f aca="false">IF(E25="","Not Started",IF(F25="",F25,IF(G25="",G25,IF(H25="",H25,IF(I25="",I25,IF(J25="",J25,IF(K25="",K25,IF(L25="",L25,"Complete"))))))))</f>
        <v>Not Started</v>
      </c>
      <c r="N25" s="1" t="str">
        <f aca="true">IF(E25="","",IF(M25="Complete","✅ Complete",IF(M25="Not Started","",IF(M25&lt;TODAY(),"🔴 OVERDUE",IF(M25=TODAY(),"🟡 DUE TODAY","🟢 Upcoming")))))</f>
        <v/>
      </c>
    </row>
    <row r="26" customFormat="false" ht="15" hidden="false" customHeight="true" outlineLevel="0" collapsed="false">
      <c r="E26" s="5"/>
      <c r="F26" s="5" t="str">
        <f aca="false">IF(E26="","",E26+1)</f>
        <v/>
      </c>
      <c r="G26" s="5" t="str">
        <f aca="false">IF(OR(E26="",F26=""),"",MAX(E26,F26)+3)</f>
        <v/>
      </c>
      <c r="H26" s="5" t="str">
        <f aca="false">IF(OR(E26="",G26=""),"",MAX(E26,F26,G26)+7)</f>
        <v/>
      </c>
      <c r="I26" s="5" t="str">
        <f aca="false">IF(OR(E26="",H26=""),"",MAX(E26,F26,G26,H26)+15)</f>
        <v/>
      </c>
      <c r="J26" s="5" t="str">
        <f aca="false">IF(OR(E26="",I26=""),"",MAX(E26,F26,G26,H26,I26)+30)</f>
        <v/>
      </c>
      <c r="K26" s="5" t="str">
        <f aca="false">IF(OR(E26="",J26=""),"",MAX(E26,F26,G26,H26,I26,J26)+60)</f>
        <v/>
      </c>
      <c r="L26" s="5" t="str">
        <f aca="false">IF(OR(E26="",K26=""),"",MAX(E26,F26,G26,H26,I26,J26,K26)+90)</f>
        <v/>
      </c>
      <c r="M26" s="5" t="str">
        <f aca="false">IF(E26="","Not Started",IF(F26="",F26,IF(G26="",G26,IF(H26="",H26,IF(I26="",I26,IF(J26="",J26,IF(K26="",K26,IF(L26="",L26,"Complete"))))))))</f>
        <v>Not Started</v>
      </c>
      <c r="N26" s="1" t="str">
        <f aca="true">IF(E26="","",IF(M26="Complete","✅ Complete",IF(M26="Not Started","",IF(M26&lt;TODAY(),"🔴 OVERDUE",IF(M26=TODAY(),"🟡 DUE TODAY","🟢 Upcoming")))))</f>
        <v/>
      </c>
    </row>
    <row r="27" customFormat="false" ht="15" hidden="false" customHeight="true" outlineLevel="0" collapsed="false">
      <c r="E27" s="5"/>
      <c r="F27" s="5" t="str">
        <f aca="false">IF(E27="","",E27+1)</f>
        <v/>
      </c>
      <c r="G27" s="5" t="str">
        <f aca="false">IF(OR(E27="",F27=""),"",MAX(E27,F27)+3)</f>
        <v/>
      </c>
      <c r="H27" s="5" t="str">
        <f aca="false">IF(OR(E27="",G27=""),"",MAX(E27,F27,G27)+7)</f>
        <v/>
      </c>
      <c r="I27" s="5" t="str">
        <f aca="false">IF(OR(E27="",H27=""),"",MAX(E27,F27,G27,H27)+15)</f>
        <v/>
      </c>
      <c r="J27" s="5" t="str">
        <f aca="false">IF(OR(E27="",I27=""),"",MAX(E27,F27,G27,H27,I27)+30)</f>
        <v/>
      </c>
      <c r="K27" s="5" t="str">
        <f aca="false">IF(OR(E27="",J27=""),"",MAX(E27,F27,G27,H27,I27,J27)+60)</f>
        <v/>
      </c>
      <c r="L27" s="5" t="str">
        <f aca="false">IF(OR(E27="",K27=""),"",MAX(E27,F27,G27,H27,I27,J27,K27)+90)</f>
        <v/>
      </c>
      <c r="M27" s="5" t="str">
        <f aca="false">IF(E27="","Not Started",IF(F27="",F27,IF(G27="",G27,IF(H27="",H27,IF(I27="",I27,IF(J27="",J27,IF(K27="",K27,IF(L27="",L27,"Complete"))))))))</f>
        <v>Not Started</v>
      </c>
      <c r="N27" s="1" t="str">
        <f aca="true">IF(E27="","",IF(M27="Complete","✅ Complete",IF(M27="Not Started","",IF(M27&lt;TODAY(),"🔴 OVERDUE",IF(M27=TODAY(),"🟡 DUE TODAY","🟢 Upcoming")))))</f>
        <v/>
      </c>
    </row>
    <row r="28" customFormat="false" ht="15" hidden="false" customHeight="true" outlineLevel="0" collapsed="false">
      <c r="E28" s="5"/>
      <c r="F28" s="5" t="str">
        <f aca="false">IF(E28="","",E28+1)</f>
        <v/>
      </c>
      <c r="G28" s="5" t="str">
        <f aca="false">IF(OR(E28="",F28=""),"",MAX(E28,F28)+3)</f>
        <v/>
      </c>
      <c r="H28" s="5" t="str">
        <f aca="false">IF(OR(E28="",G28=""),"",MAX(E28,F28,G28)+7)</f>
        <v/>
      </c>
      <c r="I28" s="5" t="str">
        <f aca="false">IF(OR(E28="",H28=""),"",MAX(E28,F28,G28,H28)+15)</f>
        <v/>
      </c>
      <c r="J28" s="5" t="str">
        <f aca="false">IF(OR(E28="",I28=""),"",MAX(E28,F28,G28,H28,I28)+30)</f>
        <v/>
      </c>
      <c r="K28" s="5" t="str">
        <f aca="false">IF(OR(E28="",J28=""),"",MAX(E28,F28,G28,H28,I28,J28)+60)</f>
        <v/>
      </c>
      <c r="L28" s="5" t="str">
        <f aca="false">IF(OR(E28="",K28=""),"",MAX(E28,F28,G28,H28,I28,J28,K28)+90)</f>
        <v/>
      </c>
      <c r="M28" s="5" t="str">
        <f aca="false">IF(E28="","Not Started",IF(F28="",F28,IF(G28="",G28,IF(H28="",H28,IF(I28="",I28,IF(J28="",J28,IF(K28="",K28,IF(L28="",L28,"Complete"))))))))</f>
        <v>Not Started</v>
      </c>
      <c r="N28" s="1" t="str">
        <f aca="true">IF(E28="","",IF(M28="Complete","✅ Complete",IF(M28="Not Started","",IF(M28&lt;TODAY(),"🔴 OVERDUE",IF(M28=TODAY(),"🟡 DUE TODAY","🟢 Upcoming")))))</f>
        <v/>
      </c>
    </row>
    <row r="29" customFormat="false" ht="15" hidden="false" customHeight="true" outlineLevel="0" collapsed="false">
      <c r="E29" s="5"/>
      <c r="F29" s="5" t="str">
        <f aca="false">IF(E29="","",E29+1)</f>
        <v/>
      </c>
      <c r="G29" s="5" t="str">
        <f aca="false">IF(OR(E29="",F29=""),"",MAX(E29,F29)+3)</f>
        <v/>
      </c>
      <c r="H29" s="5" t="str">
        <f aca="false">IF(OR(E29="",G29=""),"",MAX(E29,F29,G29)+7)</f>
        <v/>
      </c>
      <c r="I29" s="5" t="str">
        <f aca="false">IF(OR(E29="",H29=""),"",MAX(E29,F29,G29,H29)+15)</f>
        <v/>
      </c>
      <c r="J29" s="5" t="str">
        <f aca="false">IF(OR(E29="",I29=""),"",MAX(E29,F29,G29,H29,I29)+30)</f>
        <v/>
      </c>
      <c r="K29" s="5" t="str">
        <f aca="false">IF(OR(E29="",J29=""),"",MAX(E29,F29,G29,H29,I29,J29)+60)</f>
        <v/>
      </c>
      <c r="L29" s="5" t="str">
        <f aca="false">IF(OR(E29="",K29=""),"",MAX(E29,F29,G29,H29,I29,J29,K29)+90)</f>
        <v/>
      </c>
      <c r="M29" s="5" t="str">
        <f aca="false">IF(E29="","Not Started",IF(F29="",F29,IF(G29="",G29,IF(H29="",H29,IF(I29="",I29,IF(J29="",J29,IF(K29="",K29,IF(L29="",L29,"Complete"))))))))</f>
        <v>Not Started</v>
      </c>
      <c r="N29" s="1" t="str">
        <f aca="true">IF(E29="","",IF(M29="Complete","✅ Complete",IF(M29="Not Started","",IF(M29&lt;TODAY(),"🔴 OVERDUE",IF(M29=TODAY(),"🟡 DUE TODAY","🟢 Upcoming")))))</f>
        <v/>
      </c>
    </row>
    <row r="30" customFormat="false" ht="15" hidden="false" customHeight="true" outlineLevel="0" collapsed="false">
      <c r="E30" s="5"/>
      <c r="F30" s="5" t="str">
        <f aca="false">IF(E30="","",E30+1)</f>
        <v/>
      </c>
      <c r="G30" s="5" t="str">
        <f aca="false">IF(OR(E30="",F30=""),"",MAX(E30,F30)+3)</f>
        <v/>
      </c>
      <c r="H30" s="5" t="str">
        <f aca="false">IF(OR(E30="",G30=""),"",MAX(E30,F30,G30)+7)</f>
        <v/>
      </c>
      <c r="I30" s="5" t="str">
        <f aca="false">IF(OR(E30="",H30=""),"",MAX(E30,F30,G30,H30)+15)</f>
        <v/>
      </c>
      <c r="J30" s="5" t="str">
        <f aca="false">IF(OR(E30="",I30=""),"",MAX(E30,F30,G30,H30,I30)+30)</f>
        <v/>
      </c>
      <c r="K30" s="5" t="str">
        <f aca="false">IF(OR(E30="",J30=""),"",MAX(E30,F30,G30,H30,I30,J30)+60)</f>
        <v/>
      </c>
      <c r="L30" s="5" t="str">
        <f aca="false">IF(OR(E30="",K30=""),"",MAX(E30,F30,G30,H30,I30,J30,K30)+90)</f>
        <v/>
      </c>
      <c r="M30" s="5" t="str">
        <f aca="false">IF(E30="","Not Started",IF(F30="",F30,IF(G30="",G30,IF(H30="",H30,IF(I30="",I30,IF(J30="",J30,IF(K30="",K30,IF(L30="",L30,"Complete"))))))))</f>
        <v>Not Started</v>
      </c>
      <c r="N30" s="1" t="str">
        <f aca="true">IF(E30="","",IF(M30="Complete","✅ Complete",IF(M30="Not Started","",IF(M30&lt;TODAY(),"🔴 OVERDUE",IF(M30=TODAY(),"🟡 DUE TODAY","🟢 Upcoming")))))</f>
        <v/>
      </c>
    </row>
    <row r="31" customFormat="false" ht="15" hidden="false" customHeight="true" outlineLevel="0" collapsed="false">
      <c r="E31" s="5"/>
      <c r="F31" s="5" t="str">
        <f aca="false">IF(E31="","",E31+1)</f>
        <v/>
      </c>
      <c r="G31" s="5" t="str">
        <f aca="false">IF(OR(E31="",F31=""),"",MAX(E31,F31)+3)</f>
        <v/>
      </c>
      <c r="H31" s="5" t="str">
        <f aca="false">IF(OR(E31="",G31=""),"",MAX(E31,F31,G31)+7)</f>
        <v/>
      </c>
      <c r="I31" s="5" t="str">
        <f aca="false">IF(OR(E31="",H31=""),"",MAX(E31,F31,G31,H31)+15)</f>
        <v/>
      </c>
      <c r="J31" s="5" t="str">
        <f aca="false">IF(OR(E31="",I31=""),"",MAX(E31,F31,G31,H31,I31)+30)</f>
        <v/>
      </c>
      <c r="K31" s="5" t="str">
        <f aca="false">IF(OR(E31="",J31=""),"",MAX(E31,F31,G31,H31,I31,J31)+60)</f>
        <v/>
      </c>
      <c r="L31" s="5" t="str">
        <f aca="false">IF(OR(E31="",K31=""),"",MAX(E31,F31,G31,H31,I31,J31,K31)+90)</f>
        <v/>
      </c>
      <c r="M31" s="5" t="str">
        <f aca="false">IF(E31="","Not Started",IF(F31="",F31,IF(G31="",G31,IF(H31="",H31,IF(I31="",I31,IF(J31="",J31,IF(K31="",K31,IF(L31="",L31,"Complete"))))))))</f>
        <v>Not Started</v>
      </c>
      <c r="N31" s="1" t="str">
        <f aca="true">IF(E31="","",IF(M31="Complete","✅ Complete",IF(M31="Not Started","",IF(M31&lt;TODAY(),"🔴 OVERDUE",IF(M31=TODAY(),"🟡 DUE TODAY","🟢 Upcoming")))))</f>
        <v/>
      </c>
    </row>
    <row r="32" customFormat="false" ht="15" hidden="false" customHeight="true" outlineLevel="0" collapsed="false">
      <c r="E32" s="5"/>
      <c r="F32" s="5" t="str">
        <f aca="false">IF(E32="","",E32+1)</f>
        <v/>
      </c>
      <c r="G32" s="5" t="str">
        <f aca="false">IF(OR(E32="",F32=""),"",MAX(E32,F32)+3)</f>
        <v/>
      </c>
      <c r="H32" s="5" t="str">
        <f aca="false">IF(OR(E32="",G32=""),"",MAX(E32,F32,G32)+7)</f>
        <v/>
      </c>
      <c r="I32" s="5" t="str">
        <f aca="false">IF(OR(E32="",H32=""),"",MAX(E32,F32,G32,H32)+15)</f>
        <v/>
      </c>
      <c r="J32" s="5" t="str">
        <f aca="false">IF(OR(E32="",I32=""),"",MAX(E32,F32,G32,H32,I32)+30)</f>
        <v/>
      </c>
      <c r="K32" s="5" t="str">
        <f aca="false">IF(OR(E32="",J32=""),"",MAX(E32,F32,G32,H32,I32,J32)+60)</f>
        <v/>
      </c>
      <c r="L32" s="5" t="str">
        <f aca="false">IF(OR(E32="",K32=""),"",MAX(E32,F32,G32,H32,I32,J32,K32)+90)</f>
        <v/>
      </c>
      <c r="M32" s="5" t="str">
        <f aca="false">IF(E32="","Not Started",IF(F32="",F32,IF(G32="",G32,IF(H32="",H32,IF(I32="",I32,IF(J32="",J32,IF(K32="",K32,IF(L32="",L32,"Complete"))))))))</f>
        <v>Not Started</v>
      </c>
      <c r="N32" s="1" t="str">
        <f aca="true">IF(E32="","",IF(M32="Complete","✅ Complete",IF(M32="Not Started","",IF(M32&lt;TODAY(),"🔴 OVERDUE",IF(M32=TODAY(),"🟡 DUE TODAY","🟢 Upcoming")))))</f>
        <v/>
      </c>
    </row>
    <row r="33" customFormat="false" ht="15" hidden="false" customHeight="true" outlineLevel="0" collapsed="false">
      <c r="E33" s="5"/>
      <c r="F33" s="5" t="str">
        <f aca="false">IF(E33="","",E33+1)</f>
        <v/>
      </c>
      <c r="G33" s="5" t="str">
        <f aca="false">IF(OR(E33="",F33=""),"",MAX(E33,F33)+3)</f>
        <v/>
      </c>
      <c r="H33" s="5" t="str">
        <f aca="false">IF(OR(E33="",G33=""),"",MAX(E33,F33,G33)+7)</f>
        <v/>
      </c>
      <c r="I33" s="5" t="str">
        <f aca="false">IF(OR(E33="",H33=""),"",MAX(E33,F33,G33,H33)+15)</f>
        <v/>
      </c>
      <c r="J33" s="5" t="str">
        <f aca="false">IF(OR(E33="",I33=""),"",MAX(E33,F33,G33,H33,I33)+30)</f>
        <v/>
      </c>
      <c r="K33" s="5" t="str">
        <f aca="false">IF(OR(E33="",J33=""),"",MAX(E33,F33,G33,H33,I33,J33)+60)</f>
        <v/>
      </c>
      <c r="L33" s="5" t="str">
        <f aca="false">IF(OR(E33="",K33=""),"",MAX(E33,F33,G33,H33,I33,J33,K33)+90)</f>
        <v/>
      </c>
      <c r="M33" s="5" t="str">
        <f aca="false">IF(E33="","Not Started",IF(F33="",F33,IF(G33="",G33,IF(H33="",H33,IF(I33="",I33,IF(J33="",J33,IF(K33="",K33,IF(L33="",L33,"Complete"))))))))</f>
        <v>Not Started</v>
      </c>
      <c r="N33" s="1" t="str">
        <f aca="true">IF(E33="","",IF(M33="Complete","✅ Complete",IF(M33="Not Started","",IF(M33&lt;TODAY(),"🔴 OVERDUE",IF(M33=TODAY(),"🟡 DUE TODAY","🟢 Upcoming")))))</f>
        <v/>
      </c>
    </row>
    <row r="34" customFormat="false" ht="15" hidden="false" customHeight="true" outlineLevel="0" collapsed="false">
      <c r="E34" s="5"/>
      <c r="F34" s="5" t="str">
        <f aca="false">IF(E34="","",E34+1)</f>
        <v/>
      </c>
      <c r="G34" s="5" t="str">
        <f aca="false">IF(OR(E34="",F34=""),"",MAX(E34,F34)+3)</f>
        <v/>
      </c>
      <c r="H34" s="5" t="str">
        <f aca="false">IF(OR(E34="",G34=""),"",MAX(E34,F34,G34)+7)</f>
        <v/>
      </c>
      <c r="I34" s="5" t="str">
        <f aca="false">IF(OR(E34="",H34=""),"",MAX(E34,F34,G34,H34)+15)</f>
        <v/>
      </c>
      <c r="J34" s="5" t="str">
        <f aca="false">IF(OR(E34="",I34=""),"",MAX(E34,F34,G34,H34,I34)+30)</f>
        <v/>
      </c>
      <c r="K34" s="5" t="str">
        <f aca="false">IF(OR(E34="",J34=""),"",MAX(E34,F34,G34,H34,I34,J34)+60)</f>
        <v/>
      </c>
      <c r="L34" s="5" t="str">
        <f aca="false">IF(OR(E34="",K34=""),"",MAX(E34,F34,G34,H34,I34,J34,K34)+90)</f>
        <v/>
      </c>
      <c r="M34" s="5" t="str">
        <f aca="false">IF(E34="","Not Started",IF(F34="",F34,IF(G34="",G34,IF(H34="",H34,IF(I34="",I34,IF(J34="",J34,IF(K34="",K34,IF(L34="",L34,"Complete"))))))))</f>
        <v>Not Started</v>
      </c>
      <c r="N34" s="1" t="str">
        <f aca="true">IF(E34="","",IF(M34="Complete","✅ Complete",IF(M34="Not Started","",IF(M34&lt;TODAY(),"🔴 OVERDUE",IF(M34=TODAY(),"🟡 DUE TODAY","🟢 Upcoming")))))</f>
        <v/>
      </c>
    </row>
    <row r="35" customFormat="false" ht="15" hidden="false" customHeight="true" outlineLevel="0" collapsed="false">
      <c r="E35" s="5"/>
      <c r="F35" s="5" t="str">
        <f aca="false">IF(E35="","",E35+1)</f>
        <v/>
      </c>
      <c r="G35" s="5" t="str">
        <f aca="false">IF(OR(E35="",F35=""),"",MAX(E35,F35)+3)</f>
        <v/>
      </c>
      <c r="H35" s="5" t="str">
        <f aca="false">IF(OR(E35="",G35=""),"",MAX(E35,F35,G35)+7)</f>
        <v/>
      </c>
      <c r="I35" s="5" t="str">
        <f aca="false">IF(OR(E35="",H35=""),"",MAX(E35,F35,G35,H35)+15)</f>
        <v/>
      </c>
      <c r="J35" s="5" t="str">
        <f aca="false">IF(OR(E35="",I35=""),"",MAX(E35,F35,G35,H35,I35)+30)</f>
        <v/>
      </c>
      <c r="K35" s="5" t="str">
        <f aca="false">IF(OR(E35="",J35=""),"",MAX(E35,F35,G35,H35,I35,J35)+60)</f>
        <v/>
      </c>
      <c r="L35" s="5" t="str">
        <f aca="false">IF(OR(E35="",K35=""),"",MAX(E35,F35,G35,H35,I35,J35,K35)+90)</f>
        <v/>
      </c>
      <c r="M35" s="5" t="str">
        <f aca="false">IF(E35="","Not Started",IF(F35="",F35,IF(G35="",G35,IF(H35="",H35,IF(I35="",I35,IF(J35="",J35,IF(K35="",K35,IF(L35="",L35,"Complete"))))))))</f>
        <v>Not Started</v>
      </c>
      <c r="N35" s="1" t="str">
        <f aca="true">IF(E35="","",IF(M35="Complete","✅ Complete",IF(M35="Not Started","",IF(M35&lt;TODAY(),"🔴 OVERDUE",IF(M35=TODAY(),"🟡 DUE TODAY","🟢 Upcoming")))))</f>
        <v/>
      </c>
    </row>
    <row r="36" customFormat="false" ht="15" hidden="false" customHeight="true" outlineLevel="0" collapsed="false">
      <c r="E36" s="5"/>
      <c r="F36" s="5" t="str">
        <f aca="false">IF(E36="","",E36+1)</f>
        <v/>
      </c>
      <c r="G36" s="5" t="str">
        <f aca="false">IF(OR(E36="",F36=""),"",MAX(E36,F36)+3)</f>
        <v/>
      </c>
      <c r="H36" s="5" t="str">
        <f aca="false">IF(OR(E36="",G36=""),"",MAX(E36,F36,G36)+7)</f>
        <v/>
      </c>
      <c r="I36" s="5" t="str">
        <f aca="false">IF(OR(E36="",H36=""),"",MAX(E36,F36,G36,H36)+15)</f>
        <v/>
      </c>
      <c r="J36" s="5" t="str">
        <f aca="false">IF(OR(E36="",I36=""),"",MAX(E36,F36,G36,H36,I36)+30)</f>
        <v/>
      </c>
      <c r="K36" s="5" t="str">
        <f aca="false">IF(OR(E36="",J36=""),"",MAX(E36,F36,G36,H36,I36,J36)+60)</f>
        <v/>
      </c>
      <c r="L36" s="5" t="str">
        <f aca="false">IF(OR(E36="",K36=""),"",MAX(E36,F36,G36,H36,I36,J36,K36)+90)</f>
        <v/>
      </c>
      <c r="M36" s="5" t="str">
        <f aca="false">IF(E36="","Not Started",IF(F36="",F36,IF(G36="",G36,IF(H36="",H36,IF(I36="",I36,IF(J36="",J36,IF(K36="",K36,IF(L36="",L36,"Complete"))))))))</f>
        <v>Not Started</v>
      </c>
      <c r="N36" s="1" t="str">
        <f aca="true">IF(E36="","",IF(M36="Complete","✅ Complete",IF(M36="Not Started","",IF(M36&lt;TODAY(),"🔴 OVERDUE",IF(M36=TODAY(),"🟡 DUE TODAY","🟢 Upcoming")))))</f>
        <v/>
      </c>
    </row>
    <row r="37" customFormat="false" ht="15" hidden="false" customHeight="true" outlineLevel="0" collapsed="false">
      <c r="E37" s="5"/>
      <c r="F37" s="5" t="str">
        <f aca="false">IF(E37="","",E37+1)</f>
        <v/>
      </c>
      <c r="G37" s="5" t="str">
        <f aca="false">IF(OR(E37="",F37=""),"",MAX(E37,F37)+3)</f>
        <v/>
      </c>
      <c r="H37" s="5" t="str">
        <f aca="false">IF(OR(E37="",G37=""),"",MAX(E37,F37,G37)+7)</f>
        <v/>
      </c>
      <c r="I37" s="5" t="str">
        <f aca="false">IF(OR(E37="",H37=""),"",MAX(E37,F37,G37,H37)+15)</f>
        <v/>
      </c>
      <c r="J37" s="5" t="str">
        <f aca="false">IF(OR(E37="",I37=""),"",MAX(E37,F37,G37,H37,I37)+30)</f>
        <v/>
      </c>
      <c r="K37" s="5" t="str">
        <f aca="false">IF(OR(E37="",J37=""),"",MAX(E37,F37,G37,H37,I37,J37)+60)</f>
        <v/>
      </c>
      <c r="L37" s="5" t="str">
        <f aca="false">IF(OR(E37="",K37=""),"",MAX(E37,F37,G37,H37,I37,J37,K37)+90)</f>
        <v/>
      </c>
      <c r="M37" s="5" t="str">
        <f aca="false">IF(E37="","Not Started",IF(F37="",F37,IF(G37="",G37,IF(H37="",H37,IF(I37="",I37,IF(J37="",J37,IF(K37="",K37,IF(L37="",L37,"Complete"))))))))</f>
        <v>Not Started</v>
      </c>
      <c r="N37" s="1" t="str">
        <f aca="true">IF(E37="","",IF(M37="Complete","✅ Complete",IF(M37="Not Started","",IF(M37&lt;TODAY(),"🔴 OVERDUE",IF(M37=TODAY(),"🟡 DUE TODAY","🟢 Upcoming")))))</f>
        <v/>
      </c>
    </row>
    <row r="38" customFormat="false" ht="15" hidden="false" customHeight="true" outlineLevel="0" collapsed="false">
      <c r="E38" s="5"/>
      <c r="F38" s="5" t="str">
        <f aca="false">IF(E38="","",E38+1)</f>
        <v/>
      </c>
      <c r="G38" s="5" t="str">
        <f aca="false">IF(OR(E38="",F38=""),"",MAX(E38,F38)+3)</f>
        <v/>
      </c>
      <c r="H38" s="5" t="str">
        <f aca="false">IF(OR(E38="",G38=""),"",MAX(E38,F38,G38)+7)</f>
        <v/>
      </c>
      <c r="I38" s="5" t="str">
        <f aca="false">IF(OR(E38="",H38=""),"",MAX(E38,F38,G38,H38)+15)</f>
        <v/>
      </c>
      <c r="J38" s="5" t="str">
        <f aca="false">IF(OR(E38="",I38=""),"",MAX(E38,F38,G38,H38,I38)+30)</f>
        <v/>
      </c>
      <c r="K38" s="5" t="str">
        <f aca="false">IF(OR(E38="",J38=""),"",MAX(E38,F38,G38,H38,I38,J38)+60)</f>
        <v/>
      </c>
      <c r="L38" s="5" t="str">
        <f aca="false">IF(OR(E38="",K38=""),"",MAX(E38,F38,G38,H38,I38,J38,K38)+90)</f>
        <v/>
      </c>
      <c r="M38" s="5" t="str">
        <f aca="false">IF(E38="","Not Started",IF(F38="",F38,IF(G38="",G38,IF(H38="",H38,IF(I38="",I38,IF(J38="",J38,IF(K38="",K38,IF(L38="",L38,"Complete"))))))))</f>
        <v>Not Started</v>
      </c>
      <c r="N38" s="1" t="str">
        <f aca="true">IF(E38="","",IF(M38="Complete","✅ Complete",IF(M38="Not Started","",IF(M38&lt;TODAY(),"🔴 OVERDUE",IF(M38=TODAY(),"🟡 DUE TODAY","🟢 Upcoming")))))</f>
        <v/>
      </c>
    </row>
    <row r="39" customFormat="false" ht="15" hidden="false" customHeight="true" outlineLevel="0" collapsed="false">
      <c r="E39" s="5"/>
      <c r="F39" s="5" t="str">
        <f aca="false">IF(E39="","",E39+1)</f>
        <v/>
      </c>
      <c r="G39" s="5" t="str">
        <f aca="false">IF(OR(E39="",F39=""),"",MAX(E39,F39)+3)</f>
        <v/>
      </c>
      <c r="H39" s="5" t="str">
        <f aca="false">IF(OR(E39="",G39=""),"",MAX(E39,F39,G39)+7)</f>
        <v/>
      </c>
      <c r="I39" s="5" t="str">
        <f aca="false">IF(OR(E39="",H39=""),"",MAX(E39,F39,G39,H39)+15)</f>
        <v/>
      </c>
      <c r="J39" s="5" t="str">
        <f aca="false">IF(OR(E39="",I39=""),"",MAX(E39,F39,G39,H39,I39)+30)</f>
        <v/>
      </c>
      <c r="K39" s="5" t="str">
        <f aca="false">IF(OR(E39="",J39=""),"",MAX(E39,F39,G39,H39,I39,J39)+60)</f>
        <v/>
      </c>
      <c r="L39" s="5" t="str">
        <f aca="false">IF(OR(E39="",K39=""),"",MAX(E39,F39,G39,H39,I39,J39,K39)+90)</f>
        <v/>
      </c>
      <c r="M39" s="5" t="str">
        <f aca="false">IF(E39="","Not Started",IF(F39="",F39,IF(G39="",G39,IF(H39="",H39,IF(I39="",I39,IF(J39="",J39,IF(K39="",K39,IF(L39="",L39,"Complete"))))))))</f>
        <v>Not Started</v>
      </c>
      <c r="N39" s="1" t="str">
        <f aca="true">IF(E39="","",IF(M39="Complete","✅ Complete",IF(M39="Not Started","",IF(M39&lt;TODAY(),"🔴 OVERDUE",IF(M39=TODAY(),"🟡 DUE TODAY","🟢 Upcoming")))))</f>
        <v/>
      </c>
    </row>
    <row r="40" customFormat="false" ht="15" hidden="false" customHeight="true" outlineLevel="0" collapsed="false">
      <c r="E40" s="5"/>
      <c r="F40" s="5" t="str">
        <f aca="false">IF(E40="","",E40+1)</f>
        <v/>
      </c>
      <c r="G40" s="5" t="str">
        <f aca="false">IF(OR(E40="",F40=""),"",MAX(E40,F40)+3)</f>
        <v/>
      </c>
      <c r="H40" s="5" t="str">
        <f aca="false">IF(OR(E40="",G40=""),"",MAX(E40,F40,G40)+7)</f>
        <v/>
      </c>
      <c r="I40" s="5" t="str">
        <f aca="false">IF(OR(E40="",H40=""),"",MAX(E40,F40,G40,H40)+15)</f>
        <v/>
      </c>
      <c r="J40" s="5" t="str">
        <f aca="false">IF(OR(E40="",I40=""),"",MAX(E40,F40,G40,H40,I40)+30)</f>
        <v/>
      </c>
      <c r="K40" s="5" t="str">
        <f aca="false">IF(OR(E40="",J40=""),"",MAX(E40,F40,G40,H40,I40,J40)+60)</f>
        <v/>
      </c>
      <c r="L40" s="5" t="str">
        <f aca="false">IF(OR(E40="",K40=""),"",MAX(E40,F40,G40,H40,I40,J40,K40)+90)</f>
        <v/>
      </c>
      <c r="M40" s="5" t="str">
        <f aca="false">IF(E40="","Not Started",IF(F40="",F40,IF(G40="",G40,IF(H40="",H40,IF(I40="",I40,IF(J40="",J40,IF(K40="",K40,IF(L40="",L40,"Complete"))))))))</f>
        <v>Not Started</v>
      </c>
      <c r="N40" s="1" t="str">
        <f aca="true">IF(E40="","",IF(M40="Complete","✅ Complete",IF(M40="Not Started","",IF(M40&lt;TODAY(),"🔴 OVERDUE",IF(M40=TODAY(),"🟡 DUE TODAY","🟢 Upcoming")))))</f>
        <v/>
      </c>
    </row>
    <row r="41" customFormat="false" ht="15" hidden="false" customHeight="true" outlineLevel="0" collapsed="false">
      <c r="E41" s="5"/>
      <c r="F41" s="5" t="str">
        <f aca="false">IF(E41="","",E41+1)</f>
        <v/>
      </c>
      <c r="G41" s="5" t="str">
        <f aca="false">IF(OR(E41="",F41=""),"",MAX(E41,F41)+3)</f>
        <v/>
      </c>
      <c r="H41" s="5" t="str">
        <f aca="false">IF(OR(E41="",G41=""),"",MAX(E41,F41,G41)+7)</f>
        <v/>
      </c>
      <c r="I41" s="5" t="str">
        <f aca="false">IF(OR(E41="",H41=""),"",MAX(E41,F41,G41,H41)+15)</f>
        <v/>
      </c>
      <c r="J41" s="5" t="str">
        <f aca="false">IF(OR(E41="",I41=""),"",MAX(E41,F41,G41,H41,I41)+30)</f>
        <v/>
      </c>
      <c r="K41" s="5" t="str">
        <f aca="false">IF(OR(E41="",J41=""),"",MAX(E41,F41,G41,H41,I41,J41)+60)</f>
        <v/>
      </c>
      <c r="L41" s="5" t="str">
        <f aca="false">IF(OR(E41="",K41=""),"",MAX(E41,F41,G41,H41,I41,J41,K41)+90)</f>
        <v/>
      </c>
      <c r="M41" s="5" t="str">
        <f aca="false">IF(E41="","Not Started",IF(F41="",F41,IF(G41="",G41,IF(H41="",H41,IF(I41="",I41,IF(J41="",J41,IF(K41="",K41,IF(L41="",L41,"Complete"))))))))</f>
        <v>Not Started</v>
      </c>
      <c r="N41" s="1" t="str">
        <f aca="true">IF(E41="","",IF(M41="Complete","✅ Complete",IF(M41="Not Started","",IF(M41&lt;TODAY(),"🔴 OVERDUE",IF(M41=TODAY(),"🟡 DUE TODAY","🟢 Upcoming")))))</f>
        <v/>
      </c>
    </row>
    <row r="42" customFormat="false" ht="15" hidden="false" customHeight="true" outlineLevel="0" collapsed="false">
      <c r="E42" s="5"/>
      <c r="F42" s="5" t="str">
        <f aca="false">IF(E42="","",E42+1)</f>
        <v/>
      </c>
      <c r="G42" s="5" t="str">
        <f aca="false">IF(OR(E42="",F42=""),"",MAX(E42,F42)+3)</f>
        <v/>
      </c>
      <c r="H42" s="5" t="str">
        <f aca="false">IF(OR(E42="",G42=""),"",MAX(E42,F42,G42)+7)</f>
        <v/>
      </c>
      <c r="I42" s="5" t="str">
        <f aca="false">IF(OR(E42="",H42=""),"",MAX(E42,F42,G42,H42)+15)</f>
        <v/>
      </c>
      <c r="J42" s="5" t="str">
        <f aca="false">IF(OR(E42="",I42=""),"",MAX(E42,F42,G42,H42,I42)+30)</f>
        <v/>
      </c>
      <c r="K42" s="5" t="str">
        <f aca="false">IF(OR(E42="",J42=""),"",MAX(E42,F42,G42,H42,I42,J42)+60)</f>
        <v/>
      </c>
      <c r="L42" s="5" t="str">
        <f aca="false">IF(OR(E42="",K42=""),"",MAX(E42,F42,G42,H42,I42,J42,K42)+90)</f>
        <v/>
      </c>
      <c r="M42" s="5" t="str">
        <f aca="false">IF(E42="","Not Started",IF(F42="",F42,IF(G42="",G42,IF(H42="",H42,IF(I42="",I42,IF(J42="",J42,IF(K42="",K42,IF(L42="",L42,"Complete"))))))))</f>
        <v>Not Started</v>
      </c>
      <c r="N42" s="1" t="str">
        <f aca="true">IF(E42="","",IF(M42="Complete","✅ Complete",IF(M42="Not Started","",IF(M42&lt;TODAY(),"🔴 OVERDUE",IF(M42=TODAY(),"🟡 DUE TODAY","🟢 Upcoming")))))</f>
        <v/>
      </c>
    </row>
    <row r="43" customFormat="false" ht="15" hidden="false" customHeight="true" outlineLevel="0" collapsed="false">
      <c r="E43" s="5"/>
      <c r="F43" s="5" t="str">
        <f aca="false">IF(E43="","",E43+1)</f>
        <v/>
      </c>
      <c r="G43" s="5" t="str">
        <f aca="false">IF(OR(E43="",F43=""),"",MAX(E43,F43)+3)</f>
        <v/>
      </c>
      <c r="H43" s="5" t="str">
        <f aca="false">IF(OR(E43="",G43=""),"",MAX(E43,F43,G43)+7)</f>
        <v/>
      </c>
      <c r="I43" s="5" t="str">
        <f aca="false">IF(OR(E43="",H43=""),"",MAX(E43,F43,G43,H43)+15)</f>
        <v/>
      </c>
      <c r="J43" s="5" t="str">
        <f aca="false">IF(OR(E43="",I43=""),"",MAX(E43,F43,G43,H43,I43)+30)</f>
        <v/>
      </c>
      <c r="K43" s="5" t="str">
        <f aca="false">IF(OR(E43="",J43=""),"",MAX(E43,F43,G43,H43,I43,J43)+60)</f>
        <v/>
      </c>
      <c r="L43" s="5" t="str">
        <f aca="false">IF(OR(E43="",K43=""),"",MAX(E43,F43,G43,H43,I43,J43,K43)+90)</f>
        <v/>
      </c>
      <c r="M43" s="5" t="str">
        <f aca="false">IF(E43="","Not Started",IF(F43="",F43,IF(G43="",G43,IF(H43="",H43,IF(I43="",I43,IF(J43="",J43,IF(K43="",K43,IF(L43="",L43,"Complete"))))))))</f>
        <v>Not Started</v>
      </c>
      <c r="N43" s="1" t="str">
        <f aca="true">IF(E43="","",IF(M43="Complete","✅ Complete",IF(M43="Not Started","",IF(M43&lt;TODAY(),"🔴 OVERDUE",IF(M43=TODAY(),"🟡 DUE TODAY","🟢 Upcoming")))))</f>
        <v/>
      </c>
    </row>
    <row r="44" customFormat="false" ht="15" hidden="false" customHeight="true" outlineLevel="0" collapsed="false">
      <c r="E44" s="5"/>
      <c r="F44" s="5" t="str">
        <f aca="false">IF(E44="","",E44+1)</f>
        <v/>
      </c>
      <c r="G44" s="5" t="str">
        <f aca="false">IF(OR(E44="",F44=""),"",MAX(E44,F44)+3)</f>
        <v/>
      </c>
      <c r="H44" s="5" t="str">
        <f aca="false">IF(OR(E44="",G44=""),"",MAX(E44,F44,G44)+7)</f>
        <v/>
      </c>
      <c r="I44" s="5" t="str">
        <f aca="false">IF(OR(E44="",H44=""),"",MAX(E44,F44,G44,H44)+15)</f>
        <v/>
      </c>
      <c r="J44" s="5" t="str">
        <f aca="false">IF(OR(E44="",I44=""),"",MAX(E44,F44,G44,H44,I44)+30)</f>
        <v/>
      </c>
      <c r="K44" s="5" t="str">
        <f aca="false">IF(OR(E44="",J44=""),"",MAX(E44,F44,G44,H44,I44,J44)+60)</f>
        <v/>
      </c>
      <c r="L44" s="5" t="str">
        <f aca="false">IF(OR(E44="",K44=""),"",MAX(E44,F44,G44,H44,I44,J44,K44)+90)</f>
        <v/>
      </c>
      <c r="M44" s="5" t="str">
        <f aca="false">IF(E44="","Not Started",IF(F44="",F44,IF(G44="",G44,IF(H44="",H44,IF(I44="",I44,IF(J44="",J44,IF(K44="",K44,IF(L44="",L44,"Complete"))))))))</f>
        <v>Not Started</v>
      </c>
      <c r="N44" s="1" t="str">
        <f aca="true">IF(E44="","",IF(M44="Complete","✅ Complete",IF(M44="Not Started","",IF(M44&lt;TODAY(),"🔴 OVERDUE",IF(M44=TODAY(),"🟡 DUE TODAY","🟢 Upcoming")))))</f>
        <v/>
      </c>
    </row>
    <row r="45" customFormat="false" ht="15" hidden="false" customHeight="true" outlineLevel="0" collapsed="false">
      <c r="E45" s="5"/>
      <c r="F45" s="5" t="str">
        <f aca="false">IF(E45="","",E45+1)</f>
        <v/>
      </c>
      <c r="G45" s="5" t="str">
        <f aca="false">IF(OR(E45="",F45=""),"",MAX(E45,F45)+3)</f>
        <v/>
      </c>
      <c r="H45" s="5" t="str">
        <f aca="false">IF(OR(E45="",G45=""),"",MAX(E45,F45,G45)+7)</f>
        <v/>
      </c>
      <c r="I45" s="5" t="str">
        <f aca="false">IF(OR(E45="",H45=""),"",MAX(E45,F45,G45,H45)+15)</f>
        <v/>
      </c>
      <c r="J45" s="5" t="str">
        <f aca="false">IF(OR(E45="",I45=""),"",MAX(E45,F45,G45,H45,I45)+30)</f>
        <v/>
      </c>
      <c r="K45" s="5" t="str">
        <f aca="false">IF(OR(E45="",J45=""),"",MAX(E45,F45,G45,H45,I45,J45)+60)</f>
        <v/>
      </c>
      <c r="L45" s="5" t="str">
        <f aca="false">IF(OR(E45="",K45=""),"",MAX(E45,F45,G45,H45,I45,J45,K45)+90)</f>
        <v/>
      </c>
      <c r="M45" s="5" t="str">
        <f aca="false">IF(E45="","Not Started",IF(F45="",F45,IF(G45="",G45,IF(H45="",H45,IF(I45="",I45,IF(J45="",J45,IF(K45="",K45,IF(L45="",L45,"Complete"))))))))</f>
        <v>Not Started</v>
      </c>
      <c r="N45" s="1" t="str">
        <f aca="true">IF(E45="","",IF(M45="Complete","✅ Complete",IF(M45="Not Started","",IF(M45&lt;TODAY(),"🔴 OVERDUE",IF(M45=TODAY(),"🟡 DUE TODAY","🟢 Upcoming")))))</f>
        <v/>
      </c>
    </row>
    <row r="46" customFormat="false" ht="15" hidden="false" customHeight="true" outlineLevel="0" collapsed="false">
      <c r="E46" s="5"/>
      <c r="F46" s="5" t="str">
        <f aca="false">IF(E46="","",E46+1)</f>
        <v/>
      </c>
      <c r="G46" s="5" t="str">
        <f aca="false">IF(OR(E46="",F46=""),"",MAX(E46,F46)+3)</f>
        <v/>
      </c>
      <c r="H46" s="5" t="str">
        <f aca="false">IF(OR(E46="",G46=""),"",MAX(E46,F46,G46)+7)</f>
        <v/>
      </c>
      <c r="I46" s="5" t="str">
        <f aca="false">IF(OR(E46="",H46=""),"",MAX(E46,F46,G46,H46)+15)</f>
        <v/>
      </c>
      <c r="J46" s="5" t="str">
        <f aca="false">IF(OR(E46="",I46=""),"",MAX(E46,F46,G46,H46,I46)+30)</f>
        <v/>
      </c>
      <c r="K46" s="5" t="str">
        <f aca="false">IF(OR(E46="",J46=""),"",MAX(E46,F46,G46,H46,I46,J46)+60)</f>
        <v/>
      </c>
      <c r="L46" s="5" t="str">
        <f aca="false">IF(OR(E46="",K46=""),"",MAX(E46,F46,G46,H46,I46,J46,K46)+90)</f>
        <v/>
      </c>
      <c r="M46" s="5" t="str">
        <f aca="false">IF(E46="","Not Started",IF(F46="",F46,IF(G46="",G46,IF(H46="",H46,IF(I46="",I46,IF(J46="",J46,IF(K46="",K46,IF(L46="",L46,"Complete"))))))))</f>
        <v>Not Started</v>
      </c>
      <c r="N46" s="1" t="str">
        <f aca="true">IF(E46="","",IF(M46="Complete","✅ Complete",IF(M46="Not Started","",IF(M46&lt;TODAY(),"🔴 OVERDUE",IF(M46=TODAY(),"🟡 DUE TODAY","🟢 Upcoming")))))</f>
        <v/>
      </c>
    </row>
    <row r="47" customFormat="false" ht="15" hidden="false" customHeight="true" outlineLevel="0" collapsed="false">
      <c r="E47" s="5"/>
      <c r="F47" s="5" t="str">
        <f aca="false">IF(E47="","",E47+1)</f>
        <v/>
      </c>
      <c r="G47" s="5" t="str">
        <f aca="false">IF(OR(E47="",F47=""),"",MAX(E47,F47)+3)</f>
        <v/>
      </c>
      <c r="H47" s="5" t="str">
        <f aca="false">IF(OR(E47="",G47=""),"",MAX(E47,F47,G47)+7)</f>
        <v/>
      </c>
      <c r="I47" s="5" t="str">
        <f aca="false">IF(OR(E47="",H47=""),"",MAX(E47,F47,G47,H47)+15)</f>
        <v/>
      </c>
      <c r="J47" s="5" t="str">
        <f aca="false">IF(OR(E47="",I47=""),"",MAX(E47,F47,G47,H47,I47)+30)</f>
        <v/>
      </c>
      <c r="K47" s="5" t="str">
        <f aca="false">IF(OR(E47="",J47=""),"",MAX(E47,F47,G47,H47,I47,J47)+60)</f>
        <v/>
      </c>
      <c r="L47" s="5" t="str">
        <f aca="false">IF(OR(E47="",K47=""),"",MAX(E47,F47,G47,H47,I47,J47,K47)+90)</f>
        <v/>
      </c>
      <c r="M47" s="5" t="str">
        <f aca="false">IF(E47="","Not Started",IF(F47="",F47,IF(G47="",G47,IF(H47="",H47,IF(I47="",I47,IF(J47="",J47,IF(K47="",K47,IF(L47="",L47,"Complete"))))))))</f>
        <v>Not Started</v>
      </c>
      <c r="N47" s="1" t="str">
        <f aca="true">IF(E47="","",IF(M47="Complete","✅ Complete",IF(M47="Not Started","",IF(M47&lt;TODAY(),"🔴 OVERDUE",IF(M47=TODAY(),"🟡 DUE TODAY","🟢 Upcoming")))))</f>
        <v/>
      </c>
    </row>
    <row r="48" customFormat="false" ht="15" hidden="false" customHeight="true" outlineLevel="0" collapsed="false">
      <c r="E48" s="5"/>
      <c r="F48" s="5" t="str">
        <f aca="false">IF(E48="","",E48+1)</f>
        <v/>
      </c>
      <c r="G48" s="5" t="str">
        <f aca="false">IF(OR(E48="",F48=""),"",MAX(E48,F48)+3)</f>
        <v/>
      </c>
      <c r="H48" s="5" t="str">
        <f aca="false">IF(OR(E48="",G48=""),"",MAX(E48,F48,G48)+7)</f>
        <v/>
      </c>
      <c r="I48" s="5" t="str">
        <f aca="false">IF(OR(E48="",H48=""),"",MAX(E48,F48,G48,H48)+15)</f>
        <v/>
      </c>
      <c r="J48" s="5" t="str">
        <f aca="false">IF(OR(E48="",I48=""),"",MAX(E48,F48,G48,H48,I48)+30)</f>
        <v/>
      </c>
      <c r="K48" s="5" t="str">
        <f aca="false">IF(OR(E48="",J48=""),"",MAX(E48,F48,G48,H48,I48,J48)+60)</f>
        <v/>
      </c>
      <c r="L48" s="5" t="str">
        <f aca="false">IF(OR(E48="",K48=""),"",MAX(E48,F48,G48,H48,I48,J48,K48)+90)</f>
        <v/>
      </c>
      <c r="M48" s="5" t="str">
        <f aca="false">IF(E48="","Not Started",IF(F48="",F48,IF(G48="",G48,IF(H48="",H48,IF(I48="",I48,IF(J48="",J48,IF(K48="",K48,IF(L48="",L48,"Complete"))))))))</f>
        <v>Not Started</v>
      </c>
      <c r="N48" s="1" t="str">
        <f aca="true">IF(E48="","",IF(M48="Complete","✅ Complete",IF(M48="Not Started","",IF(M48&lt;TODAY(),"🔴 OVERDUE",IF(M48=TODAY(),"🟡 DUE TODAY","🟢 Upcoming")))))</f>
        <v/>
      </c>
    </row>
    <row r="49" customFormat="false" ht="15" hidden="false" customHeight="true" outlineLevel="0" collapsed="false">
      <c r="E49" s="5"/>
      <c r="F49" s="5" t="str">
        <f aca="false">IF(E49="","",E49+1)</f>
        <v/>
      </c>
      <c r="G49" s="5" t="str">
        <f aca="false">IF(OR(E49="",F49=""),"",MAX(E49,F49)+3)</f>
        <v/>
      </c>
      <c r="H49" s="5" t="str">
        <f aca="false">IF(OR(E49="",G49=""),"",MAX(E49,F49,G49)+7)</f>
        <v/>
      </c>
      <c r="I49" s="5" t="str">
        <f aca="false">IF(OR(E49="",H49=""),"",MAX(E49,F49,G49,H49)+15)</f>
        <v/>
      </c>
      <c r="J49" s="5" t="str">
        <f aca="false">IF(OR(E49="",I49=""),"",MAX(E49,F49,G49,H49,I49)+30)</f>
        <v/>
      </c>
      <c r="K49" s="5" t="str">
        <f aca="false">IF(OR(E49="",J49=""),"",MAX(E49,F49,G49,H49,I49,J49)+60)</f>
        <v/>
      </c>
      <c r="L49" s="5" t="str">
        <f aca="false">IF(OR(E49="",K49=""),"",MAX(E49,F49,G49,H49,I49,J49,K49)+90)</f>
        <v/>
      </c>
      <c r="M49" s="5" t="str">
        <f aca="false">IF(E49="","Not Started",IF(F49="",F49,IF(G49="",G49,IF(H49="",H49,IF(I49="",I49,IF(J49="",J49,IF(K49="",K49,IF(L49="",L49,"Complete"))))))))</f>
        <v>Not Started</v>
      </c>
      <c r="N49" s="1" t="str">
        <f aca="true">IF(E49="","",IF(M49="Complete","✅ Complete",IF(M49="Not Started","",IF(M49&lt;TODAY(),"🔴 OVERDUE",IF(M49=TODAY(),"🟡 DUE TODAY","🟢 Upcoming")))))</f>
        <v/>
      </c>
    </row>
    <row r="50" customFormat="false" ht="15" hidden="false" customHeight="true" outlineLevel="0" collapsed="false">
      <c r="E50" s="5"/>
      <c r="F50" s="5" t="str">
        <f aca="false">IF(E50="","",E50+1)</f>
        <v/>
      </c>
      <c r="G50" s="5" t="str">
        <f aca="false">IF(OR(E50="",F50=""),"",MAX(E50,F50)+3)</f>
        <v/>
      </c>
      <c r="H50" s="5" t="str">
        <f aca="false">IF(OR(E50="",G50=""),"",MAX(E50,F50,G50)+7)</f>
        <v/>
      </c>
      <c r="I50" s="5" t="str">
        <f aca="false">IF(OR(E50="",H50=""),"",MAX(E50,F50,G50,H50)+15)</f>
        <v/>
      </c>
      <c r="J50" s="5" t="str">
        <f aca="false">IF(OR(E50="",I50=""),"",MAX(E50,F50,G50,H50,I50)+30)</f>
        <v/>
      </c>
      <c r="K50" s="5" t="str">
        <f aca="false">IF(OR(E50="",J50=""),"",MAX(E50,F50,G50,H50,I50,J50)+60)</f>
        <v/>
      </c>
      <c r="L50" s="5" t="str">
        <f aca="false">IF(OR(E50="",K50=""),"",MAX(E50,F50,G50,H50,I50,J50,K50)+90)</f>
        <v/>
      </c>
      <c r="M50" s="5" t="str">
        <f aca="false">IF(E50="","Not Started",IF(F50="",F50,IF(G50="",G50,IF(H50="",H50,IF(I50="",I50,IF(J50="",J50,IF(K50="",K50,IF(L50="",L50,"Complete"))))))))</f>
        <v>Not Started</v>
      </c>
      <c r="N50" s="1" t="str">
        <f aca="true">IF(E50="","",IF(M50="Complete","✅ Complete",IF(M50="Not Started","",IF(M50&lt;TODAY(),"🔴 OVERDUE",IF(M50=TODAY(),"🟡 DUE TODAY","🟢 Upcoming")))))</f>
        <v/>
      </c>
    </row>
    <row r="51" customFormat="false" ht="15" hidden="false" customHeight="true" outlineLevel="0" collapsed="false">
      <c r="E51" s="5"/>
      <c r="F51" s="5" t="str">
        <f aca="false">IF(E51="","",E51+1)</f>
        <v/>
      </c>
      <c r="G51" s="5" t="str">
        <f aca="false">IF(OR(E51="",F51=""),"",MAX(E51,F51)+3)</f>
        <v/>
      </c>
      <c r="H51" s="5" t="str">
        <f aca="false">IF(OR(E51="",G51=""),"",MAX(E51,F51,G51)+7)</f>
        <v/>
      </c>
      <c r="I51" s="5" t="str">
        <f aca="false">IF(OR(E51="",H51=""),"",MAX(E51,F51,G51,H51)+15)</f>
        <v/>
      </c>
      <c r="J51" s="5" t="str">
        <f aca="false">IF(OR(E51="",I51=""),"",MAX(E51,F51,G51,H51,I51)+30)</f>
        <v/>
      </c>
      <c r="K51" s="5" t="str">
        <f aca="false">IF(OR(E51="",J51=""),"",MAX(E51,F51,G51,H51,I51,J51)+60)</f>
        <v/>
      </c>
      <c r="L51" s="5" t="str">
        <f aca="false">IF(OR(E51="",K51=""),"",MAX(E51,F51,G51,H51,I51,J51,K51)+90)</f>
        <v/>
      </c>
      <c r="M51" s="5" t="str">
        <f aca="false">IF(E51="","Not Started",IF(F51="",F51,IF(G51="",G51,IF(H51="",H51,IF(I51="",I51,IF(J51="",J51,IF(K51="",K51,IF(L51="",L51,"Complete"))))))))</f>
        <v>Not Started</v>
      </c>
      <c r="N51" s="1" t="str">
        <f aca="true">IF(E51="","",IF(M51="Complete","✅ Complete",IF(M51="Not Started","",IF(M51&lt;TODAY(),"🔴 OVERDUE",IF(M51=TODAY(),"🟡 DUE TODAY","🟢 Upcoming")))))</f>
        <v/>
      </c>
    </row>
    <row r="52" customFormat="false" ht="15" hidden="false" customHeight="true" outlineLevel="0" collapsed="false">
      <c r="E52" s="5"/>
      <c r="F52" s="5" t="str">
        <f aca="false">IF(E52="","",E52+1)</f>
        <v/>
      </c>
      <c r="G52" s="5" t="str">
        <f aca="false">IF(OR(E52="",F52=""),"",MAX(E52,F52)+3)</f>
        <v/>
      </c>
      <c r="H52" s="5" t="str">
        <f aca="false">IF(OR(E52="",G52=""),"",MAX(E52,F52,G52)+7)</f>
        <v/>
      </c>
      <c r="I52" s="5" t="str">
        <f aca="false">IF(OR(E52="",H52=""),"",MAX(E52,F52,G52,H52)+15)</f>
        <v/>
      </c>
      <c r="J52" s="5" t="str">
        <f aca="false">IF(OR(E52="",I52=""),"",MAX(E52,F52,G52,H52,I52)+30)</f>
        <v/>
      </c>
      <c r="K52" s="5" t="str">
        <f aca="false">IF(OR(E52="",J52=""),"",MAX(E52,F52,G52,H52,I52,J52)+60)</f>
        <v/>
      </c>
      <c r="L52" s="5" t="str">
        <f aca="false">IF(OR(E52="",K52=""),"",MAX(E52,F52,G52,H52,I52,J52,K52)+90)</f>
        <v/>
      </c>
      <c r="M52" s="5" t="str">
        <f aca="false">IF(E52="","Not Started",IF(F52="",F52,IF(G52="",G52,IF(H52="",H52,IF(I52="",I52,IF(J52="",J52,IF(K52="",K52,IF(L52="",L52,"Complete"))))))))</f>
        <v>Not Started</v>
      </c>
      <c r="N52" s="1" t="str">
        <f aca="true">IF(E52="","",IF(M52="Complete","✅ Complete",IF(M52="Not Started","",IF(M52&lt;TODAY(),"🔴 OVERDUE",IF(M52=TODAY(),"🟡 DUE TODAY","🟢 Upcoming")))))</f>
        <v/>
      </c>
    </row>
    <row r="53" customFormat="false" ht="15" hidden="false" customHeight="true" outlineLevel="0" collapsed="false">
      <c r="E53" s="5"/>
      <c r="F53" s="5" t="str">
        <f aca="false">IF(E53="","",E53+1)</f>
        <v/>
      </c>
      <c r="G53" s="5" t="str">
        <f aca="false">IF(OR(E53="",F53=""),"",MAX(E53,F53)+3)</f>
        <v/>
      </c>
      <c r="H53" s="5" t="str">
        <f aca="false">IF(OR(E53="",G53=""),"",MAX(E53,F53,G53)+7)</f>
        <v/>
      </c>
      <c r="I53" s="5" t="str">
        <f aca="false">IF(OR(E53="",H53=""),"",MAX(E53,F53,G53,H53)+15)</f>
        <v/>
      </c>
      <c r="J53" s="5" t="str">
        <f aca="false">IF(OR(E53="",I53=""),"",MAX(E53,F53,G53,H53,I53)+30)</f>
        <v/>
      </c>
      <c r="K53" s="5" t="str">
        <f aca="false">IF(OR(E53="",J53=""),"",MAX(E53,F53,G53,H53,I53,J53)+60)</f>
        <v/>
      </c>
      <c r="L53" s="5" t="str">
        <f aca="false">IF(OR(E53="",K53=""),"",MAX(E53,F53,G53,H53,I53,J53,K53)+90)</f>
        <v/>
      </c>
      <c r="M53" s="5" t="str">
        <f aca="false">IF(E53="","Not Started",IF(F53="",F53,IF(G53="",G53,IF(H53="",H53,IF(I53="",I53,IF(J53="",J53,IF(K53="",K53,IF(L53="",L53,"Complete"))))))))</f>
        <v>Not Started</v>
      </c>
      <c r="N53" s="1" t="str">
        <f aca="true">IF(E53="","",IF(M53="Complete","✅ Complete",IF(M53="Not Started","",IF(M53&lt;TODAY(),"🔴 OVERDUE",IF(M53=TODAY(),"🟡 DUE TODAY","🟢 Upcoming")))))</f>
        <v/>
      </c>
    </row>
    <row r="54" customFormat="false" ht="15" hidden="false" customHeight="true" outlineLevel="0" collapsed="false">
      <c r="E54" s="5"/>
      <c r="F54" s="5" t="str">
        <f aca="false">IF(E54="","",E54+1)</f>
        <v/>
      </c>
      <c r="G54" s="5" t="str">
        <f aca="false">IF(OR(E54="",F54=""),"",MAX(E54,F54)+3)</f>
        <v/>
      </c>
      <c r="H54" s="5" t="str">
        <f aca="false">IF(OR(E54="",G54=""),"",MAX(E54,F54,G54)+7)</f>
        <v/>
      </c>
      <c r="I54" s="5" t="str">
        <f aca="false">IF(OR(E54="",H54=""),"",MAX(E54,F54,G54,H54)+15)</f>
        <v/>
      </c>
      <c r="J54" s="5" t="str">
        <f aca="false">IF(OR(E54="",I54=""),"",MAX(E54,F54,G54,H54,I54)+30)</f>
        <v/>
      </c>
      <c r="K54" s="5" t="str">
        <f aca="false">IF(OR(E54="",J54=""),"",MAX(E54,F54,G54,H54,I54,J54)+60)</f>
        <v/>
      </c>
      <c r="L54" s="5" t="str">
        <f aca="false">IF(OR(E54="",K54=""),"",MAX(E54,F54,G54,H54,I54,J54,K54)+90)</f>
        <v/>
      </c>
      <c r="M54" s="5" t="str">
        <f aca="false">IF(E54="","Not Started",IF(F54="",F54,IF(G54="",G54,IF(H54="",H54,IF(I54="",I54,IF(J54="",J54,IF(K54="",K54,IF(L54="",L54,"Complete"))))))))</f>
        <v>Not Started</v>
      </c>
      <c r="N54" s="1" t="str">
        <f aca="true">IF(E54="","",IF(M54="Complete","✅ Complete",IF(M54="Not Started","",IF(M54&lt;TODAY(),"🔴 OVERDUE",IF(M54=TODAY(),"🟡 DUE TODAY","🟢 Upcoming")))))</f>
        <v/>
      </c>
    </row>
    <row r="55" customFormat="false" ht="15" hidden="false" customHeight="true" outlineLevel="0" collapsed="false">
      <c r="E55" s="5"/>
      <c r="F55" s="5" t="str">
        <f aca="false">IF(E55="","",E55+1)</f>
        <v/>
      </c>
      <c r="G55" s="5" t="str">
        <f aca="false">IF(OR(E55="",F55=""),"",MAX(E55,F55)+3)</f>
        <v/>
      </c>
      <c r="H55" s="5" t="str">
        <f aca="false">IF(OR(E55="",G55=""),"",MAX(E55,F55,G55)+7)</f>
        <v/>
      </c>
      <c r="I55" s="5" t="str">
        <f aca="false">IF(OR(E55="",H55=""),"",MAX(E55,F55,G55,H55)+15)</f>
        <v/>
      </c>
      <c r="J55" s="5" t="str">
        <f aca="false">IF(OR(E55="",I55=""),"",MAX(E55,F55,G55,H55,I55)+30)</f>
        <v/>
      </c>
      <c r="K55" s="5" t="str">
        <f aca="false">IF(OR(E55="",J55=""),"",MAX(E55,F55,G55,H55,I55,J55)+60)</f>
        <v/>
      </c>
      <c r="L55" s="5" t="str">
        <f aca="false">IF(OR(E55="",K55=""),"",MAX(E55,F55,G55,H55,I55,J55,K55)+90)</f>
        <v/>
      </c>
      <c r="M55" s="5" t="str">
        <f aca="false">IF(E55="","Not Started",IF(F55="",F55,IF(G55="",G55,IF(H55="",H55,IF(I55="",I55,IF(J55="",J55,IF(K55="",K55,IF(L55="",L55,"Complete"))))))))</f>
        <v>Not Started</v>
      </c>
      <c r="N55" s="1" t="str">
        <f aca="true">IF(E55="","",IF(M55="Complete","✅ Complete",IF(M55="Not Started","",IF(M55&lt;TODAY(),"🔴 OVERDUE",IF(M55=TODAY(),"🟡 DUE TODAY","🟢 Upcoming")))))</f>
        <v/>
      </c>
    </row>
    <row r="56" customFormat="false" ht="15" hidden="false" customHeight="true" outlineLevel="0" collapsed="false">
      <c r="E56" s="5"/>
      <c r="F56" s="5" t="str">
        <f aca="false">IF(E56="","",E56+1)</f>
        <v/>
      </c>
      <c r="G56" s="5" t="str">
        <f aca="false">IF(OR(E56="",F56=""),"",MAX(E56,F56)+3)</f>
        <v/>
      </c>
      <c r="H56" s="5" t="str">
        <f aca="false">IF(OR(E56="",G56=""),"",MAX(E56,F56,G56)+7)</f>
        <v/>
      </c>
      <c r="I56" s="5" t="str">
        <f aca="false">IF(OR(E56="",H56=""),"",MAX(E56,F56,G56,H56)+15)</f>
        <v/>
      </c>
      <c r="J56" s="5" t="str">
        <f aca="false">IF(OR(E56="",I56=""),"",MAX(E56,F56,G56,H56,I56)+30)</f>
        <v/>
      </c>
      <c r="K56" s="5" t="str">
        <f aca="false">IF(OR(E56="",J56=""),"",MAX(E56,F56,G56,H56,I56,J56)+60)</f>
        <v/>
      </c>
      <c r="L56" s="5" t="str">
        <f aca="false">IF(OR(E56="",K56=""),"",MAX(E56,F56,G56,H56,I56,J56,K56)+90)</f>
        <v/>
      </c>
      <c r="M56" s="5" t="str">
        <f aca="false">IF(E56="","Not Started",IF(F56="",F56,IF(G56="",G56,IF(H56="",H56,IF(I56="",I56,IF(J56="",J56,IF(K56="",K56,IF(L56="",L56,"Complete"))))))))</f>
        <v>Not Started</v>
      </c>
      <c r="N56" s="1" t="str">
        <f aca="true">IF(E56="","",IF(M56="Complete","✅ Complete",IF(M56="Not Started","",IF(M56&lt;TODAY(),"🔴 OVERDUE",IF(M56=TODAY(),"🟡 DUE TODAY","🟢 Upcoming")))))</f>
        <v/>
      </c>
    </row>
    <row r="57" customFormat="false" ht="15" hidden="false" customHeight="true" outlineLevel="0" collapsed="false">
      <c r="E57" s="5"/>
      <c r="F57" s="5" t="str">
        <f aca="false">IF(E57="","",E57+1)</f>
        <v/>
      </c>
      <c r="G57" s="5" t="str">
        <f aca="false">IF(OR(E57="",F57=""),"",MAX(E57,F57)+3)</f>
        <v/>
      </c>
      <c r="H57" s="5" t="str">
        <f aca="false">IF(OR(E57="",G57=""),"",MAX(E57,F57,G57)+7)</f>
        <v/>
      </c>
      <c r="I57" s="5" t="str">
        <f aca="false">IF(OR(E57="",H57=""),"",MAX(E57,F57,G57,H57)+15)</f>
        <v/>
      </c>
      <c r="J57" s="5" t="str">
        <f aca="false">IF(OR(E57="",I57=""),"",MAX(E57,F57,G57,H57,I57)+30)</f>
        <v/>
      </c>
      <c r="K57" s="5" t="str">
        <f aca="false">IF(OR(E57="",J57=""),"",MAX(E57,F57,G57,H57,I57,J57)+60)</f>
        <v/>
      </c>
      <c r="L57" s="5" t="str">
        <f aca="false">IF(OR(E57="",K57=""),"",MAX(E57,F57,G57,H57,I57,J57,K57)+90)</f>
        <v/>
      </c>
      <c r="M57" s="5" t="str">
        <f aca="false">IF(E57="","Not Started",IF(F57="",F57,IF(G57="",G57,IF(H57="",H57,IF(I57="",I57,IF(J57="",J57,IF(K57="",K57,IF(L57="",L57,"Complete"))))))))</f>
        <v>Not Started</v>
      </c>
      <c r="N57" s="1" t="str">
        <f aca="true">IF(E57="","",IF(M57="Complete","✅ Complete",IF(M57="Not Started","",IF(M57&lt;TODAY(),"🔴 OVERDUE",IF(M57=TODAY(),"🟡 DUE TODAY","🟢 Upcoming")))))</f>
        <v/>
      </c>
    </row>
    <row r="58" customFormat="false" ht="15" hidden="false" customHeight="true" outlineLevel="0" collapsed="false">
      <c r="E58" s="5"/>
      <c r="F58" s="5" t="str">
        <f aca="false">IF(E58="","",E58+1)</f>
        <v/>
      </c>
      <c r="G58" s="5" t="str">
        <f aca="false">IF(OR(E58="",F58=""),"",MAX(E58,F58)+3)</f>
        <v/>
      </c>
      <c r="H58" s="5" t="str">
        <f aca="false">IF(OR(E58="",G58=""),"",MAX(E58,F58,G58)+7)</f>
        <v/>
      </c>
      <c r="I58" s="5" t="str">
        <f aca="false">IF(OR(E58="",H58=""),"",MAX(E58,F58,G58,H58)+15)</f>
        <v/>
      </c>
      <c r="J58" s="5" t="str">
        <f aca="false">IF(OR(E58="",I58=""),"",MAX(E58,F58,G58,H58,I58)+30)</f>
        <v/>
      </c>
      <c r="K58" s="5" t="str">
        <f aca="false">IF(OR(E58="",J58=""),"",MAX(E58,F58,G58,H58,I58,J58)+60)</f>
        <v/>
      </c>
      <c r="L58" s="5" t="str">
        <f aca="false">IF(OR(E58="",K58=""),"",MAX(E58,F58,G58,H58,I58,J58,K58)+90)</f>
        <v/>
      </c>
      <c r="M58" s="5" t="str">
        <f aca="false">IF(E58="","Not Started",IF(F58="",F58,IF(G58="",G58,IF(H58="",H58,IF(I58="",I58,IF(J58="",J58,IF(K58="",K58,IF(L58="",L58,"Complete"))))))))</f>
        <v>Not Started</v>
      </c>
      <c r="N58" s="1" t="str">
        <f aca="true">IF(E58="","",IF(M58="Complete","✅ Complete",IF(M58="Not Started","",IF(M58&lt;TODAY(),"🔴 OVERDUE",IF(M58=TODAY(),"🟡 DUE TODAY","🟢 Upcoming")))))</f>
        <v/>
      </c>
    </row>
    <row r="59" customFormat="false" ht="15" hidden="false" customHeight="true" outlineLevel="0" collapsed="false">
      <c r="E59" s="5"/>
      <c r="F59" s="5" t="str">
        <f aca="false">IF(E59="","",E59+1)</f>
        <v/>
      </c>
      <c r="G59" s="5" t="str">
        <f aca="false">IF(OR(E59="",F59=""),"",MAX(E59,F59)+3)</f>
        <v/>
      </c>
      <c r="H59" s="5" t="str">
        <f aca="false">IF(OR(E59="",G59=""),"",MAX(E59,F59,G59)+7)</f>
        <v/>
      </c>
      <c r="I59" s="5" t="str">
        <f aca="false">IF(OR(E59="",H59=""),"",MAX(E59,F59,G59,H59)+15)</f>
        <v/>
      </c>
      <c r="J59" s="5" t="str">
        <f aca="false">IF(OR(E59="",I59=""),"",MAX(E59,F59,G59,H59,I59)+30)</f>
        <v/>
      </c>
      <c r="K59" s="5" t="str">
        <f aca="false">IF(OR(E59="",J59=""),"",MAX(E59,F59,G59,H59,I59,J59)+60)</f>
        <v/>
      </c>
      <c r="L59" s="5" t="str">
        <f aca="false">IF(OR(E59="",K59=""),"",MAX(E59,F59,G59,H59,I59,J59,K59)+90)</f>
        <v/>
      </c>
      <c r="M59" s="5" t="str">
        <f aca="false">IF(E59="","Not Started",IF(F59="",F59,IF(G59="",G59,IF(H59="",H59,IF(I59="",I59,IF(J59="",J59,IF(K59="",K59,IF(L59="",L59,"Complete"))))))))</f>
        <v>Not Started</v>
      </c>
      <c r="N59" s="1" t="str">
        <f aca="true">IF(E59="","",IF(M59="Complete","✅ Complete",IF(M59="Not Started","",IF(M59&lt;TODAY(),"🔴 OVERDUE",IF(M59=TODAY(),"🟡 DUE TODAY","🟢 Upcoming")))))</f>
        <v/>
      </c>
    </row>
    <row r="60" customFormat="false" ht="15" hidden="false" customHeight="true" outlineLevel="0" collapsed="false">
      <c r="E60" s="5"/>
      <c r="F60" s="5" t="str">
        <f aca="false">IF(E60="","",E60+1)</f>
        <v/>
      </c>
      <c r="G60" s="5" t="str">
        <f aca="false">IF(OR(E60="",F60=""),"",MAX(E60,F60)+3)</f>
        <v/>
      </c>
      <c r="H60" s="5" t="str">
        <f aca="false">IF(OR(E60="",G60=""),"",MAX(E60,F60,G60)+7)</f>
        <v/>
      </c>
      <c r="I60" s="5" t="str">
        <f aca="false">IF(OR(E60="",H60=""),"",MAX(E60,F60,G60,H60)+15)</f>
        <v/>
      </c>
      <c r="J60" s="5" t="str">
        <f aca="false">IF(OR(E60="",I60=""),"",MAX(E60,F60,G60,H60,I60)+30)</f>
        <v/>
      </c>
      <c r="K60" s="5" t="str">
        <f aca="false">IF(OR(E60="",J60=""),"",MAX(E60,F60,G60,H60,I60,J60)+60)</f>
        <v/>
      </c>
      <c r="L60" s="5" t="str">
        <f aca="false">IF(OR(E60="",K60=""),"",MAX(E60,F60,G60,H60,I60,J60,K60)+90)</f>
        <v/>
      </c>
      <c r="M60" s="5" t="str">
        <f aca="false">IF(E60="","Not Started",IF(F60="",F60,IF(G60="",G60,IF(H60="",H60,IF(I60="",I60,IF(J60="",J60,IF(K60="",K60,IF(L60="",L60,"Complete"))))))))</f>
        <v>Not Started</v>
      </c>
      <c r="N60" s="1" t="str">
        <f aca="true">IF(E60="","",IF(M60="Complete","✅ Complete",IF(M60="Not Started","",IF(M60&lt;TODAY(),"🔴 OVERDUE",IF(M60=TODAY(),"🟡 DUE TODAY","🟢 Upcoming")))))</f>
        <v/>
      </c>
    </row>
    <row r="61" customFormat="false" ht="15" hidden="false" customHeight="true" outlineLevel="0" collapsed="false">
      <c r="E61" s="5"/>
      <c r="F61" s="5" t="str">
        <f aca="false">IF(E61="","",E61+1)</f>
        <v/>
      </c>
      <c r="G61" s="5" t="str">
        <f aca="false">IF(OR(E61="",F61=""),"",MAX(E61,F61)+3)</f>
        <v/>
      </c>
      <c r="H61" s="5" t="str">
        <f aca="false">IF(OR(E61="",G61=""),"",MAX(E61,F61,G61)+7)</f>
        <v/>
      </c>
      <c r="I61" s="5" t="str">
        <f aca="false">IF(OR(E61="",H61=""),"",MAX(E61,F61,G61,H61)+15)</f>
        <v/>
      </c>
      <c r="J61" s="5" t="str">
        <f aca="false">IF(OR(E61="",I61=""),"",MAX(E61,F61,G61,H61,I61)+30)</f>
        <v/>
      </c>
      <c r="K61" s="5" t="str">
        <f aca="false">IF(OR(E61="",J61=""),"",MAX(E61,F61,G61,H61,I61,J61)+60)</f>
        <v/>
      </c>
      <c r="L61" s="5" t="str">
        <f aca="false">IF(OR(E61="",K61=""),"",MAX(E61,F61,G61,H61,I61,J61,K61)+90)</f>
        <v/>
      </c>
      <c r="M61" s="5" t="str">
        <f aca="false">IF(E61="","Not Started",IF(F61="",F61,IF(G61="",G61,IF(H61="",H61,IF(I61="",I61,IF(J61="",J61,IF(K61="",K61,IF(L61="",L61,"Complete"))))))))</f>
        <v>Not Started</v>
      </c>
      <c r="N61" s="1" t="str">
        <f aca="true">IF(E61="","",IF(M61="Complete","✅ Complete",IF(M61="Not Started","",IF(M61&lt;TODAY(),"🔴 OVERDUE",IF(M61=TODAY(),"🟡 DUE TODAY","🟢 Upcoming")))))</f>
        <v/>
      </c>
    </row>
    <row r="62" customFormat="false" ht="15" hidden="false" customHeight="true" outlineLevel="0" collapsed="false">
      <c r="E62" s="5"/>
      <c r="F62" s="5" t="str">
        <f aca="false">IF(E62="","",E62+1)</f>
        <v/>
      </c>
      <c r="G62" s="5" t="str">
        <f aca="false">IF(OR(E62="",F62=""),"",MAX(E62,F62)+3)</f>
        <v/>
      </c>
      <c r="H62" s="5" t="str">
        <f aca="false">IF(OR(E62="",G62=""),"",MAX(E62,F62,G62)+7)</f>
        <v/>
      </c>
      <c r="I62" s="5" t="str">
        <f aca="false">IF(OR(E62="",H62=""),"",MAX(E62,F62,G62,H62)+15)</f>
        <v/>
      </c>
      <c r="J62" s="5" t="str">
        <f aca="false">IF(OR(E62="",I62=""),"",MAX(E62,F62,G62,H62,I62)+30)</f>
        <v/>
      </c>
      <c r="K62" s="5" t="str">
        <f aca="false">IF(OR(E62="",J62=""),"",MAX(E62,F62,G62,H62,I62,J62)+60)</f>
        <v/>
      </c>
      <c r="L62" s="5" t="str">
        <f aca="false">IF(OR(E62="",K62=""),"",MAX(E62,F62,G62,H62,I62,J62,K62)+90)</f>
        <v/>
      </c>
      <c r="M62" s="5" t="str">
        <f aca="false">IF(E62="","Not Started",IF(F62="",F62,IF(G62="",G62,IF(H62="",H62,IF(I62="",I62,IF(J62="",J62,IF(K62="",K62,IF(L62="",L62,"Complete"))))))))</f>
        <v>Not Started</v>
      </c>
      <c r="N62" s="1" t="str">
        <f aca="true">IF(E62="","",IF(M62="Complete","✅ Complete",IF(M62="Not Started","",IF(M62&lt;TODAY(),"🔴 OVERDUE",IF(M62=TODAY(),"🟡 DUE TODAY","🟢 Upcoming")))))</f>
        <v/>
      </c>
    </row>
    <row r="63" customFormat="false" ht="15" hidden="false" customHeight="true" outlineLevel="0" collapsed="false">
      <c r="E63" s="5"/>
      <c r="F63" s="5" t="str">
        <f aca="false">IF(E63="","",E63+1)</f>
        <v/>
      </c>
      <c r="G63" s="5" t="str">
        <f aca="false">IF(OR(E63="",F63=""),"",MAX(E63,F63)+3)</f>
        <v/>
      </c>
      <c r="H63" s="5" t="str">
        <f aca="false">IF(OR(E63="",G63=""),"",MAX(E63,F63,G63)+7)</f>
        <v/>
      </c>
      <c r="I63" s="5" t="str">
        <f aca="false">IF(OR(E63="",H63=""),"",MAX(E63,F63,G63,H63)+15)</f>
        <v/>
      </c>
      <c r="J63" s="5" t="str">
        <f aca="false">IF(OR(E63="",I63=""),"",MAX(E63,F63,G63,H63,I63)+30)</f>
        <v/>
      </c>
      <c r="K63" s="5" t="str">
        <f aca="false">IF(OR(E63="",J63=""),"",MAX(E63,F63,G63,H63,I63,J63)+60)</f>
        <v/>
      </c>
      <c r="L63" s="5" t="str">
        <f aca="false">IF(OR(E63="",K63=""),"",MAX(E63,F63,G63,H63,I63,J63,K63)+90)</f>
        <v/>
      </c>
      <c r="M63" s="5" t="str">
        <f aca="false">IF(E63="","Not Started",IF(F63="",F63,IF(G63="",G63,IF(H63="",H63,IF(I63="",I63,IF(J63="",J63,IF(K63="",K63,IF(L63="",L63,"Complete"))))))))</f>
        <v>Not Started</v>
      </c>
      <c r="N63" s="1" t="str">
        <f aca="true">IF(E63="","",IF(M63="Complete","✅ Complete",IF(M63="Not Started","",IF(M63&lt;TODAY(),"🔴 OVERDUE",IF(M63=TODAY(),"🟡 DUE TODAY","🟢 Upcoming")))))</f>
        <v/>
      </c>
    </row>
    <row r="64" customFormat="false" ht="15" hidden="false" customHeight="true" outlineLevel="0" collapsed="false">
      <c r="E64" s="5"/>
      <c r="F64" s="5" t="str">
        <f aca="false">IF(E64="","",E64+1)</f>
        <v/>
      </c>
      <c r="G64" s="5" t="str">
        <f aca="false">IF(OR(E64="",F64=""),"",MAX(E64,F64)+3)</f>
        <v/>
      </c>
      <c r="H64" s="5" t="str">
        <f aca="false">IF(OR(E64="",G64=""),"",MAX(E64,F64,G64)+7)</f>
        <v/>
      </c>
      <c r="I64" s="5" t="str">
        <f aca="false">IF(OR(E64="",H64=""),"",MAX(E64,F64,G64,H64)+15)</f>
        <v/>
      </c>
      <c r="J64" s="5" t="str">
        <f aca="false">IF(OR(E64="",I64=""),"",MAX(E64,F64,G64,H64,I64)+30)</f>
        <v/>
      </c>
      <c r="K64" s="5" t="str">
        <f aca="false">IF(OR(E64="",J64=""),"",MAX(E64,F64,G64,H64,I64,J64)+60)</f>
        <v/>
      </c>
      <c r="L64" s="5" t="str">
        <f aca="false">IF(OR(E64="",K64=""),"",MAX(E64,F64,G64,H64,I64,J64,K64)+90)</f>
        <v/>
      </c>
      <c r="M64" s="5" t="str">
        <f aca="false">IF(E64="","Not Started",IF(F64="",F64,IF(G64="",G64,IF(H64="",H64,IF(I64="",I64,IF(J64="",J64,IF(K64="",K64,IF(L64="",L64,"Complete"))))))))</f>
        <v>Not Started</v>
      </c>
      <c r="N64" s="1" t="str">
        <f aca="true">IF(E64="","",IF(M64="Complete","✅ Complete",IF(M64="Not Started","",IF(M64&lt;TODAY(),"🔴 OVERDUE",IF(M64=TODAY(),"🟡 DUE TODAY","🟢 Upcoming")))))</f>
        <v/>
      </c>
    </row>
    <row r="65" customFormat="false" ht="15" hidden="false" customHeight="true" outlineLevel="0" collapsed="false">
      <c r="E65" s="5"/>
      <c r="F65" s="5" t="str">
        <f aca="false">IF(E65="","",E65+1)</f>
        <v/>
      </c>
      <c r="G65" s="5" t="str">
        <f aca="false">IF(OR(E65="",F65=""),"",MAX(E65,F65)+3)</f>
        <v/>
      </c>
      <c r="H65" s="5" t="str">
        <f aca="false">IF(OR(E65="",G65=""),"",MAX(E65,F65,G65)+7)</f>
        <v/>
      </c>
      <c r="I65" s="5" t="str">
        <f aca="false">IF(OR(E65="",H65=""),"",MAX(E65,F65,G65,H65)+15)</f>
        <v/>
      </c>
      <c r="J65" s="5" t="str">
        <f aca="false">IF(OR(E65="",I65=""),"",MAX(E65,F65,G65,H65,I65)+30)</f>
        <v/>
      </c>
      <c r="K65" s="5" t="str">
        <f aca="false">IF(OR(E65="",J65=""),"",MAX(E65,F65,G65,H65,I65,J65)+60)</f>
        <v/>
      </c>
      <c r="L65" s="5" t="str">
        <f aca="false">IF(OR(E65="",K65=""),"",MAX(E65,F65,G65,H65,I65,J65,K65)+90)</f>
        <v/>
      </c>
      <c r="M65" s="5" t="str">
        <f aca="false">IF(E65="","Not Started",IF(F65="",F65,IF(G65="",G65,IF(H65="",H65,IF(I65="",I65,IF(J65="",J65,IF(K65="",K65,IF(L65="",L65,"Complete"))))))))</f>
        <v>Not Started</v>
      </c>
      <c r="N65" s="1" t="str">
        <f aca="true">IF(E65="","",IF(M65="Complete","✅ Complete",IF(M65="Not Started","",IF(M65&lt;TODAY(),"🔴 OVERDUE",IF(M65=TODAY(),"🟡 DUE TODAY","🟢 Upcoming")))))</f>
        <v/>
      </c>
    </row>
    <row r="66" customFormat="false" ht="15" hidden="false" customHeight="true" outlineLevel="0" collapsed="false">
      <c r="E66" s="5"/>
      <c r="F66" s="5" t="str">
        <f aca="false">IF(E66="","",E66+1)</f>
        <v/>
      </c>
      <c r="G66" s="5" t="str">
        <f aca="false">IF(OR(E66="",F66=""),"",MAX(E66,F66)+3)</f>
        <v/>
      </c>
      <c r="H66" s="5" t="str">
        <f aca="false">IF(OR(E66="",G66=""),"",MAX(E66,F66,G66)+7)</f>
        <v/>
      </c>
      <c r="I66" s="5" t="str">
        <f aca="false">IF(OR(E66="",H66=""),"",MAX(E66,F66,G66,H66)+15)</f>
        <v/>
      </c>
      <c r="J66" s="5" t="str">
        <f aca="false">IF(OR(E66="",I66=""),"",MAX(E66,F66,G66,H66,I66)+30)</f>
        <v/>
      </c>
      <c r="K66" s="5" t="str">
        <f aca="false">IF(OR(E66="",J66=""),"",MAX(E66,F66,G66,H66,I66,J66)+60)</f>
        <v/>
      </c>
      <c r="L66" s="5" t="str">
        <f aca="false">IF(OR(E66="",K66=""),"",MAX(E66,F66,G66,H66,I66,J66,K66)+90)</f>
        <v/>
      </c>
      <c r="M66" s="5" t="str">
        <f aca="false">IF(E66="","Not Started",IF(F66="",F66,IF(G66="",G66,IF(H66="",H66,IF(I66="",I66,IF(J66="",J66,IF(K66="",K66,IF(L66="",L66,"Complete"))))))))</f>
        <v>Not Started</v>
      </c>
      <c r="N66" s="1" t="str">
        <f aca="true">IF(E66="","",IF(M66="Complete","✅ Complete",IF(M66="Not Started","",IF(M66&lt;TODAY(),"🔴 OVERDUE",IF(M66=TODAY(),"🟡 DUE TODAY","🟢 Upcoming")))))</f>
        <v/>
      </c>
    </row>
    <row r="67" customFormat="false" ht="15" hidden="false" customHeight="true" outlineLevel="0" collapsed="false">
      <c r="E67" s="5"/>
      <c r="F67" s="5" t="str">
        <f aca="false">IF(E67="","",E67+1)</f>
        <v/>
      </c>
      <c r="G67" s="5" t="str">
        <f aca="false">IF(OR(E67="",F67=""),"",MAX(E67,F67)+3)</f>
        <v/>
      </c>
      <c r="H67" s="5" t="str">
        <f aca="false">IF(OR(E67="",G67=""),"",MAX(E67,F67,G67)+7)</f>
        <v/>
      </c>
      <c r="I67" s="5" t="str">
        <f aca="false">IF(OR(E67="",H67=""),"",MAX(E67,F67,G67,H67)+15)</f>
        <v/>
      </c>
      <c r="J67" s="5" t="str">
        <f aca="false">IF(OR(E67="",I67=""),"",MAX(E67,F67,G67,H67,I67)+30)</f>
        <v/>
      </c>
      <c r="K67" s="5" t="str">
        <f aca="false">IF(OR(E67="",J67=""),"",MAX(E67,F67,G67,H67,I67,J67)+60)</f>
        <v/>
      </c>
      <c r="L67" s="5" t="str">
        <f aca="false">IF(OR(E67="",K67=""),"",MAX(E67,F67,G67,H67,I67,J67,K67)+90)</f>
        <v/>
      </c>
      <c r="M67" s="5" t="str">
        <f aca="false">IF(E67="","Not Started",IF(F67="",F67,IF(G67="",G67,IF(H67="",H67,IF(I67="",I67,IF(J67="",J67,IF(K67="",K67,IF(L67="",L67,"Complete"))))))))</f>
        <v>Not Started</v>
      </c>
      <c r="N67" s="1" t="str">
        <f aca="true">IF(E67="","",IF(M67="Complete","✅ Complete",IF(M67="Not Started","",IF(M67&lt;TODAY(),"🔴 OVERDUE",IF(M67=TODAY(),"🟡 DUE TODAY","🟢 Upcoming")))))</f>
        <v/>
      </c>
    </row>
    <row r="68" customFormat="false" ht="15" hidden="false" customHeight="true" outlineLevel="0" collapsed="false">
      <c r="E68" s="5"/>
      <c r="F68" s="5" t="str">
        <f aca="false">IF(E68="","",E68+1)</f>
        <v/>
      </c>
      <c r="G68" s="5" t="str">
        <f aca="false">IF(OR(E68="",F68=""),"",MAX(E68,F68)+3)</f>
        <v/>
      </c>
      <c r="H68" s="5" t="str">
        <f aca="false">IF(OR(E68="",G68=""),"",MAX(E68,F68,G68)+7)</f>
        <v/>
      </c>
      <c r="I68" s="5" t="str">
        <f aca="false">IF(OR(E68="",H68=""),"",MAX(E68,F68,G68,H68)+15)</f>
        <v/>
      </c>
      <c r="J68" s="5" t="str">
        <f aca="false">IF(OR(E68="",I68=""),"",MAX(E68,F68,G68,H68,I68)+30)</f>
        <v/>
      </c>
      <c r="K68" s="5" t="str">
        <f aca="false">IF(OR(E68="",J68=""),"",MAX(E68,F68,G68,H68,I68,J68)+60)</f>
        <v/>
      </c>
      <c r="L68" s="5" t="str">
        <f aca="false">IF(OR(E68="",K68=""),"",MAX(E68,F68,G68,H68,I68,J68,K68)+90)</f>
        <v/>
      </c>
      <c r="M68" s="5" t="str">
        <f aca="false">IF(E68="","Not Started",IF(F68="",F68,IF(G68="",G68,IF(H68="",H68,IF(I68="",I68,IF(J68="",J68,IF(K68="",K68,IF(L68="",L68,"Complete"))))))))</f>
        <v>Not Started</v>
      </c>
      <c r="N68" s="1" t="str">
        <f aca="true">IF(E68="","",IF(M68="Complete","✅ Complete",IF(M68="Not Started","",IF(M68&lt;TODAY(),"🔴 OVERDUE",IF(M68=TODAY(),"🟡 DUE TODAY","🟢 Upcoming")))))</f>
        <v/>
      </c>
    </row>
    <row r="69" customFormat="false" ht="15" hidden="false" customHeight="true" outlineLevel="0" collapsed="false">
      <c r="E69" s="5"/>
      <c r="F69" s="5" t="str">
        <f aca="false">IF(E69="","",E69+1)</f>
        <v/>
      </c>
      <c r="G69" s="5" t="str">
        <f aca="false">IF(OR(E69="",F69=""),"",MAX(E69,F69)+3)</f>
        <v/>
      </c>
      <c r="H69" s="5" t="str">
        <f aca="false">IF(OR(E69="",G69=""),"",MAX(E69,F69,G69)+7)</f>
        <v/>
      </c>
      <c r="I69" s="5" t="str">
        <f aca="false">IF(OR(E69="",H69=""),"",MAX(E69,F69,G69,H69)+15)</f>
        <v/>
      </c>
      <c r="J69" s="5" t="str">
        <f aca="false">IF(OR(E69="",I69=""),"",MAX(E69,F69,G69,H69,I69)+30)</f>
        <v/>
      </c>
      <c r="K69" s="5" t="str">
        <f aca="false">IF(OR(E69="",J69=""),"",MAX(E69,F69,G69,H69,I69,J69)+60)</f>
        <v/>
      </c>
      <c r="L69" s="5" t="str">
        <f aca="false">IF(OR(E69="",K69=""),"",MAX(E69,F69,G69,H69,I69,J69,K69)+90)</f>
        <v/>
      </c>
      <c r="M69" s="5" t="str">
        <f aca="false">IF(E69="","Not Started",IF(F69="",F69,IF(G69="",G69,IF(H69="",H69,IF(I69="",I69,IF(J69="",J69,IF(K69="",K69,IF(L69="",L69,"Complete"))))))))</f>
        <v>Not Started</v>
      </c>
      <c r="N69" s="1" t="str">
        <f aca="true">IF(E69="","",IF(M69="Complete","✅ Complete",IF(M69="Not Started","",IF(M69&lt;TODAY(),"🔴 OVERDUE",IF(M69=TODAY(),"🟡 DUE TODAY","🟢 Upcoming")))))</f>
        <v/>
      </c>
    </row>
    <row r="70" customFormat="false" ht="15" hidden="false" customHeight="true" outlineLevel="0" collapsed="false">
      <c r="E70" s="5"/>
      <c r="F70" s="5" t="str">
        <f aca="false">IF(E70="","",E70+1)</f>
        <v/>
      </c>
      <c r="G70" s="5" t="str">
        <f aca="false">IF(OR(E70="",F70=""),"",MAX(E70,F70)+3)</f>
        <v/>
      </c>
      <c r="H70" s="5" t="str">
        <f aca="false">IF(OR(E70="",G70=""),"",MAX(E70,F70,G70)+7)</f>
        <v/>
      </c>
      <c r="I70" s="5" t="str">
        <f aca="false">IF(OR(E70="",H70=""),"",MAX(E70,F70,G70,H70)+15)</f>
        <v/>
      </c>
      <c r="J70" s="5" t="str">
        <f aca="false">IF(OR(E70="",I70=""),"",MAX(E70,F70,G70,H70,I70)+30)</f>
        <v/>
      </c>
      <c r="K70" s="5" t="str">
        <f aca="false">IF(OR(E70="",J70=""),"",MAX(E70,F70,G70,H70,I70,J70)+60)</f>
        <v/>
      </c>
      <c r="L70" s="5" t="str">
        <f aca="false">IF(OR(E70="",K70=""),"",MAX(E70,F70,G70,H70,I70,J70,K70)+90)</f>
        <v/>
      </c>
      <c r="M70" s="5" t="str">
        <f aca="false">IF(E70="","Not Started",IF(F70="",F70,IF(G70="",G70,IF(H70="",H70,IF(I70="",I70,IF(J70="",J70,IF(K70="",K70,IF(L70="",L70,"Complete"))))))))</f>
        <v>Not Started</v>
      </c>
      <c r="N70" s="1" t="str">
        <f aca="true">IF(E70="","",IF(M70="Complete","✅ Complete",IF(M70="Not Started","",IF(M70&lt;TODAY(),"🔴 OVERDUE",IF(M70=TODAY(),"🟡 DUE TODAY","🟢 Upcoming")))))</f>
        <v/>
      </c>
    </row>
    <row r="71" customFormat="false" ht="15" hidden="false" customHeight="true" outlineLevel="0" collapsed="false">
      <c r="E71" s="5"/>
      <c r="F71" s="5" t="str">
        <f aca="false">IF(E71="","",E71+1)</f>
        <v/>
      </c>
      <c r="G71" s="5" t="str">
        <f aca="false">IF(OR(E71="",F71=""),"",MAX(E71,F71)+3)</f>
        <v/>
      </c>
      <c r="H71" s="5" t="str">
        <f aca="false">IF(OR(E71="",G71=""),"",MAX(E71,F71,G71)+7)</f>
        <v/>
      </c>
      <c r="I71" s="5" t="str">
        <f aca="false">IF(OR(E71="",H71=""),"",MAX(E71,F71,G71,H71)+15)</f>
        <v/>
      </c>
      <c r="J71" s="5" t="str">
        <f aca="false">IF(OR(E71="",I71=""),"",MAX(E71,F71,G71,H71,I71)+30)</f>
        <v/>
      </c>
      <c r="K71" s="5" t="str">
        <f aca="false">IF(OR(E71="",J71=""),"",MAX(E71,F71,G71,H71,I71,J71)+60)</f>
        <v/>
      </c>
      <c r="L71" s="5" t="str">
        <f aca="false">IF(OR(E71="",K71=""),"",MAX(E71,F71,G71,H71,I71,J71,K71)+90)</f>
        <v/>
      </c>
      <c r="M71" s="5" t="str">
        <f aca="false">IF(E71="","Not Started",IF(F71="",F71,IF(G71="",G71,IF(H71="",H71,IF(I71="",I71,IF(J71="",J71,IF(K71="",K71,IF(L71="",L71,"Complete"))))))))</f>
        <v>Not Started</v>
      </c>
      <c r="N71" s="1" t="str">
        <f aca="true">IF(E71="","",IF(M71="Complete","✅ Complete",IF(M71="Not Started","",IF(M71&lt;TODAY(),"🔴 OVERDUE",IF(M71=TODAY(),"🟡 DUE TODAY","🟢 Upcoming")))))</f>
        <v/>
      </c>
    </row>
    <row r="72" customFormat="false" ht="15" hidden="false" customHeight="true" outlineLevel="0" collapsed="false">
      <c r="E72" s="5"/>
      <c r="F72" s="5" t="str">
        <f aca="false">IF(E72="","",E72+1)</f>
        <v/>
      </c>
      <c r="G72" s="5" t="str">
        <f aca="false">IF(OR(E72="",F72=""),"",MAX(E72,F72)+3)</f>
        <v/>
      </c>
      <c r="H72" s="5" t="str">
        <f aca="false">IF(OR(E72="",G72=""),"",MAX(E72,F72,G72)+7)</f>
        <v/>
      </c>
      <c r="I72" s="5" t="str">
        <f aca="false">IF(OR(E72="",H72=""),"",MAX(E72,F72,G72,H72)+15)</f>
        <v/>
      </c>
      <c r="J72" s="5" t="str">
        <f aca="false">IF(OR(E72="",I72=""),"",MAX(E72,F72,G72,H72,I72)+30)</f>
        <v/>
      </c>
      <c r="K72" s="5" t="str">
        <f aca="false">IF(OR(E72="",J72=""),"",MAX(E72,F72,G72,H72,I72,J72)+60)</f>
        <v/>
      </c>
      <c r="L72" s="5" t="str">
        <f aca="false">IF(OR(E72="",K72=""),"",MAX(E72,F72,G72,H72,I72,J72,K72)+90)</f>
        <v/>
      </c>
      <c r="M72" s="5" t="str">
        <f aca="false">IF(E72="","Not Started",IF(F72="",F72,IF(G72="",G72,IF(H72="",H72,IF(I72="",I72,IF(J72="",J72,IF(K72="",K72,IF(L72="",L72,"Complete"))))))))</f>
        <v>Not Started</v>
      </c>
      <c r="N72" s="1" t="str">
        <f aca="true">IF(E72="","",IF(M72="Complete","✅ Complete",IF(M72="Not Started","",IF(M72&lt;TODAY(),"🔴 OVERDUE",IF(M72=TODAY(),"🟡 DUE TODAY","🟢 Upcoming")))))</f>
        <v/>
      </c>
    </row>
    <row r="73" customFormat="false" ht="15" hidden="false" customHeight="true" outlineLevel="0" collapsed="false">
      <c r="E73" s="5"/>
      <c r="F73" s="5" t="str">
        <f aca="false">IF(E73="","",E73+1)</f>
        <v/>
      </c>
      <c r="G73" s="5" t="str">
        <f aca="false">IF(OR(E73="",F73=""),"",MAX(E73,F73)+3)</f>
        <v/>
      </c>
      <c r="H73" s="5" t="str">
        <f aca="false">IF(OR(E73="",G73=""),"",MAX(E73,F73,G73)+7)</f>
        <v/>
      </c>
      <c r="I73" s="5" t="str">
        <f aca="false">IF(OR(E73="",H73=""),"",MAX(E73,F73,G73,H73)+15)</f>
        <v/>
      </c>
      <c r="J73" s="5" t="str">
        <f aca="false">IF(OR(E73="",I73=""),"",MAX(E73,F73,G73,H73,I73)+30)</f>
        <v/>
      </c>
      <c r="K73" s="5" t="str">
        <f aca="false">IF(OR(E73="",J73=""),"",MAX(E73,F73,G73,H73,I73,J73)+60)</f>
        <v/>
      </c>
      <c r="L73" s="5" t="str">
        <f aca="false">IF(OR(E73="",K73=""),"",MAX(E73,F73,G73,H73,I73,J73,K73)+90)</f>
        <v/>
      </c>
      <c r="M73" s="5" t="str">
        <f aca="false">IF(E73="","Not Started",IF(F73="",F73,IF(G73="",G73,IF(H73="",H73,IF(I73="",I73,IF(J73="",J73,IF(K73="",K73,IF(L73="",L73,"Complete"))))))))</f>
        <v>Not Started</v>
      </c>
      <c r="N73" s="1" t="str">
        <f aca="true">IF(E73="","",IF(M73="Complete","✅ Complete",IF(M73="Not Started","",IF(M73&lt;TODAY(),"🔴 OVERDUE",IF(M73=TODAY(),"🟡 DUE TODAY","🟢 Upcoming")))))</f>
        <v/>
      </c>
    </row>
    <row r="74" customFormat="false" ht="15" hidden="false" customHeight="true" outlineLevel="0" collapsed="false">
      <c r="E74" s="5"/>
      <c r="F74" s="5" t="str">
        <f aca="false">IF(E74="","",E74+1)</f>
        <v/>
      </c>
      <c r="G74" s="5" t="str">
        <f aca="false">IF(OR(E74="",F74=""),"",MAX(E74,F74)+3)</f>
        <v/>
      </c>
      <c r="H74" s="5" t="str">
        <f aca="false">IF(OR(E74="",G74=""),"",MAX(E74,F74,G74)+7)</f>
        <v/>
      </c>
      <c r="I74" s="5" t="str">
        <f aca="false">IF(OR(E74="",H74=""),"",MAX(E74,F74,G74,H74)+15)</f>
        <v/>
      </c>
      <c r="J74" s="5" t="str">
        <f aca="false">IF(OR(E74="",I74=""),"",MAX(E74,F74,G74,H74,I74)+30)</f>
        <v/>
      </c>
      <c r="K74" s="5" t="str">
        <f aca="false">IF(OR(E74="",J74=""),"",MAX(E74,F74,G74,H74,I74,J74)+60)</f>
        <v/>
      </c>
      <c r="L74" s="5" t="str">
        <f aca="false">IF(OR(E74="",K74=""),"",MAX(E74,F74,G74,H74,I74,J74,K74)+90)</f>
        <v/>
      </c>
      <c r="M74" s="5" t="str">
        <f aca="false">IF(E74="","Not Started",IF(F74="",F74,IF(G74="",G74,IF(H74="",H74,IF(I74="",I74,IF(J74="",J74,IF(K74="",K74,IF(L74="",L74,"Complete"))))))))</f>
        <v>Not Started</v>
      </c>
      <c r="N74" s="1" t="str">
        <f aca="true">IF(E74="","",IF(M74="Complete","✅ Complete",IF(M74="Not Started","",IF(M74&lt;TODAY(),"🔴 OVERDUE",IF(M74=TODAY(),"🟡 DUE TODAY","🟢 Upcoming")))))</f>
        <v/>
      </c>
    </row>
    <row r="75" customFormat="false" ht="15" hidden="false" customHeight="true" outlineLevel="0" collapsed="false">
      <c r="E75" s="5"/>
      <c r="F75" s="5" t="str">
        <f aca="false">IF(E75="","",E75+1)</f>
        <v/>
      </c>
      <c r="G75" s="5" t="str">
        <f aca="false">IF(OR(E75="",F75=""),"",MAX(E75,F75)+3)</f>
        <v/>
      </c>
      <c r="H75" s="5" t="str">
        <f aca="false">IF(OR(E75="",G75=""),"",MAX(E75,F75,G75)+7)</f>
        <v/>
      </c>
      <c r="I75" s="5" t="str">
        <f aca="false">IF(OR(E75="",H75=""),"",MAX(E75,F75,G75,H75)+15)</f>
        <v/>
      </c>
      <c r="J75" s="5" t="str">
        <f aca="false">IF(OR(E75="",I75=""),"",MAX(E75,F75,G75,H75,I75)+30)</f>
        <v/>
      </c>
      <c r="K75" s="5" t="str">
        <f aca="false">IF(OR(E75="",J75=""),"",MAX(E75,F75,G75,H75,I75,J75)+60)</f>
        <v/>
      </c>
      <c r="L75" s="5" t="str">
        <f aca="false">IF(OR(E75="",K75=""),"",MAX(E75,F75,G75,H75,I75,J75,K75)+90)</f>
        <v/>
      </c>
      <c r="M75" s="5" t="str">
        <f aca="false">IF(E75="","Not Started",IF(F75="",F75,IF(G75="",G75,IF(H75="",H75,IF(I75="",I75,IF(J75="",J75,IF(K75="",K75,IF(L75="",L75,"Complete"))))))))</f>
        <v>Not Started</v>
      </c>
      <c r="N75" s="1" t="str">
        <f aca="true">IF(E75="","",IF(M75="Complete","✅ Complete",IF(M75="Not Started","",IF(M75&lt;TODAY(),"🔴 OVERDUE",IF(M75=TODAY(),"🟡 DUE TODAY","🟢 Upcoming")))))</f>
        <v/>
      </c>
    </row>
    <row r="76" customFormat="false" ht="15" hidden="false" customHeight="true" outlineLevel="0" collapsed="false">
      <c r="E76" s="5"/>
      <c r="F76" s="5" t="str">
        <f aca="false">IF(E76="","",E76+1)</f>
        <v/>
      </c>
      <c r="G76" s="5" t="str">
        <f aca="false">IF(OR(E76="",F76=""),"",MAX(E76,F76)+3)</f>
        <v/>
      </c>
      <c r="H76" s="5" t="str">
        <f aca="false">IF(OR(E76="",G76=""),"",MAX(E76,F76,G76)+7)</f>
        <v/>
      </c>
      <c r="I76" s="5" t="str">
        <f aca="false">IF(OR(E76="",H76=""),"",MAX(E76,F76,G76,H76)+15)</f>
        <v/>
      </c>
      <c r="J76" s="5" t="str">
        <f aca="false">IF(OR(E76="",I76=""),"",MAX(E76,F76,G76,H76,I76)+30)</f>
        <v/>
      </c>
      <c r="K76" s="5" t="str">
        <f aca="false">IF(OR(E76="",J76=""),"",MAX(E76,F76,G76,H76,I76,J76)+60)</f>
        <v/>
      </c>
      <c r="L76" s="5" t="str">
        <f aca="false">IF(OR(E76="",K76=""),"",MAX(E76,F76,G76,H76,I76,J76,K76)+90)</f>
        <v/>
      </c>
      <c r="M76" s="5" t="str">
        <f aca="false">IF(E76="","Not Started",IF(F76="",F76,IF(G76="",G76,IF(H76="",H76,IF(I76="",I76,IF(J76="",J76,IF(K76="",K76,IF(L76="",L76,"Complete"))))))))</f>
        <v>Not Started</v>
      </c>
      <c r="N76" s="1" t="str">
        <f aca="true">IF(E76="","",IF(M76="Complete","✅ Complete",IF(M76="Not Started","",IF(M76&lt;TODAY(),"🔴 OVERDUE",IF(M76=TODAY(),"🟡 DUE TODAY","🟢 Upcoming")))))</f>
        <v/>
      </c>
    </row>
    <row r="77" customFormat="false" ht="15" hidden="false" customHeight="true" outlineLevel="0" collapsed="false">
      <c r="E77" s="5"/>
      <c r="F77" s="5" t="str">
        <f aca="false">IF(E77="","",E77+1)</f>
        <v/>
      </c>
      <c r="G77" s="5" t="str">
        <f aca="false">IF(OR(E77="",F77=""),"",MAX(E77,F77)+3)</f>
        <v/>
      </c>
      <c r="H77" s="5" t="str">
        <f aca="false">IF(OR(E77="",G77=""),"",MAX(E77,F77,G77)+7)</f>
        <v/>
      </c>
      <c r="I77" s="5" t="str">
        <f aca="false">IF(OR(E77="",H77=""),"",MAX(E77,F77,G77,H77)+15)</f>
        <v/>
      </c>
      <c r="J77" s="5" t="str">
        <f aca="false">IF(OR(E77="",I77=""),"",MAX(E77,F77,G77,H77,I77)+30)</f>
        <v/>
      </c>
      <c r="K77" s="5" t="str">
        <f aca="false">IF(OR(E77="",J77=""),"",MAX(E77,F77,G77,H77,I77,J77)+60)</f>
        <v/>
      </c>
      <c r="L77" s="5" t="str">
        <f aca="false">IF(OR(E77="",K77=""),"",MAX(E77,F77,G77,H77,I77,J77,K77)+90)</f>
        <v/>
      </c>
      <c r="M77" s="5" t="str">
        <f aca="false">IF(E77="","Not Started",IF(F77="",F77,IF(G77="",G77,IF(H77="",H77,IF(I77="",I77,IF(J77="",J77,IF(K77="",K77,IF(L77="",L77,"Complete"))))))))</f>
        <v>Not Started</v>
      </c>
      <c r="N77" s="1" t="str">
        <f aca="true">IF(E77="","",IF(M77="Complete","✅ Complete",IF(M77="Not Started","",IF(M77&lt;TODAY(),"🔴 OVERDUE",IF(M77=TODAY(),"🟡 DUE TODAY","🟢 Upcoming")))))</f>
        <v/>
      </c>
    </row>
    <row r="78" customFormat="false" ht="15" hidden="false" customHeight="true" outlineLevel="0" collapsed="false">
      <c r="E78" s="5"/>
      <c r="F78" s="5" t="str">
        <f aca="false">IF(E78="","",E78+1)</f>
        <v/>
      </c>
      <c r="G78" s="5" t="str">
        <f aca="false">IF(OR(E78="",F78=""),"",MAX(E78,F78)+3)</f>
        <v/>
      </c>
      <c r="H78" s="5" t="str">
        <f aca="false">IF(OR(E78="",G78=""),"",MAX(E78,F78,G78)+7)</f>
        <v/>
      </c>
      <c r="I78" s="5" t="str">
        <f aca="false">IF(OR(E78="",H78=""),"",MAX(E78,F78,G78,H78)+15)</f>
        <v/>
      </c>
      <c r="J78" s="5" t="str">
        <f aca="false">IF(OR(E78="",I78=""),"",MAX(E78,F78,G78,H78,I78)+30)</f>
        <v/>
      </c>
      <c r="K78" s="5" t="str">
        <f aca="false">IF(OR(E78="",J78=""),"",MAX(E78,F78,G78,H78,I78,J78)+60)</f>
        <v/>
      </c>
      <c r="L78" s="5" t="str">
        <f aca="false">IF(OR(E78="",K78=""),"",MAX(E78,F78,G78,H78,I78,J78,K78)+90)</f>
        <v/>
      </c>
      <c r="M78" s="5" t="str">
        <f aca="false">IF(E78="","Not Started",IF(F78="",F78,IF(G78="",G78,IF(H78="",H78,IF(I78="",I78,IF(J78="",J78,IF(K78="",K78,IF(L78="",L78,"Complete"))))))))</f>
        <v>Not Started</v>
      </c>
      <c r="N78" s="1" t="str">
        <f aca="true">IF(E78="","",IF(M78="Complete","✅ Complete",IF(M78="Not Started","",IF(M78&lt;TODAY(),"🔴 OVERDUE",IF(M78=TODAY(),"🟡 DUE TODAY","🟢 Upcoming")))))</f>
        <v/>
      </c>
    </row>
    <row r="79" customFormat="false" ht="15" hidden="false" customHeight="true" outlineLevel="0" collapsed="false">
      <c r="E79" s="5"/>
      <c r="F79" s="5" t="str">
        <f aca="false">IF(E79="","",E79+1)</f>
        <v/>
      </c>
      <c r="G79" s="5" t="str">
        <f aca="false">IF(OR(E79="",F79=""),"",MAX(E79,F79)+3)</f>
        <v/>
      </c>
      <c r="H79" s="5" t="str">
        <f aca="false">IF(OR(E79="",G79=""),"",MAX(E79,F79,G79)+7)</f>
        <v/>
      </c>
      <c r="I79" s="5" t="str">
        <f aca="false">IF(OR(E79="",H79=""),"",MAX(E79,F79,G79,H79)+15)</f>
        <v/>
      </c>
      <c r="J79" s="5" t="str">
        <f aca="false">IF(OR(E79="",I79=""),"",MAX(E79,F79,G79,H79,I79)+30)</f>
        <v/>
      </c>
      <c r="K79" s="5" t="str">
        <f aca="false">IF(OR(E79="",J79=""),"",MAX(E79,F79,G79,H79,I79,J79)+60)</f>
        <v/>
      </c>
      <c r="L79" s="5" t="str">
        <f aca="false">IF(OR(E79="",K79=""),"",MAX(E79,F79,G79,H79,I79,J79,K79)+90)</f>
        <v/>
      </c>
      <c r="M79" s="5" t="str">
        <f aca="false">IF(E79="","Not Started",IF(F79="",F79,IF(G79="",G79,IF(H79="",H79,IF(I79="",I79,IF(J79="",J79,IF(K79="",K79,IF(L79="",L79,"Complete"))))))))</f>
        <v>Not Started</v>
      </c>
      <c r="N79" s="1" t="str">
        <f aca="true">IF(E79="","",IF(M79="Complete","✅ Complete",IF(M79="Not Started","",IF(M79&lt;TODAY(),"🔴 OVERDUE",IF(M79=TODAY(),"🟡 DUE TODAY","🟢 Upcoming")))))</f>
        <v/>
      </c>
    </row>
    <row r="80" customFormat="false" ht="15" hidden="false" customHeight="true" outlineLevel="0" collapsed="false">
      <c r="E80" s="5"/>
      <c r="F80" s="5" t="str">
        <f aca="false">IF(E80="","",E80+1)</f>
        <v/>
      </c>
      <c r="G80" s="5" t="str">
        <f aca="false">IF(OR(E80="",F80=""),"",MAX(E80,F80)+3)</f>
        <v/>
      </c>
      <c r="H80" s="5" t="str">
        <f aca="false">IF(OR(E80="",G80=""),"",MAX(E80,F80,G80)+7)</f>
        <v/>
      </c>
      <c r="I80" s="5" t="str">
        <f aca="false">IF(OR(E80="",H80=""),"",MAX(E80,F80,G80,H80)+15)</f>
        <v/>
      </c>
      <c r="J80" s="5" t="str">
        <f aca="false">IF(OR(E80="",I80=""),"",MAX(E80,F80,G80,H80,I80)+30)</f>
        <v/>
      </c>
      <c r="K80" s="5" t="str">
        <f aca="false">IF(OR(E80="",J80=""),"",MAX(E80,F80,G80,H80,I80,J80)+60)</f>
        <v/>
      </c>
      <c r="L80" s="5" t="str">
        <f aca="false">IF(OR(E80="",K80=""),"",MAX(E80,F80,G80,H80,I80,J80,K80)+90)</f>
        <v/>
      </c>
      <c r="M80" s="5" t="str">
        <f aca="false">IF(E80="","Not Started",IF(F80="",F80,IF(G80="",G80,IF(H80="",H80,IF(I80="",I80,IF(J80="",J80,IF(K80="",K80,IF(L80="",L80,"Complete"))))))))</f>
        <v>Not Started</v>
      </c>
      <c r="N80" s="1" t="str">
        <f aca="true">IF(E80="","",IF(M80="Complete","✅ Complete",IF(M80="Not Started","",IF(M80&lt;TODAY(),"🔴 OVERDUE",IF(M80=TODAY(),"🟡 DUE TODAY","🟢 Upcoming")))))</f>
        <v/>
      </c>
    </row>
    <row r="81" customFormat="false" ht="15" hidden="false" customHeight="true" outlineLevel="0" collapsed="false">
      <c r="E81" s="5"/>
      <c r="F81" s="5" t="str">
        <f aca="false">IF(E81="","",E81+1)</f>
        <v/>
      </c>
      <c r="G81" s="5" t="str">
        <f aca="false">IF(OR(E81="",F81=""),"",MAX(E81,F81)+3)</f>
        <v/>
      </c>
      <c r="H81" s="5" t="str">
        <f aca="false">IF(OR(E81="",G81=""),"",MAX(E81,F81,G81)+7)</f>
        <v/>
      </c>
      <c r="I81" s="5" t="str">
        <f aca="false">IF(OR(E81="",H81=""),"",MAX(E81,F81,G81,H81)+15)</f>
        <v/>
      </c>
      <c r="J81" s="5" t="str">
        <f aca="false">IF(OR(E81="",I81=""),"",MAX(E81,F81,G81,H81,I81)+30)</f>
        <v/>
      </c>
      <c r="K81" s="5" t="str">
        <f aca="false">IF(OR(E81="",J81=""),"",MAX(E81,F81,G81,H81,I81,J81)+60)</f>
        <v/>
      </c>
      <c r="L81" s="5" t="str">
        <f aca="false">IF(OR(E81="",K81=""),"",MAX(E81,F81,G81,H81,I81,J81,K81)+90)</f>
        <v/>
      </c>
      <c r="M81" s="5" t="str">
        <f aca="false">IF(E81="","Not Started",IF(F81="",F81,IF(G81="",G81,IF(H81="",H81,IF(I81="",I81,IF(J81="",J81,IF(K81="",K81,IF(L81="",L81,"Complete"))))))))</f>
        <v>Not Started</v>
      </c>
      <c r="N81" s="1" t="str">
        <f aca="true">IF(E81="","",IF(M81="Complete","✅ Complete",IF(M81="Not Started","",IF(M81&lt;TODAY(),"🔴 OVERDUE",IF(M81=TODAY(),"🟡 DUE TODAY","🟢 Upcoming")))))</f>
        <v/>
      </c>
    </row>
    <row r="82" customFormat="false" ht="15" hidden="false" customHeight="true" outlineLevel="0" collapsed="false">
      <c r="E82" s="5"/>
      <c r="F82" s="5" t="str">
        <f aca="false">IF(E82="","",E82+1)</f>
        <v/>
      </c>
      <c r="G82" s="5" t="str">
        <f aca="false">IF(OR(E82="",F82=""),"",MAX(E82,F82)+3)</f>
        <v/>
      </c>
      <c r="H82" s="5" t="str">
        <f aca="false">IF(OR(E82="",G82=""),"",MAX(E82,F82,G82)+7)</f>
        <v/>
      </c>
      <c r="I82" s="5" t="str">
        <f aca="false">IF(OR(E82="",H82=""),"",MAX(E82,F82,G82,H82)+15)</f>
        <v/>
      </c>
      <c r="J82" s="5" t="str">
        <f aca="false">IF(OR(E82="",I82=""),"",MAX(E82,F82,G82,H82,I82)+30)</f>
        <v/>
      </c>
      <c r="K82" s="5" t="str">
        <f aca="false">IF(OR(E82="",J82=""),"",MAX(E82,F82,G82,H82,I82,J82)+60)</f>
        <v/>
      </c>
      <c r="L82" s="5" t="str">
        <f aca="false">IF(OR(E82="",K82=""),"",MAX(E82,F82,G82,H82,I82,J82,K82)+90)</f>
        <v/>
      </c>
      <c r="M82" s="5" t="str">
        <f aca="false">IF(E82="","Not Started",IF(F82="",F82,IF(G82="",G82,IF(H82="",H82,IF(I82="",I82,IF(J82="",J82,IF(K82="",K82,IF(L82="",L82,"Complete"))))))))</f>
        <v>Not Started</v>
      </c>
      <c r="N82" s="1" t="str">
        <f aca="true">IF(E82="","",IF(M82="Complete","✅ Complete",IF(M82="Not Started","",IF(M82&lt;TODAY(),"🔴 OVERDUE",IF(M82=TODAY(),"🟡 DUE TODAY","🟢 Upcoming")))))</f>
        <v/>
      </c>
    </row>
    <row r="83" customFormat="false" ht="15" hidden="false" customHeight="true" outlineLevel="0" collapsed="false">
      <c r="E83" s="5"/>
      <c r="F83" s="5" t="str">
        <f aca="false">IF(E83="","",E83+1)</f>
        <v/>
      </c>
      <c r="G83" s="5" t="str">
        <f aca="false">IF(OR(E83="",F83=""),"",MAX(E83,F83)+3)</f>
        <v/>
      </c>
      <c r="H83" s="5" t="str">
        <f aca="false">IF(OR(E83="",G83=""),"",MAX(E83,F83,G83)+7)</f>
        <v/>
      </c>
      <c r="I83" s="5" t="str">
        <f aca="false">IF(OR(E83="",H83=""),"",MAX(E83,F83,G83,H83)+15)</f>
        <v/>
      </c>
      <c r="J83" s="5" t="str">
        <f aca="false">IF(OR(E83="",I83=""),"",MAX(E83,F83,G83,H83,I83)+30)</f>
        <v/>
      </c>
      <c r="K83" s="5" t="str">
        <f aca="false">IF(OR(E83="",J83=""),"",MAX(E83,F83,G83,H83,I83,J83)+60)</f>
        <v/>
      </c>
      <c r="L83" s="5" t="str">
        <f aca="false">IF(OR(E83="",K83=""),"",MAX(E83,F83,G83,H83,I83,J83,K83)+90)</f>
        <v/>
      </c>
      <c r="M83" s="5" t="str">
        <f aca="false">IF(E83="","Not Started",IF(F83="",F83,IF(G83="",G83,IF(H83="",H83,IF(I83="",I83,IF(J83="",J83,IF(K83="",K83,IF(L83="",L83,"Complete"))))))))</f>
        <v>Not Started</v>
      </c>
      <c r="N83" s="1" t="str">
        <f aca="true">IF(E83="","",IF(M83="Complete","✅ Complete",IF(M83="Not Started","",IF(M83&lt;TODAY(),"🔴 OVERDUE",IF(M83=TODAY(),"🟡 DUE TODAY","🟢 Upcoming")))))</f>
        <v/>
      </c>
    </row>
    <row r="84" customFormat="false" ht="15" hidden="false" customHeight="true" outlineLevel="0" collapsed="false">
      <c r="E84" s="5"/>
      <c r="F84" s="5" t="str">
        <f aca="false">IF(E84="","",E84+1)</f>
        <v/>
      </c>
      <c r="G84" s="5" t="str">
        <f aca="false">IF(OR(E84="",F84=""),"",MAX(E84,F84)+3)</f>
        <v/>
      </c>
      <c r="H84" s="5" t="str">
        <f aca="false">IF(OR(E84="",G84=""),"",MAX(E84,F84,G84)+7)</f>
        <v/>
      </c>
      <c r="I84" s="5" t="str">
        <f aca="false">IF(OR(E84="",H84=""),"",MAX(E84,F84,G84,H84)+15)</f>
        <v/>
      </c>
      <c r="J84" s="5" t="str">
        <f aca="false">IF(OR(E84="",I84=""),"",MAX(E84,F84,G84,H84,I84)+30)</f>
        <v/>
      </c>
      <c r="K84" s="5" t="str">
        <f aca="false">IF(OR(E84="",J84=""),"",MAX(E84,F84,G84,H84,I84,J84)+60)</f>
        <v/>
      </c>
      <c r="L84" s="5" t="str">
        <f aca="false">IF(OR(E84="",K84=""),"",MAX(E84,F84,G84,H84,I84,J84,K84)+90)</f>
        <v/>
      </c>
      <c r="M84" s="5" t="str">
        <f aca="false">IF(E84="","Not Started",IF(F84="",F84,IF(G84="",G84,IF(H84="",H84,IF(I84="",I84,IF(J84="",J84,IF(K84="",K84,IF(L84="",L84,"Complete"))))))))</f>
        <v>Not Started</v>
      </c>
      <c r="N84" s="1" t="str">
        <f aca="true">IF(E84="","",IF(M84="Complete","✅ Complete",IF(M84="Not Started","",IF(M84&lt;TODAY(),"🔴 OVERDUE",IF(M84=TODAY(),"🟡 DUE TODAY","🟢 Upcoming")))))</f>
        <v/>
      </c>
    </row>
    <row r="85" customFormat="false" ht="15" hidden="false" customHeight="true" outlineLevel="0" collapsed="false">
      <c r="E85" s="5"/>
      <c r="F85" s="5" t="str">
        <f aca="false">IF(E85="","",E85+1)</f>
        <v/>
      </c>
      <c r="G85" s="5" t="str">
        <f aca="false">IF(OR(E85="",F85=""),"",MAX(E85,F85)+3)</f>
        <v/>
      </c>
      <c r="H85" s="5" t="str">
        <f aca="false">IF(OR(E85="",G85=""),"",MAX(E85,F85,G85)+7)</f>
        <v/>
      </c>
      <c r="I85" s="5" t="str">
        <f aca="false">IF(OR(E85="",H85=""),"",MAX(E85,F85,G85,H85)+15)</f>
        <v/>
      </c>
      <c r="J85" s="5" t="str">
        <f aca="false">IF(OR(E85="",I85=""),"",MAX(E85,F85,G85,H85,I85)+30)</f>
        <v/>
      </c>
      <c r="K85" s="5" t="str">
        <f aca="false">IF(OR(E85="",J85=""),"",MAX(E85,F85,G85,H85,I85,J85)+60)</f>
        <v/>
      </c>
      <c r="L85" s="5" t="str">
        <f aca="false">IF(OR(E85="",K85=""),"",MAX(E85,F85,G85,H85,I85,J85,K85)+90)</f>
        <v/>
      </c>
      <c r="M85" s="5" t="str">
        <f aca="false">IF(E85="","Not Started",IF(F85="",F85,IF(G85="",G85,IF(H85="",H85,IF(I85="",I85,IF(J85="",J85,IF(K85="",K85,IF(L85="",L85,"Complete"))))))))</f>
        <v>Not Started</v>
      </c>
      <c r="N85" s="1" t="str">
        <f aca="true">IF(E85="","",IF(M85="Complete","✅ Complete",IF(M85="Not Started","",IF(M85&lt;TODAY(),"🔴 OVERDUE",IF(M85=TODAY(),"🟡 DUE TODAY","🟢 Upcoming")))))</f>
        <v/>
      </c>
    </row>
    <row r="86" customFormat="false" ht="15" hidden="false" customHeight="true" outlineLevel="0" collapsed="false">
      <c r="E86" s="5"/>
      <c r="F86" s="5" t="str">
        <f aca="false">IF(E86="","",E86+1)</f>
        <v/>
      </c>
      <c r="G86" s="5" t="str">
        <f aca="false">IF(OR(E86="",F86=""),"",MAX(E86,F86)+3)</f>
        <v/>
      </c>
      <c r="H86" s="5" t="str">
        <f aca="false">IF(OR(E86="",G86=""),"",MAX(E86,F86,G86)+7)</f>
        <v/>
      </c>
      <c r="I86" s="5" t="str">
        <f aca="false">IF(OR(E86="",H86=""),"",MAX(E86,F86,G86,H86)+15)</f>
        <v/>
      </c>
      <c r="J86" s="5" t="str">
        <f aca="false">IF(OR(E86="",I86=""),"",MAX(E86,F86,G86,H86,I86)+30)</f>
        <v/>
      </c>
      <c r="K86" s="5" t="str">
        <f aca="false">IF(OR(E86="",J86=""),"",MAX(E86,F86,G86,H86,I86,J86)+60)</f>
        <v/>
      </c>
      <c r="L86" s="5" t="str">
        <f aca="false">IF(OR(E86="",K86=""),"",MAX(E86,F86,G86,H86,I86,J86,K86)+90)</f>
        <v/>
      </c>
      <c r="M86" s="5" t="str">
        <f aca="false">IF(E86="","Not Started",IF(F86="",F86,IF(G86="",G86,IF(H86="",H86,IF(I86="",I86,IF(J86="",J86,IF(K86="",K86,IF(L86="",L86,"Complete"))))))))</f>
        <v>Not Started</v>
      </c>
      <c r="N86" s="1" t="str">
        <f aca="true">IF(E86="","",IF(M86="Complete","✅ Complete",IF(M86="Not Started","",IF(M86&lt;TODAY(),"🔴 OVERDUE",IF(M86=TODAY(),"🟡 DUE TODAY","🟢 Upcoming")))))</f>
        <v/>
      </c>
    </row>
    <row r="87" customFormat="false" ht="15" hidden="false" customHeight="true" outlineLevel="0" collapsed="false">
      <c r="E87" s="5"/>
      <c r="F87" s="5" t="str">
        <f aca="false">IF(E87="","",E87+1)</f>
        <v/>
      </c>
      <c r="G87" s="5" t="str">
        <f aca="false">IF(OR(E87="",F87=""),"",MAX(E87,F87)+3)</f>
        <v/>
      </c>
      <c r="H87" s="5" t="str">
        <f aca="false">IF(OR(E87="",G87=""),"",MAX(E87,F87,G87)+7)</f>
        <v/>
      </c>
      <c r="I87" s="5" t="str">
        <f aca="false">IF(OR(E87="",H87=""),"",MAX(E87,F87,G87,H87)+15)</f>
        <v/>
      </c>
      <c r="J87" s="5" t="str">
        <f aca="false">IF(OR(E87="",I87=""),"",MAX(E87,F87,G87,H87,I87)+30)</f>
        <v/>
      </c>
      <c r="K87" s="5" t="str">
        <f aca="false">IF(OR(E87="",J87=""),"",MAX(E87,F87,G87,H87,I87,J87)+60)</f>
        <v/>
      </c>
      <c r="L87" s="5" t="str">
        <f aca="false">IF(OR(E87="",K87=""),"",MAX(E87,F87,G87,H87,I87,J87,K87)+90)</f>
        <v/>
      </c>
      <c r="M87" s="5" t="str">
        <f aca="false">IF(E87="","Not Started",IF(F87="",F87,IF(G87="",G87,IF(H87="",H87,IF(I87="",I87,IF(J87="",J87,IF(K87="",K87,IF(L87="",L87,"Complete"))))))))</f>
        <v>Not Started</v>
      </c>
      <c r="N87" s="1" t="str">
        <f aca="true">IF(E87="","",IF(M87="Complete","✅ Complete",IF(M87="Not Started","",IF(M87&lt;TODAY(),"🔴 OVERDUE",IF(M87=TODAY(),"🟡 DUE TODAY","🟢 Upcoming")))))</f>
        <v/>
      </c>
    </row>
    <row r="88" customFormat="false" ht="15" hidden="false" customHeight="true" outlineLevel="0" collapsed="false">
      <c r="E88" s="5"/>
      <c r="F88" s="5" t="str">
        <f aca="false">IF(E88="","",E88+1)</f>
        <v/>
      </c>
      <c r="G88" s="5" t="str">
        <f aca="false">IF(OR(E88="",F88=""),"",MAX(E88,F88)+3)</f>
        <v/>
      </c>
      <c r="H88" s="5" t="str">
        <f aca="false">IF(OR(E88="",G88=""),"",MAX(E88,F88,G88)+7)</f>
        <v/>
      </c>
      <c r="I88" s="5" t="str">
        <f aca="false">IF(OR(E88="",H88=""),"",MAX(E88,F88,G88,H88)+15)</f>
        <v/>
      </c>
      <c r="J88" s="5" t="str">
        <f aca="false">IF(OR(E88="",I88=""),"",MAX(E88,F88,G88,H88,I88)+30)</f>
        <v/>
      </c>
      <c r="K88" s="5" t="str">
        <f aca="false">IF(OR(E88="",J88=""),"",MAX(E88,F88,G88,H88,I88,J88)+60)</f>
        <v/>
      </c>
      <c r="L88" s="5" t="str">
        <f aca="false">IF(OR(E88="",K88=""),"",MAX(E88,F88,G88,H88,I88,J88,K88)+90)</f>
        <v/>
      </c>
      <c r="M88" s="5" t="str">
        <f aca="false">IF(E88="","Not Started",IF(F88="",F88,IF(G88="",G88,IF(H88="",H88,IF(I88="",I88,IF(J88="",J88,IF(K88="",K88,IF(L88="",L88,"Complete"))))))))</f>
        <v>Not Started</v>
      </c>
      <c r="N88" s="1" t="str">
        <f aca="true">IF(E88="","",IF(M88="Complete","✅ Complete",IF(M88="Not Started","",IF(M88&lt;TODAY(),"🔴 OVERDUE",IF(M88=TODAY(),"🟡 DUE TODAY","🟢 Upcoming")))))</f>
        <v/>
      </c>
    </row>
    <row r="89" customFormat="false" ht="15" hidden="false" customHeight="true" outlineLevel="0" collapsed="false">
      <c r="E89" s="5"/>
      <c r="F89" s="5" t="str">
        <f aca="false">IF(E89="","",E89+1)</f>
        <v/>
      </c>
      <c r="G89" s="5" t="str">
        <f aca="false">IF(OR(E89="",F89=""),"",MAX(E89,F89)+3)</f>
        <v/>
      </c>
      <c r="H89" s="5" t="str">
        <f aca="false">IF(OR(E89="",G89=""),"",MAX(E89,F89,G89)+7)</f>
        <v/>
      </c>
      <c r="I89" s="5" t="str">
        <f aca="false">IF(OR(E89="",H89=""),"",MAX(E89,F89,G89,H89)+15)</f>
        <v/>
      </c>
      <c r="J89" s="5" t="str">
        <f aca="false">IF(OR(E89="",I89=""),"",MAX(E89,F89,G89,H89,I89)+30)</f>
        <v/>
      </c>
      <c r="K89" s="5" t="str">
        <f aca="false">IF(OR(E89="",J89=""),"",MAX(E89,F89,G89,H89,I89,J89)+60)</f>
        <v/>
      </c>
      <c r="L89" s="5" t="str">
        <f aca="false">IF(OR(E89="",K89=""),"",MAX(E89,F89,G89,H89,I89,J89,K89)+90)</f>
        <v/>
      </c>
      <c r="M89" s="5" t="str">
        <f aca="false">IF(E89="","Not Started",IF(F89="",F89,IF(G89="",G89,IF(H89="",H89,IF(I89="",I89,IF(J89="",J89,IF(K89="",K89,IF(L89="",L89,"Complete"))))))))</f>
        <v>Not Started</v>
      </c>
      <c r="N89" s="1" t="str">
        <f aca="true">IF(E89="","",IF(M89="Complete","✅ Complete",IF(M89="Not Started","",IF(M89&lt;TODAY(),"🔴 OVERDUE",IF(M89=TODAY(),"🟡 DUE TODAY","🟢 Upcoming")))))</f>
        <v/>
      </c>
    </row>
    <row r="90" customFormat="false" ht="15" hidden="false" customHeight="true" outlineLevel="0" collapsed="false">
      <c r="E90" s="5"/>
      <c r="F90" s="5" t="str">
        <f aca="false">IF(E90="","",E90+1)</f>
        <v/>
      </c>
      <c r="G90" s="5" t="str">
        <f aca="false">IF(OR(E90="",F90=""),"",MAX(E90,F90)+3)</f>
        <v/>
      </c>
      <c r="H90" s="5" t="str">
        <f aca="false">IF(OR(E90="",G90=""),"",MAX(E90,F90,G90)+7)</f>
        <v/>
      </c>
      <c r="I90" s="5" t="str">
        <f aca="false">IF(OR(E90="",H90=""),"",MAX(E90,F90,G90,H90)+15)</f>
        <v/>
      </c>
      <c r="J90" s="5" t="str">
        <f aca="false">IF(OR(E90="",I90=""),"",MAX(E90,F90,G90,H90,I90)+30)</f>
        <v/>
      </c>
      <c r="K90" s="5" t="str">
        <f aca="false">IF(OR(E90="",J90=""),"",MAX(E90,F90,G90,H90,I90,J90)+60)</f>
        <v/>
      </c>
      <c r="L90" s="5" t="str">
        <f aca="false">IF(OR(E90="",K90=""),"",MAX(E90,F90,G90,H90,I90,J90,K90)+90)</f>
        <v/>
      </c>
      <c r="M90" s="5" t="str">
        <f aca="false">IF(E90="","Not Started",IF(F90="",F90,IF(G90="",G90,IF(H90="",H90,IF(I90="",I90,IF(J90="",J90,IF(K90="",K90,IF(L90="",L90,"Complete"))))))))</f>
        <v>Not Started</v>
      </c>
      <c r="N90" s="1" t="str">
        <f aca="true">IF(E90="","",IF(M90="Complete","✅ Complete",IF(M90="Not Started","",IF(M90&lt;TODAY(),"🔴 OVERDUE",IF(M90=TODAY(),"🟡 DUE TODAY","🟢 Upcoming")))))</f>
        <v/>
      </c>
    </row>
    <row r="91" customFormat="false" ht="15" hidden="false" customHeight="true" outlineLevel="0" collapsed="false">
      <c r="E91" s="5"/>
      <c r="F91" s="5" t="str">
        <f aca="false">IF(E91="","",E91+1)</f>
        <v/>
      </c>
      <c r="G91" s="5" t="str">
        <f aca="false">IF(OR(E91="",F91=""),"",MAX(E91,F91)+3)</f>
        <v/>
      </c>
      <c r="H91" s="5" t="str">
        <f aca="false">IF(OR(E91="",G91=""),"",MAX(E91,F91,G91)+7)</f>
        <v/>
      </c>
      <c r="I91" s="5" t="str">
        <f aca="false">IF(OR(E91="",H91=""),"",MAX(E91,F91,G91,H91)+15)</f>
        <v/>
      </c>
      <c r="J91" s="5" t="str">
        <f aca="false">IF(OR(E91="",I91=""),"",MAX(E91,F91,G91,H91,I91)+30)</f>
        <v/>
      </c>
      <c r="K91" s="5" t="str">
        <f aca="false">IF(OR(E91="",J91=""),"",MAX(E91,F91,G91,H91,I91,J91)+60)</f>
        <v/>
      </c>
      <c r="L91" s="5" t="str">
        <f aca="false">IF(OR(E91="",K91=""),"",MAX(E91,F91,G91,H91,I91,J91,K91)+90)</f>
        <v/>
      </c>
      <c r="M91" s="5" t="str">
        <f aca="false">IF(E91="","Not Started",IF(F91="",F91,IF(G91="",G91,IF(H91="",H91,IF(I91="",I91,IF(J91="",J91,IF(K91="",K91,IF(L91="",L91,"Complete"))))))))</f>
        <v>Not Started</v>
      </c>
      <c r="N91" s="1" t="str">
        <f aca="true">IF(E91="","",IF(M91="Complete","✅ Complete",IF(M91="Not Started","",IF(M91&lt;TODAY(),"🔴 OVERDUE",IF(M91=TODAY(),"🟡 DUE TODAY","🟢 Upcoming")))))</f>
        <v/>
      </c>
    </row>
    <row r="92" customFormat="false" ht="15" hidden="false" customHeight="true" outlineLevel="0" collapsed="false">
      <c r="E92" s="5"/>
      <c r="F92" s="5" t="str">
        <f aca="false">IF(E92="","",E92+1)</f>
        <v/>
      </c>
      <c r="G92" s="5" t="str">
        <f aca="false">IF(OR(E92="",F92=""),"",MAX(E92,F92)+3)</f>
        <v/>
      </c>
      <c r="H92" s="5" t="str">
        <f aca="false">IF(OR(E92="",G92=""),"",MAX(E92,F92,G92)+7)</f>
        <v/>
      </c>
      <c r="I92" s="5" t="str">
        <f aca="false">IF(OR(E92="",H92=""),"",MAX(E92,F92,G92,H92)+15)</f>
        <v/>
      </c>
      <c r="J92" s="5" t="str">
        <f aca="false">IF(OR(E92="",I92=""),"",MAX(E92,F92,G92,H92,I92)+30)</f>
        <v/>
      </c>
      <c r="K92" s="5" t="str">
        <f aca="false">IF(OR(E92="",J92=""),"",MAX(E92,F92,G92,H92,I92,J92)+60)</f>
        <v/>
      </c>
      <c r="L92" s="5" t="str">
        <f aca="false">IF(OR(E92="",K92=""),"",MAX(E92,F92,G92,H92,I92,J92,K92)+90)</f>
        <v/>
      </c>
      <c r="M92" s="5" t="str">
        <f aca="false">IF(E92="","Not Started",IF(F92="",F92,IF(G92="",G92,IF(H92="",H92,IF(I92="",I92,IF(J92="",J92,IF(K92="",K92,IF(L92="",L92,"Complete"))))))))</f>
        <v>Not Started</v>
      </c>
      <c r="N92" s="1" t="str">
        <f aca="true">IF(E92="","",IF(M92="Complete","✅ Complete",IF(M92="Not Started","",IF(M92&lt;TODAY(),"🔴 OVERDUE",IF(M92=TODAY(),"🟡 DUE TODAY","🟢 Upcoming")))))</f>
        <v/>
      </c>
    </row>
    <row r="93" customFormat="false" ht="15" hidden="false" customHeight="true" outlineLevel="0" collapsed="false">
      <c r="E93" s="5"/>
      <c r="F93" s="5" t="str">
        <f aca="false">IF(E93="","",E93+1)</f>
        <v/>
      </c>
      <c r="G93" s="5" t="str">
        <f aca="false">IF(OR(E93="",F93=""),"",MAX(E93,F93)+3)</f>
        <v/>
      </c>
      <c r="H93" s="5" t="str">
        <f aca="false">IF(OR(E93="",G93=""),"",MAX(E93,F93,G93)+7)</f>
        <v/>
      </c>
      <c r="I93" s="5" t="str">
        <f aca="false">IF(OR(E93="",H93=""),"",MAX(E93,F93,G93,H93)+15)</f>
        <v/>
      </c>
      <c r="J93" s="5" t="str">
        <f aca="false">IF(OR(E93="",I93=""),"",MAX(E93,F93,G93,H93,I93)+30)</f>
        <v/>
      </c>
      <c r="K93" s="5" t="str">
        <f aca="false">IF(OR(E93="",J93=""),"",MAX(E93,F93,G93,H93,I93,J93)+60)</f>
        <v/>
      </c>
      <c r="L93" s="5" t="str">
        <f aca="false">IF(OR(E93="",K93=""),"",MAX(E93,F93,G93,H93,I93,J93,K93)+90)</f>
        <v/>
      </c>
      <c r="M93" s="5" t="str">
        <f aca="false">IF(E93="","Not Started",IF(F93="",F93,IF(G93="",G93,IF(H93="",H93,IF(I93="",I93,IF(J93="",J93,IF(K93="",K93,IF(L93="",L93,"Complete"))))))))</f>
        <v>Not Started</v>
      </c>
      <c r="N93" s="1" t="str">
        <f aca="true">IF(E93="","",IF(M93="Complete","✅ Complete",IF(M93="Not Started","",IF(M93&lt;TODAY(),"🔴 OVERDUE",IF(M93=TODAY(),"🟡 DUE TODAY","🟢 Upcoming")))))</f>
        <v/>
      </c>
    </row>
    <row r="94" customFormat="false" ht="15" hidden="false" customHeight="true" outlineLevel="0" collapsed="false">
      <c r="E94" s="5"/>
      <c r="F94" s="5" t="str">
        <f aca="false">IF(E94="","",E94+1)</f>
        <v/>
      </c>
      <c r="G94" s="5" t="str">
        <f aca="false">IF(OR(E94="",F94=""),"",MAX(E94,F94)+3)</f>
        <v/>
      </c>
      <c r="H94" s="5" t="str">
        <f aca="false">IF(OR(E94="",G94=""),"",MAX(E94,F94,G94)+7)</f>
        <v/>
      </c>
      <c r="I94" s="5" t="str">
        <f aca="false">IF(OR(E94="",H94=""),"",MAX(E94,F94,G94,H94)+15)</f>
        <v/>
      </c>
      <c r="J94" s="5" t="str">
        <f aca="false">IF(OR(E94="",I94=""),"",MAX(E94,F94,G94,H94,I94)+30)</f>
        <v/>
      </c>
      <c r="K94" s="5" t="str">
        <f aca="false">IF(OR(E94="",J94=""),"",MAX(E94,F94,G94,H94,I94,J94)+60)</f>
        <v/>
      </c>
      <c r="L94" s="5" t="str">
        <f aca="false">IF(OR(E94="",K94=""),"",MAX(E94,F94,G94,H94,I94,J94,K94)+90)</f>
        <v/>
      </c>
      <c r="M94" s="5" t="str">
        <f aca="false">IF(E94="","Not Started",IF(F94="",F94,IF(G94="",G94,IF(H94="",H94,IF(I94="",I94,IF(J94="",J94,IF(K94="",K94,IF(L94="",L94,"Complete"))))))))</f>
        <v>Not Started</v>
      </c>
      <c r="N94" s="1" t="str">
        <f aca="true">IF(E94="","",IF(M94="Complete","✅ Complete",IF(M94="Not Started","",IF(M94&lt;TODAY(),"🔴 OVERDUE",IF(M94=TODAY(),"🟡 DUE TODAY","🟢 Upcoming")))))</f>
        <v/>
      </c>
    </row>
    <row r="95" customFormat="false" ht="15" hidden="false" customHeight="true" outlineLevel="0" collapsed="false">
      <c r="E95" s="5"/>
      <c r="F95" s="5" t="str">
        <f aca="false">IF(E95="","",E95+1)</f>
        <v/>
      </c>
      <c r="G95" s="5" t="str">
        <f aca="false">IF(OR(E95="",F95=""),"",MAX(E95,F95)+3)</f>
        <v/>
      </c>
      <c r="H95" s="5" t="str">
        <f aca="false">IF(OR(E95="",G95=""),"",MAX(E95,F95,G95)+7)</f>
        <v/>
      </c>
      <c r="I95" s="5" t="str">
        <f aca="false">IF(OR(E95="",H95=""),"",MAX(E95,F95,G95,H95)+15)</f>
        <v/>
      </c>
      <c r="J95" s="5" t="str">
        <f aca="false">IF(OR(E95="",I95=""),"",MAX(E95,F95,G95,H95,I95)+30)</f>
        <v/>
      </c>
      <c r="K95" s="5" t="str">
        <f aca="false">IF(OR(E95="",J95=""),"",MAX(E95,F95,G95,H95,I95,J95)+60)</f>
        <v/>
      </c>
      <c r="L95" s="5" t="str">
        <f aca="false">IF(OR(E95="",K95=""),"",MAX(E95,F95,G95,H95,I95,J95,K95)+90)</f>
        <v/>
      </c>
      <c r="M95" s="5" t="str">
        <f aca="false">IF(E95="","Not Started",IF(F95="",F95,IF(G95="",G95,IF(H95="",H95,IF(I95="",I95,IF(J95="",J95,IF(K95="",K95,IF(L95="",L95,"Complete"))))))))</f>
        <v>Not Started</v>
      </c>
      <c r="N95" s="1" t="str">
        <f aca="true">IF(E95="","",IF(M95="Complete","✅ Complete",IF(M95="Not Started","",IF(M95&lt;TODAY(),"🔴 OVERDUE",IF(M95=TODAY(),"🟡 DUE TODAY","🟢 Upcoming")))))</f>
        <v/>
      </c>
    </row>
    <row r="96" customFormat="false" ht="15" hidden="false" customHeight="true" outlineLevel="0" collapsed="false">
      <c r="E96" s="5"/>
      <c r="F96" s="5" t="str">
        <f aca="false">IF(E96="","",E96+1)</f>
        <v/>
      </c>
      <c r="G96" s="5" t="str">
        <f aca="false">IF(OR(E96="",F96=""),"",MAX(E96,F96)+3)</f>
        <v/>
      </c>
      <c r="H96" s="5" t="str">
        <f aca="false">IF(OR(E96="",G96=""),"",MAX(E96,F96,G96)+7)</f>
        <v/>
      </c>
      <c r="I96" s="5" t="str">
        <f aca="false">IF(OR(E96="",H96=""),"",MAX(E96,F96,G96,H96)+15)</f>
        <v/>
      </c>
      <c r="J96" s="5" t="str">
        <f aca="false">IF(OR(E96="",I96=""),"",MAX(E96,F96,G96,H96,I96)+30)</f>
        <v/>
      </c>
      <c r="K96" s="5" t="str">
        <f aca="false">IF(OR(E96="",J96=""),"",MAX(E96,F96,G96,H96,I96,J96)+60)</f>
        <v/>
      </c>
      <c r="L96" s="5" t="str">
        <f aca="false">IF(OR(E96="",K96=""),"",MAX(E96,F96,G96,H96,I96,J96,K96)+90)</f>
        <v/>
      </c>
      <c r="M96" s="5" t="str">
        <f aca="false">IF(E96="","Not Started",IF(F96="",F96,IF(G96="",G96,IF(H96="",H96,IF(I96="",I96,IF(J96="",J96,IF(K96="",K96,IF(L96="",L96,"Complete"))))))))</f>
        <v>Not Started</v>
      </c>
      <c r="N96" s="1" t="str">
        <f aca="true">IF(E96="","",IF(M96="Complete","✅ Complete",IF(M96="Not Started","",IF(M96&lt;TODAY(),"🔴 OVERDUE",IF(M96=TODAY(),"🟡 DUE TODAY","🟢 Upcoming")))))</f>
        <v/>
      </c>
    </row>
    <row r="97" customFormat="false" ht="15" hidden="false" customHeight="true" outlineLevel="0" collapsed="false">
      <c r="E97" s="5"/>
      <c r="F97" s="5" t="str">
        <f aca="false">IF(E97="","",E97+1)</f>
        <v/>
      </c>
      <c r="G97" s="5" t="str">
        <f aca="false">IF(OR(E97="",F97=""),"",MAX(E97,F97)+3)</f>
        <v/>
      </c>
      <c r="H97" s="5" t="str">
        <f aca="false">IF(OR(E97="",G97=""),"",MAX(E97,F97,G97)+7)</f>
        <v/>
      </c>
      <c r="I97" s="5" t="str">
        <f aca="false">IF(OR(E97="",H97=""),"",MAX(E97,F97,G97,H97)+15)</f>
        <v/>
      </c>
      <c r="J97" s="5" t="str">
        <f aca="false">IF(OR(E97="",I97=""),"",MAX(E97,F97,G97,H97,I97)+30)</f>
        <v/>
      </c>
      <c r="K97" s="5" t="str">
        <f aca="false">IF(OR(E97="",J97=""),"",MAX(E97,F97,G97,H97,I97,J97)+60)</f>
        <v/>
      </c>
      <c r="L97" s="5" t="str">
        <f aca="false">IF(OR(E97="",K97=""),"",MAX(E97,F97,G97,H97,I97,J97,K97)+90)</f>
        <v/>
      </c>
      <c r="M97" s="5" t="str">
        <f aca="false">IF(E97="","Not Started",IF(F97="",F97,IF(G97="",G97,IF(H97="",H97,IF(I97="",I97,IF(J97="",J97,IF(K97="",K97,IF(L97="",L97,"Complete"))))))))</f>
        <v>Not Started</v>
      </c>
      <c r="N97" s="1" t="str">
        <f aca="true">IF(E97="","",IF(M97="Complete","✅ Complete",IF(M97="Not Started","",IF(M97&lt;TODAY(),"🔴 OVERDUE",IF(M97=TODAY(),"🟡 DUE TODAY","🟢 Upcoming")))))</f>
        <v/>
      </c>
    </row>
    <row r="98" customFormat="false" ht="15" hidden="false" customHeight="true" outlineLevel="0" collapsed="false">
      <c r="E98" s="5"/>
      <c r="F98" s="5" t="str">
        <f aca="false">IF(E98="","",E98+1)</f>
        <v/>
      </c>
      <c r="G98" s="5" t="str">
        <f aca="false">IF(OR(E98="",F98=""),"",MAX(E98,F98)+3)</f>
        <v/>
      </c>
      <c r="H98" s="5" t="str">
        <f aca="false">IF(OR(E98="",G98=""),"",MAX(E98,F98,G98)+7)</f>
        <v/>
      </c>
      <c r="I98" s="5" t="str">
        <f aca="false">IF(OR(E98="",H98=""),"",MAX(E98,F98,G98,H98)+15)</f>
        <v/>
      </c>
      <c r="J98" s="5" t="str">
        <f aca="false">IF(OR(E98="",I98=""),"",MAX(E98,F98,G98,H98,I98)+30)</f>
        <v/>
      </c>
      <c r="K98" s="5" t="str">
        <f aca="false">IF(OR(E98="",J98=""),"",MAX(E98,F98,G98,H98,I98,J98)+60)</f>
        <v/>
      </c>
      <c r="L98" s="5" t="str">
        <f aca="false">IF(OR(E98="",K98=""),"",MAX(E98,F98,G98,H98,I98,J98,K98)+90)</f>
        <v/>
      </c>
      <c r="M98" s="5" t="str">
        <f aca="false">IF(E98="","Not Started",IF(F98="",F98,IF(G98="",G98,IF(H98="",H98,IF(I98="",I98,IF(J98="",J98,IF(K98="",K98,IF(L98="",L98,"Complete"))))))))</f>
        <v>Not Started</v>
      </c>
      <c r="N98" s="1" t="str">
        <f aca="true">IF(E98="","",IF(M98="Complete","✅ Complete",IF(M98="Not Started","",IF(M98&lt;TODAY(),"🔴 OVERDUE",IF(M98=TODAY(),"🟡 DUE TODAY","🟢 Upcoming")))))</f>
        <v/>
      </c>
    </row>
    <row r="99" customFormat="false" ht="15" hidden="false" customHeight="true" outlineLevel="0" collapsed="false">
      <c r="E99" s="5"/>
      <c r="F99" s="5" t="str">
        <f aca="false">IF(E99="","",E99+1)</f>
        <v/>
      </c>
      <c r="G99" s="5" t="str">
        <f aca="false">IF(OR(E99="",F99=""),"",MAX(E99,F99)+3)</f>
        <v/>
      </c>
      <c r="H99" s="5" t="str">
        <f aca="false">IF(OR(E99="",G99=""),"",MAX(E99,F99,G99)+7)</f>
        <v/>
      </c>
      <c r="I99" s="5" t="str">
        <f aca="false">IF(OR(E99="",H99=""),"",MAX(E99,F99,G99,H99)+15)</f>
        <v/>
      </c>
      <c r="J99" s="5" t="str">
        <f aca="false">IF(OR(E99="",I99=""),"",MAX(E99,F99,G99,H99,I99)+30)</f>
        <v/>
      </c>
      <c r="K99" s="5" t="str">
        <f aca="false">IF(OR(E99="",J99=""),"",MAX(E99,F99,G99,H99,I99,J99)+60)</f>
        <v/>
      </c>
      <c r="L99" s="5" t="str">
        <f aca="false">IF(OR(E99="",K99=""),"",MAX(E99,F99,G99,H99,I99,J99,K99)+90)</f>
        <v/>
      </c>
      <c r="M99" s="5" t="str">
        <f aca="false">IF(E99="","Not Started",IF(F99="",F99,IF(G99="",G99,IF(H99="",H99,IF(I99="",I99,IF(J99="",J99,IF(K99="",K99,IF(L99="",L99,"Complete"))))))))</f>
        <v>Not Started</v>
      </c>
      <c r="N99" s="1" t="str">
        <f aca="true">IF(E99="","",IF(M99="Complete","✅ Complete",IF(M99="Not Started","",IF(M99&lt;TODAY(),"🔴 OVERDUE",IF(M99=TODAY(),"🟡 DUE TODAY","🟢 Upcoming")))))</f>
        <v/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6" min="5" style="1" width="15"/>
    <col collapsed="false" customWidth="true" hidden="false" outlineLevel="0" max="7" min="7" style="1" width="25"/>
    <col collapsed="false" customWidth="true" hidden="false" outlineLevel="0" max="8" min="8" style="1" width="12"/>
  </cols>
  <sheetData>
    <row r="1" customFormat="false" ht="34.5" hidden="false" customHeight="true" outlineLevel="0" collapsed="false">
      <c r="A1" s="6" t="s">
        <v>27</v>
      </c>
      <c r="B1" s="6"/>
      <c r="C1" s="6"/>
      <c r="D1" s="6"/>
      <c r="E1" s="6"/>
      <c r="F1" s="6"/>
      <c r="G1" s="6"/>
      <c r="H1" s="6"/>
    </row>
    <row r="2" customFormat="false" ht="15" hidden="false" customHeight="true" outlineLevel="0" collapsed="false">
      <c r="A2" s="7" t="s">
        <v>28</v>
      </c>
      <c r="B2" s="8" t="n">
        <f aca="true">TODAY()</f>
        <v>46062</v>
      </c>
    </row>
    <row r="3" customFormat="false" ht="30" hidden="false" customHeight="true" outlineLevel="0" collapsed="false">
      <c r="A3" s="9" t="s">
        <v>29</v>
      </c>
      <c r="B3" s="9"/>
      <c r="C3" s="9"/>
      <c r="D3" s="9"/>
      <c r="E3" s="9"/>
      <c r="F3" s="9"/>
      <c r="G3" s="9"/>
      <c r="H3" s="9"/>
    </row>
    <row r="4" customFormat="false" ht="30" hidden="false" customHeight="true" outlineLevel="0" collapsed="false">
      <c r="A4" s="4" t="s">
        <v>30</v>
      </c>
      <c r="B4" s="4" t="s">
        <v>2</v>
      </c>
      <c r="C4" s="4" t="s">
        <v>4</v>
      </c>
      <c r="D4" s="4" t="s">
        <v>31</v>
      </c>
      <c r="E4" s="4" t="s">
        <v>32</v>
      </c>
      <c r="F4" s="4" t="s">
        <v>33</v>
      </c>
      <c r="G4" s="4" t="s">
        <v>5</v>
      </c>
      <c r="H4" s="4" t="s">
        <v>34</v>
      </c>
    </row>
    <row r="5" customFormat="false" ht="34.5" hidden="false" customHeight="true" outlineLevel="0" collapsed="false">
      <c r="A5" s="10" t="s">
        <v>35</v>
      </c>
      <c r="B5" s="10"/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1" t="s">
        <v>36</v>
      </c>
      <c r="B6" s="11"/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12" t="s">
        <v>37</v>
      </c>
      <c r="B7" s="12"/>
      <c r="C7" s="12"/>
      <c r="D7" s="12"/>
      <c r="E7" s="12"/>
      <c r="F7" s="12"/>
      <c r="G7" s="12"/>
      <c r="H7" s="12"/>
    </row>
    <row r="8" customFormat="false" ht="15" hidden="false" customHeight="true" outlineLevel="0" collapsed="false">
      <c r="A8" s="12" t="s">
        <v>38</v>
      </c>
      <c r="B8" s="12"/>
      <c r="C8" s="12"/>
      <c r="D8" s="12"/>
      <c r="E8" s="12"/>
      <c r="F8" s="12"/>
      <c r="G8" s="12"/>
      <c r="H8" s="12"/>
    </row>
    <row r="9" customFormat="false" ht="15" hidden="false" customHeight="true" outlineLevel="0" collapsed="false">
      <c r="A9" s="12" t="s">
        <v>39</v>
      </c>
      <c r="B9" s="12"/>
      <c r="C9" s="12"/>
      <c r="D9" s="12"/>
      <c r="E9" s="12"/>
      <c r="F9" s="12"/>
      <c r="G9" s="12"/>
      <c r="H9" s="12"/>
    </row>
    <row r="10" customFormat="false" ht="15" hidden="false" customHeight="true" outlineLevel="0" collapsed="false">
      <c r="A10" s="12" t="s">
        <v>40</v>
      </c>
      <c r="B10" s="12"/>
      <c r="C10" s="12"/>
      <c r="D10" s="12"/>
      <c r="E10" s="12"/>
      <c r="F10" s="12"/>
      <c r="G10" s="12"/>
      <c r="H10" s="12"/>
    </row>
    <row r="11" customFormat="false" ht="15" hidden="false" customHeight="true" outlineLevel="0" collapsed="false">
      <c r="H11" s="5" t="str">
        <f aca="true">IF(F11="✅ Studied",TODAY(),"")</f>
        <v/>
      </c>
    </row>
    <row r="12" customFormat="false" ht="15" hidden="false" customHeight="true" outlineLevel="0" collapsed="false">
      <c r="A12" s="13" t="s">
        <v>41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true" outlineLevel="0" collapsed="false">
      <c r="A13" s="14" t="s">
        <v>42</v>
      </c>
      <c r="B13" s="14" t="s">
        <v>43</v>
      </c>
      <c r="C13" s="14" t="s">
        <v>44</v>
      </c>
      <c r="H13" s="5" t="str">
        <f aca="true">IF(F13="✅ Studied",TODAY(),"")</f>
        <v/>
      </c>
    </row>
    <row r="14" customFormat="false" ht="15" hidden="false" customHeight="true" outlineLevel="0" collapsed="false">
      <c r="A14" s="15" t="s">
        <v>45</v>
      </c>
      <c r="B14" s="15" t="s">
        <v>46</v>
      </c>
      <c r="C14" s="15" t="s">
        <v>47</v>
      </c>
      <c r="H14" s="5" t="str">
        <f aca="true">IF(F14="✅ Studied",TODAY(),"")</f>
        <v/>
      </c>
    </row>
    <row r="15" customFormat="false" ht="15" hidden="false" customHeight="true" outlineLevel="0" collapsed="false">
      <c r="A15" s="15" t="s">
        <v>48</v>
      </c>
      <c r="B15" s="15" t="s">
        <v>49</v>
      </c>
      <c r="C15" s="15" t="s">
        <v>50</v>
      </c>
      <c r="H15" s="5" t="str">
        <f aca="true">IF(F15="✅ Studied",TODAY(),"")</f>
        <v/>
      </c>
    </row>
    <row r="16" customFormat="false" ht="15" hidden="false" customHeight="true" outlineLevel="0" collapsed="false">
      <c r="A16" s="15" t="s">
        <v>51</v>
      </c>
      <c r="B16" s="15" t="s">
        <v>52</v>
      </c>
      <c r="C16" s="15" t="s">
        <v>53</v>
      </c>
      <c r="H16" s="5" t="str">
        <f aca="true">IF(F16="✅ Studied",TODAY(),"")</f>
        <v/>
      </c>
    </row>
    <row r="17" customFormat="false" ht="15" hidden="false" customHeight="true" outlineLevel="0" collapsed="false">
      <c r="A17" s="15" t="s">
        <v>54</v>
      </c>
      <c r="B17" s="15" t="s">
        <v>55</v>
      </c>
      <c r="C17" s="15" t="s">
        <v>56</v>
      </c>
      <c r="H17" s="5" t="str">
        <f aca="true">IF(F17="✅ Studied",TODAY(),"")</f>
        <v/>
      </c>
    </row>
    <row r="18" customFormat="false" ht="15" hidden="false" customHeight="true" outlineLevel="0" collapsed="false">
      <c r="A18" s="15" t="s">
        <v>57</v>
      </c>
      <c r="B18" s="15" t="s">
        <v>58</v>
      </c>
      <c r="C18" s="15" t="s">
        <v>59</v>
      </c>
      <c r="H18" s="5" t="str">
        <f aca="true">IF(F18="✅ Studied",TODAY(),"")</f>
        <v/>
      </c>
    </row>
    <row r="19" customFormat="false" ht="15" hidden="false" customHeight="true" outlineLevel="0" collapsed="false">
      <c r="H19" s="5" t="str">
        <f aca="true">IF(F19="✅ Studied",TODAY(),"")</f>
        <v/>
      </c>
    </row>
    <row r="20" customFormat="false" ht="15" hidden="false" customHeight="true" outlineLevel="0" collapsed="false">
      <c r="H20" s="5" t="str">
        <f aca="true">IF(F20="✅ Studied",TODAY(),"")</f>
        <v/>
      </c>
    </row>
    <row r="21" customFormat="false" ht="15" hidden="false" customHeight="true" outlineLevel="0" collapsed="false">
      <c r="H21" s="5" t="str">
        <f aca="true">IF(F21="✅ Studied",TODAY(),"")</f>
        <v/>
      </c>
    </row>
    <row r="22" customFormat="false" ht="15" hidden="false" customHeight="true" outlineLevel="0" collapsed="false">
      <c r="H22" s="5" t="str">
        <f aca="true">IF(F22="✅ Studied",TODAY(),"")</f>
        <v/>
      </c>
    </row>
    <row r="23" customFormat="false" ht="15" hidden="false" customHeight="true" outlineLevel="0" collapsed="false">
      <c r="H23" s="5" t="str">
        <f aca="true">IF(F23="✅ Studied",TODAY(),"")</f>
        <v/>
      </c>
    </row>
    <row r="24" customFormat="false" ht="15" hidden="false" customHeight="true" outlineLevel="0" collapsed="false">
      <c r="H24" s="5" t="str">
        <f aca="true">IF(F24="✅ Studied",TODAY(),"")</f>
        <v/>
      </c>
    </row>
    <row r="25" customFormat="false" ht="15" hidden="false" customHeight="true" outlineLevel="0" collapsed="false">
      <c r="H25" s="5" t="str">
        <f aca="true">IF(F25="✅ Studied",TODAY(),"")</f>
        <v/>
      </c>
    </row>
    <row r="26" customFormat="false" ht="15" hidden="false" customHeight="true" outlineLevel="0" collapsed="false">
      <c r="H26" s="5" t="str">
        <f aca="true">IF(F26="✅ Studied",TODAY(),"")</f>
        <v/>
      </c>
    </row>
    <row r="27" customFormat="false" ht="15" hidden="false" customHeight="true" outlineLevel="0" collapsed="false">
      <c r="H27" s="5" t="str">
        <f aca="true">IF(F27="✅ Studied",TODAY(),"")</f>
        <v/>
      </c>
    </row>
    <row r="28" customFormat="false" ht="15" hidden="false" customHeight="true" outlineLevel="0" collapsed="false">
      <c r="H28" s="5" t="str">
        <f aca="true">IF(F28="✅ Studied",TODAY(),"")</f>
        <v/>
      </c>
    </row>
    <row r="29" customFormat="false" ht="15" hidden="false" customHeight="true" outlineLevel="0" collapsed="false">
      <c r="H29" s="5" t="str">
        <f aca="true">IF(F29="✅ Studied",TODAY(),"")</f>
        <v/>
      </c>
    </row>
    <row r="30" customFormat="false" ht="15" hidden="false" customHeight="true" outlineLevel="0" collapsed="false">
      <c r="H30" s="5" t="str">
        <f aca="true">IF(F30="✅ Studied",TODAY(),"")</f>
        <v/>
      </c>
    </row>
    <row r="31" customFormat="false" ht="15" hidden="false" customHeight="true" outlineLevel="0" collapsed="false">
      <c r="H31" s="5" t="str">
        <f aca="true">IF(F31="✅ Studied",TODAY(),"")</f>
        <v/>
      </c>
    </row>
    <row r="32" customFormat="false" ht="15" hidden="false" customHeight="true" outlineLevel="0" collapsed="false">
      <c r="H32" s="5" t="str">
        <f aca="true">IF(F32="✅ Studied",TODAY(),"")</f>
        <v/>
      </c>
    </row>
    <row r="33" customFormat="false" ht="15" hidden="false" customHeight="true" outlineLevel="0" collapsed="false">
      <c r="H33" s="5" t="str">
        <f aca="true">IF(F33="✅ Studied",TODAY(),"")</f>
        <v/>
      </c>
    </row>
    <row r="34" customFormat="false" ht="15" hidden="false" customHeight="true" outlineLevel="0" collapsed="false">
      <c r="H34" s="5" t="str">
        <f aca="true">IF(F34="✅ Studied",TODAY(),"")</f>
        <v/>
      </c>
    </row>
    <row r="35" customFormat="false" ht="15" hidden="false" customHeight="true" outlineLevel="0" collapsed="false">
      <c r="H35" s="5" t="str">
        <f aca="true">IF(F35="✅ Studied",TODAY(),"")</f>
        <v/>
      </c>
    </row>
    <row r="36" customFormat="false" ht="15" hidden="false" customHeight="true" outlineLevel="0" collapsed="false">
      <c r="H36" s="5" t="str">
        <f aca="true">IF(F36="✅ Studied",TODAY(),"")</f>
        <v/>
      </c>
    </row>
    <row r="37" customFormat="false" ht="15" hidden="false" customHeight="true" outlineLevel="0" collapsed="false">
      <c r="H37" s="5" t="str">
        <f aca="true">IF(F37="✅ Studied",TODAY(),"")</f>
        <v/>
      </c>
    </row>
    <row r="38" customFormat="false" ht="15" hidden="false" customHeight="true" outlineLevel="0" collapsed="false">
      <c r="H38" s="5" t="str">
        <f aca="true">IF(F38="✅ Studied",TODAY(),"")</f>
        <v/>
      </c>
    </row>
    <row r="39" customFormat="false" ht="15" hidden="false" customHeight="true" outlineLevel="0" collapsed="false">
      <c r="H39" s="5" t="str">
        <f aca="true">IF(F39="✅ Studied",TODAY(),"")</f>
        <v/>
      </c>
    </row>
    <row r="40" customFormat="false" ht="15" hidden="false" customHeight="true" outlineLevel="0" collapsed="false">
      <c r="H40" s="5" t="str">
        <f aca="true">IF(F40="✅ Studied",TODAY(),"")</f>
        <v/>
      </c>
    </row>
    <row r="41" customFormat="false" ht="15" hidden="false" customHeight="true" outlineLevel="0" collapsed="false">
      <c r="H41" s="5" t="str">
        <f aca="true">IF(F41="✅ Studied",TODAY(),"")</f>
        <v/>
      </c>
    </row>
    <row r="42" customFormat="false" ht="15" hidden="false" customHeight="true" outlineLevel="0" collapsed="false">
      <c r="H42" s="5" t="str">
        <f aca="true">IF(F42="✅ Studied",TODAY(),"")</f>
        <v/>
      </c>
    </row>
    <row r="43" customFormat="false" ht="15" hidden="false" customHeight="true" outlineLevel="0" collapsed="false">
      <c r="H43" s="5" t="str">
        <f aca="true">IF(F43="✅ Studied",TODAY(),"")</f>
        <v/>
      </c>
    </row>
    <row r="44" customFormat="false" ht="15" hidden="false" customHeight="true" outlineLevel="0" collapsed="false">
      <c r="H44" s="5" t="str">
        <f aca="true">IF(F44="✅ Studied",TODAY(),"")</f>
        <v/>
      </c>
    </row>
    <row r="45" customFormat="false" ht="15" hidden="false" customHeight="true" outlineLevel="0" collapsed="false">
      <c r="H45" s="5" t="str">
        <f aca="true">IF(F45="✅ Studied",TODAY(),"")</f>
        <v/>
      </c>
    </row>
    <row r="46" customFormat="false" ht="15" hidden="false" customHeight="true" outlineLevel="0" collapsed="false">
      <c r="H46" s="5" t="str">
        <f aca="true">IF(F46="✅ Studied",TODAY(),"")</f>
        <v/>
      </c>
    </row>
    <row r="47" customFormat="false" ht="15" hidden="false" customHeight="true" outlineLevel="0" collapsed="false">
      <c r="H47" s="5" t="str">
        <f aca="true">IF(F47="✅ Studied",TODAY(),"")</f>
        <v/>
      </c>
    </row>
    <row r="48" customFormat="false" ht="15" hidden="false" customHeight="true" outlineLevel="0" collapsed="false">
      <c r="H48" s="5" t="str">
        <f aca="true">IF(F48="✅ Studied",TODAY(),"")</f>
        <v/>
      </c>
    </row>
    <row r="49" customFormat="false" ht="15" hidden="false" customHeight="true" outlineLevel="0" collapsed="false">
      <c r="H49" s="5" t="str">
        <f aca="true">IF(F49="✅ Studied",TODAY(),"")</f>
        <v/>
      </c>
    </row>
    <row r="50" customFormat="false" ht="15" hidden="false" customHeight="true" outlineLevel="0" collapsed="false">
      <c r="H50" s="5" t="str">
        <f aca="true">IF(F50="✅ Studied",TODAY(),"")</f>
        <v/>
      </c>
    </row>
    <row r="51" customFormat="false" ht="15" hidden="false" customHeight="true" outlineLevel="0" collapsed="false">
      <c r="H51" s="5" t="str">
        <f aca="true">IF(F51="✅ Studied",TODAY(),"")</f>
        <v/>
      </c>
    </row>
    <row r="52" customFormat="false" ht="15" hidden="false" customHeight="true" outlineLevel="0" collapsed="false">
      <c r="H52" s="5" t="str">
        <f aca="true">IF(F52="✅ Studied",TODAY(),"")</f>
        <v/>
      </c>
    </row>
    <row r="53" customFormat="false" ht="15" hidden="false" customHeight="true" outlineLevel="0" collapsed="false">
      <c r="H53" s="5" t="str">
        <f aca="true">IF(F53="✅ Studied",TODAY(),"")</f>
        <v/>
      </c>
    </row>
    <row r="54" customFormat="false" ht="15" hidden="false" customHeight="true" outlineLevel="0" collapsed="false">
      <c r="H54" s="5" t="str">
        <f aca="true">IF(F54="✅ Studied",TODAY(),"")</f>
        <v/>
      </c>
    </row>
    <row r="55" customFormat="false" ht="15" hidden="false" customHeight="true" outlineLevel="0" collapsed="false">
      <c r="H55" s="5" t="str">
        <f aca="true">IF(F55="✅ Studied",TODAY(),"")</f>
        <v/>
      </c>
    </row>
    <row r="56" customFormat="false" ht="15" hidden="false" customHeight="true" outlineLevel="0" collapsed="false">
      <c r="H56" s="5" t="str">
        <f aca="true">IF(F56="✅ Studied",TODAY(),"")</f>
        <v/>
      </c>
    </row>
    <row r="57" customFormat="false" ht="15" hidden="false" customHeight="true" outlineLevel="0" collapsed="false">
      <c r="H57" s="5" t="str">
        <f aca="true">IF(F57="✅ Studied",TODAY(),"")</f>
        <v/>
      </c>
    </row>
    <row r="58" customFormat="false" ht="15" hidden="false" customHeight="true" outlineLevel="0" collapsed="false">
      <c r="H58" s="5" t="str">
        <f aca="true">IF(F58="✅ Studied",TODAY(),"")</f>
        <v/>
      </c>
    </row>
    <row r="59" customFormat="false" ht="15" hidden="false" customHeight="true" outlineLevel="0" collapsed="false">
      <c r="H59" s="5" t="str">
        <f aca="true">IF(F59="✅ Studied",TODAY(),"")</f>
        <v/>
      </c>
    </row>
    <row r="60" customFormat="false" ht="15" hidden="false" customHeight="true" outlineLevel="0" collapsed="false">
      <c r="H60" s="5" t="str">
        <f aca="true">IF(F60="✅ Studied",TODAY(),"")</f>
        <v/>
      </c>
    </row>
    <row r="61" customFormat="false" ht="15" hidden="false" customHeight="true" outlineLevel="0" collapsed="false">
      <c r="H61" s="5" t="str">
        <f aca="true">IF(F61="✅ Studied",TODAY(),"")</f>
        <v/>
      </c>
    </row>
    <row r="62" customFormat="false" ht="15" hidden="false" customHeight="true" outlineLevel="0" collapsed="false">
      <c r="H62" s="5" t="str">
        <f aca="true">IF(F62="✅ Studied",TODAY(),"")</f>
        <v/>
      </c>
    </row>
    <row r="63" customFormat="false" ht="15" hidden="false" customHeight="true" outlineLevel="0" collapsed="false">
      <c r="H63" s="5" t="str">
        <f aca="true">IF(F63="✅ Studied",TODAY(),"")</f>
        <v/>
      </c>
    </row>
    <row r="64" customFormat="false" ht="15" hidden="false" customHeight="true" outlineLevel="0" collapsed="false">
      <c r="H64" s="5" t="str">
        <f aca="true">IF(F64="✅ Studied",TODAY(),"")</f>
        <v/>
      </c>
    </row>
    <row r="65" customFormat="false" ht="15" hidden="false" customHeight="true" outlineLevel="0" collapsed="false">
      <c r="H65" s="5" t="str">
        <f aca="true">IF(F65="✅ Studied",TODAY(),"")</f>
        <v/>
      </c>
    </row>
    <row r="66" customFormat="false" ht="15" hidden="false" customHeight="true" outlineLevel="0" collapsed="false">
      <c r="H66" s="5" t="str">
        <f aca="true">IF(F66="✅ Studied",TODAY(),"")</f>
        <v/>
      </c>
    </row>
    <row r="67" customFormat="false" ht="15" hidden="false" customHeight="true" outlineLevel="0" collapsed="false">
      <c r="H67" s="5" t="str">
        <f aca="true">IF(F67="✅ Studied",TODAY(),"")</f>
        <v/>
      </c>
    </row>
    <row r="68" customFormat="false" ht="15" hidden="false" customHeight="true" outlineLevel="0" collapsed="false">
      <c r="H68" s="5" t="str">
        <f aca="true">IF(F68="✅ Studied",TODAY(),"")</f>
        <v/>
      </c>
    </row>
    <row r="69" customFormat="false" ht="15" hidden="false" customHeight="true" outlineLevel="0" collapsed="false">
      <c r="H69" s="5" t="str">
        <f aca="true">IF(F69="✅ Studied",TODAY(),"")</f>
        <v/>
      </c>
    </row>
    <row r="70" customFormat="false" ht="15" hidden="false" customHeight="true" outlineLevel="0" collapsed="false">
      <c r="H70" s="5" t="str">
        <f aca="true">IF(F70="✅ Studied",TODAY(),"")</f>
        <v/>
      </c>
    </row>
    <row r="71" customFormat="false" ht="15" hidden="false" customHeight="true" outlineLevel="0" collapsed="false">
      <c r="H71" s="5" t="str">
        <f aca="true">IF(F71="✅ Studied",TODAY(),"")</f>
        <v/>
      </c>
    </row>
    <row r="72" customFormat="false" ht="15" hidden="false" customHeight="true" outlineLevel="0" collapsed="false">
      <c r="H72" s="5" t="str">
        <f aca="true">IF(F72="✅ Studied",TODAY(),"")</f>
        <v/>
      </c>
    </row>
    <row r="73" customFormat="false" ht="15" hidden="false" customHeight="true" outlineLevel="0" collapsed="false">
      <c r="H73" s="5" t="str">
        <f aca="true">IF(F73="✅ Studied",TODAY(),"")</f>
        <v/>
      </c>
    </row>
    <row r="74" customFormat="false" ht="15" hidden="false" customHeight="true" outlineLevel="0" collapsed="false">
      <c r="H74" s="5" t="str">
        <f aca="true">IF(F74="✅ Studied",TODAY(),"")</f>
        <v/>
      </c>
    </row>
    <row r="75" customFormat="false" ht="15" hidden="false" customHeight="true" outlineLevel="0" collapsed="false">
      <c r="H75" s="5" t="str">
        <f aca="true">IF(F75="✅ Studied",TODAY(),"")</f>
        <v/>
      </c>
    </row>
    <row r="76" customFormat="false" ht="15" hidden="false" customHeight="true" outlineLevel="0" collapsed="false">
      <c r="H76" s="5" t="str">
        <f aca="true">IF(F76="✅ Studied",TODAY(),"")</f>
        <v/>
      </c>
    </row>
    <row r="77" customFormat="false" ht="15" hidden="false" customHeight="true" outlineLevel="0" collapsed="false">
      <c r="H77" s="5" t="str">
        <f aca="true">IF(F77="✅ Studied",TODAY(),"")</f>
        <v/>
      </c>
    </row>
    <row r="78" customFormat="false" ht="15" hidden="false" customHeight="true" outlineLevel="0" collapsed="false">
      <c r="H78" s="5" t="str">
        <f aca="true">IF(F78="✅ Studied",TODAY(),"")</f>
        <v/>
      </c>
    </row>
    <row r="79" customFormat="false" ht="15" hidden="false" customHeight="true" outlineLevel="0" collapsed="false">
      <c r="H79" s="5" t="str">
        <f aca="true">IF(F79="✅ Studied",TODAY(),"")</f>
        <v/>
      </c>
    </row>
    <row r="80" customFormat="false" ht="15" hidden="false" customHeight="true" outlineLevel="0" collapsed="false">
      <c r="H80" s="5" t="str">
        <f aca="true">IF(F80="✅ Studied",TODAY(),"")</f>
        <v/>
      </c>
    </row>
    <row r="81" customFormat="false" ht="15" hidden="false" customHeight="true" outlineLevel="0" collapsed="false">
      <c r="H81" s="5" t="str">
        <f aca="true">IF(F81="✅ Studied",TODAY(),"")</f>
        <v/>
      </c>
    </row>
    <row r="82" customFormat="false" ht="15" hidden="false" customHeight="true" outlineLevel="0" collapsed="false">
      <c r="H82" s="5" t="str">
        <f aca="true">IF(F82="✅ Studied",TODAY(),"")</f>
        <v/>
      </c>
    </row>
    <row r="83" customFormat="false" ht="15" hidden="false" customHeight="true" outlineLevel="0" collapsed="false">
      <c r="H83" s="5" t="str">
        <f aca="true">IF(F83="✅ Studied",TODAY(),"")</f>
        <v/>
      </c>
    </row>
    <row r="84" customFormat="false" ht="15" hidden="false" customHeight="true" outlineLevel="0" collapsed="false">
      <c r="H84" s="5" t="str">
        <f aca="true">IF(F84="✅ Studied",TODAY(),"")</f>
        <v/>
      </c>
    </row>
    <row r="85" customFormat="false" ht="15" hidden="false" customHeight="true" outlineLevel="0" collapsed="false">
      <c r="H85" s="5" t="str">
        <f aca="true">IF(F85="✅ Studied",TODAY(),"")</f>
        <v/>
      </c>
    </row>
    <row r="86" customFormat="false" ht="15" hidden="false" customHeight="true" outlineLevel="0" collapsed="false">
      <c r="H86" s="5" t="str">
        <f aca="true">IF(F86="✅ Studied",TODAY(),"")</f>
        <v/>
      </c>
    </row>
    <row r="87" customFormat="false" ht="15" hidden="false" customHeight="true" outlineLevel="0" collapsed="false">
      <c r="H87" s="5" t="str">
        <f aca="true">IF(F87="✅ Studied",TODAY(),"")</f>
        <v/>
      </c>
    </row>
    <row r="88" customFormat="false" ht="15" hidden="false" customHeight="true" outlineLevel="0" collapsed="false">
      <c r="H88" s="5" t="str">
        <f aca="true">IF(F88="✅ Studied",TODAY(),"")</f>
        <v/>
      </c>
    </row>
    <row r="89" customFormat="false" ht="15" hidden="false" customHeight="true" outlineLevel="0" collapsed="false">
      <c r="H89" s="5" t="str">
        <f aca="true">IF(F89="✅ Studied",TODAY(),"")</f>
        <v/>
      </c>
    </row>
    <row r="90" customFormat="false" ht="15" hidden="false" customHeight="true" outlineLevel="0" collapsed="false">
      <c r="H90" s="5" t="str">
        <f aca="true">IF(F90="✅ Studied",TODAY(),"")</f>
        <v/>
      </c>
    </row>
    <row r="91" customFormat="false" ht="15" hidden="false" customHeight="true" outlineLevel="0" collapsed="false">
      <c r="H91" s="5" t="str">
        <f aca="true">IF(F91="✅ Studied",TODAY(),"")</f>
        <v/>
      </c>
    </row>
    <row r="92" customFormat="false" ht="15" hidden="false" customHeight="true" outlineLevel="0" collapsed="false">
      <c r="H92" s="5" t="str">
        <f aca="true">IF(F92="✅ Studied",TODAY(),"")</f>
        <v/>
      </c>
    </row>
    <row r="93" customFormat="false" ht="15" hidden="false" customHeight="true" outlineLevel="0" collapsed="false">
      <c r="H93" s="5" t="str">
        <f aca="true">IF(F93="✅ Studied",TODAY(),"")</f>
        <v/>
      </c>
    </row>
    <row r="94" customFormat="false" ht="15" hidden="false" customHeight="true" outlineLevel="0" collapsed="false">
      <c r="H94" s="5" t="str">
        <f aca="true">IF(F94="✅ Studied",TODAY(),"")</f>
        <v/>
      </c>
    </row>
    <row r="95" customFormat="false" ht="15" hidden="false" customHeight="true" outlineLevel="0" collapsed="false">
      <c r="H95" s="5" t="str">
        <f aca="true">IF(F95="✅ Studied",TODAY(),"")</f>
        <v/>
      </c>
    </row>
    <row r="96" customFormat="false" ht="15" hidden="false" customHeight="true" outlineLevel="0" collapsed="false">
      <c r="H96" s="5" t="str">
        <f aca="true">IF(F96="✅ Studied",TODAY(),"")</f>
        <v/>
      </c>
    </row>
    <row r="97" customFormat="false" ht="15" hidden="false" customHeight="true" outlineLevel="0" collapsed="false">
      <c r="H97" s="5" t="str">
        <f aca="true">IF(F97="✅ Studied",TODAY(),"")</f>
        <v/>
      </c>
    </row>
    <row r="98" customFormat="false" ht="15" hidden="false" customHeight="true" outlineLevel="0" collapsed="false">
      <c r="H98" s="5" t="str">
        <f aca="true">IF(F98="✅ Studied",TODAY(),"")</f>
        <v/>
      </c>
    </row>
    <row r="99" customFormat="false" ht="15" hidden="false" customHeight="true" outlineLevel="0" collapsed="false">
      <c r="H99" s="5" t="str">
        <f aca="true">IF(F99="✅ Studied",TODAY(),"")</f>
        <v/>
      </c>
    </row>
    <row r="100" customFormat="false" ht="15" hidden="false" customHeight="true" outlineLevel="0" collapsed="false">
      <c r="H100" s="5" t="str">
        <f aca="true">IF(F100="✅ Studied",TODAY(),"")</f>
        <v/>
      </c>
    </row>
  </sheetData>
  <mergeCells count="9">
    <mergeCell ref="A1:H1"/>
    <mergeCell ref="A3:H3"/>
    <mergeCell ref="A5:H5"/>
    <mergeCell ref="A6:H6"/>
    <mergeCell ref="A7:H7"/>
    <mergeCell ref="A8:H8"/>
    <mergeCell ref="A9:H9"/>
    <mergeCell ref="A10:H10"/>
    <mergeCell ref="A12:H12"/>
  </mergeCells>
  <dataValidations count="1">
    <dataValidation allowBlank="true" error="Please select from the list" errorStyle="stop" errorTitle="Invalid Selection" operator="between" showDropDown="false" showErrorMessage="false" showInputMessage="false" sqref="F6:F100" type="list">
      <formula1>"Select...,✅ Studied,⏭️ Skip Today"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5"/>
    <col collapsed="false" customWidth="true" hidden="false" outlineLevel="0" max="7" min="7" style="1" width="20"/>
  </cols>
  <sheetData>
    <row r="1" customFormat="false" ht="34.5" hidden="false" customHeight="true" outlineLevel="0" collapsed="false">
      <c r="A1" s="16" t="s">
        <v>60</v>
      </c>
      <c r="B1" s="16"/>
      <c r="C1" s="16"/>
      <c r="D1" s="16"/>
      <c r="E1" s="16"/>
      <c r="F1" s="16"/>
      <c r="G1" s="16"/>
    </row>
    <row r="2" customFormat="false" ht="24.75" hidden="false" customHeight="true" outlineLevel="0" collapsed="false">
      <c r="A2" s="17" t="s">
        <v>61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30</v>
      </c>
      <c r="B3" s="18" t="s">
        <v>2</v>
      </c>
      <c r="C3" s="18" t="s">
        <v>4</v>
      </c>
      <c r="D3" s="18" t="s">
        <v>62</v>
      </c>
      <c r="E3" s="18" t="s">
        <v>63</v>
      </c>
      <c r="F3" s="18" t="s">
        <v>32</v>
      </c>
      <c r="G3" s="18" t="s">
        <v>64</v>
      </c>
    </row>
    <row r="4" customFormat="false" ht="15" hidden="false" customHeight="true" outlineLevel="0" collapsed="false">
      <c r="A4" s="19" t="s">
        <v>65</v>
      </c>
      <c r="B4" s="19"/>
      <c r="C4" s="19"/>
      <c r="D4" s="19"/>
      <c r="E4" s="19"/>
      <c r="F4" s="19"/>
      <c r="G4" s="19"/>
    </row>
    <row r="6" customFormat="false" ht="15" hidden="false" customHeight="true" outlineLevel="0" collapsed="false">
      <c r="A6" s="20" t="s">
        <v>66</v>
      </c>
      <c r="B6" s="20"/>
      <c r="C6" s="20"/>
      <c r="D6" s="20"/>
      <c r="E6" s="20"/>
      <c r="F6" s="20"/>
      <c r="G6" s="20"/>
    </row>
    <row r="7" customFormat="false" ht="15" hidden="false" customHeight="true" outlineLevel="0" collapsed="false">
      <c r="A7" s="21" t="s">
        <v>67</v>
      </c>
      <c r="B7" s="21"/>
      <c r="C7" s="21"/>
      <c r="D7" s="21"/>
      <c r="E7" s="21"/>
      <c r="F7" s="21"/>
      <c r="G7" s="21"/>
    </row>
    <row r="8" customFormat="false" ht="15" hidden="false" customHeight="true" outlineLevel="0" collapsed="false">
      <c r="A8" s="21" t="s">
        <v>68</v>
      </c>
      <c r="B8" s="21"/>
      <c r="C8" s="21"/>
      <c r="D8" s="21"/>
      <c r="E8" s="21"/>
      <c r="F8" s="21"/>
      <c r="G8" s="21"/>
    </row>
    <row r="9" customFormat="false" ht="15" hidden="false" customHeight="true" outlineLevel="0" collapsed="false">
      <c r="A9" s="22" t="s">
        <v>69</v>
      </c>
      <c r="B9" s="22"/>
      <c r="C9" s="22"/>
      <c r="D9" s="22"/>
      <c r="E9" s="22"/>
      <c r="F9" s="22"/>
      <c r="G9" s="22"/>
    </row>
    <row r="11" customFormat="false" ht="15" hidden="false" customHeight="true" outlineLevel="0" collapsed="false">
      <c r="A11" s="7" t="s">
        <v>70</v>
      </c>
    </row>
    <row r="12" customFormat="false" ht="17.25" hidden="false" customHeight="true" outlineLevel="0" collapsed="false">
      <c r="A12" s="1" t="s">
        <v>71</v>
      </c>
      <c r="B12" s="23" t="n">
        <f aca="false">COUNTIFS('Review Tracker'!$N:$N,"🔴 OVERDUE")</f>
        <v>0</v>
      </c>
    </row>
    <row r="13" customFormat="false" ht="15" hidden="false" customHeight="true" outlineLevel="0" collapsed="false">
      <c r="A13" s="1" t="s">
        <v>72</v>
      </c>
      <c r="B13" s="24" t="n">
        <f aca="true">MAX(IF('Review Tracker'!$N:$N="🔴 OVERDUE",TODAY()-'Review Tracker'!$M:$M,0))</f>
        <v>0</v>
      </c>
      <c r="C13" s="25" t="s">
        <v>73</v>
      </c>
    </row>
    <row r="15" customFormat="false" ht="15" hidden="false" customHeight="true" outlineLevel="0" collapsed="false">
      <c r="A15" s="26" t="s">
        <v>74</v>
      </c>
      <c r="B15" s="26"/>
      <c r="C15" s="26"/>
      <c r="D15" s="26"/>
      <c r="E15" s="26"/>
      <c r="F15" s="26"/>
      <c r="G15" s="26"/>
    </row>
    <row r="16" customFormat="false" ht="15" hidden="false" customHeight="true" outlineLevel="0" collapsed="false">
      <c r="A16" s="27" t="s">
        <v>75</v>
      </c>
      <c r="B16" s="27"/>
      <c r="C16" s="27"/>
      <c r="D16" s="27"/>
      <c r="E16" s="27"/>
      <c r="F16" s="27"/>
      <c r="G16" s="27"/>
    </row>
    <row r="17" customFormat="false" ht="15" hidden="false" customHeight="true" outlineLevel="0" collapsed="false">
      <c r="A17" s="27" t="s">
        <v>76</v>
      </c>
      <c r="B17" s="27"/>
      <c r="C17" s="27"/>
      <c r="D17" s="27"/>
      <c r="E17" s="27"/>
      <c r="F17" s="27"/>
      <c r="G17" s="27"/>
    </row>
    <row r="18" customFormat="false" ht="15" hidden="false" customHeight="true" outlineLevel="0" collapsed="false">
      <c r="A18" s="27" t="s">
        <v>77</v>
      </c>
      <c r="B18" s="27"/>
      <c r="C18" s="27"/>
      <c r="D18" s="27"/>
      <c r="E18" s="27"/>
      <c r="F18" s="27"/>
      <c r="G18" s="27"/>
    </row>
    <row r="19" customFormat="false" ht="15" hidden="false" customHeight="true" outlineLevel="0" collapsed="false">
      <c r="A19" s="27" t="s">
        <v>78</v>
      </c>
      <c r="B19" s="27"/>
      <c r="C19" s="27"/>
      <c r="D19" s="27"/>
      <c r="E19" s="27"/>
      <c r="F19" s="27"/>
      <c r="G19" s="27"/>
    </row>
  </sheetData>
  <mergeCells count="12">
    <mergeCell ref="A1:G1"/>
    <mergeCell ref="A2:G2"/>
    <mergeCell ref="A4:G4"/>
    <mergeCell ref="A6:G6"/>
    <mergeCell ref="A7:G7"/>
    <mergeCell ref="A8:G8"/>
    <mergeCell ref="A9:G9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</cols>
  <sheetData>
    <row r="1" customFormat="false" ht="34.5" hidden="false" customHeight="true" outlineLevel="0" collapsed="false">
      <c r="A1" s="28" t="s">
        <v>79</v>
      </c>
      <c r="B1" s="28"/>
      <c r="C1" s="28"/>
      <c r="D1" s="28"/>
    </row>
    <row r="2" customFormat="false" ht="15" hidden="false" customHeight="true" outlineLevel="0" collapsed="false">
      <c r="A2" s="7" t="s">
        <v>28</v>
      </c>
      <c r="B2" s="8" t="n">
        <f aca="true">TODAY()</f>
        <v>46062</v>
      </c>
    </row>
    <row r="4" customFormat="false" ht="24.75" hidden="false" customHeight="true" outlineLevel="0" collapsed="false">
      <c r="A4" s="29" t="s">
        <v>80</v>
      </c>
      <c r="B4" s="29"/>
    </row>
    <row r="5" customFormat="false" ht="17.25" hidden="false" customHeight="true" outlineLevel="0" collapsed="false">
      <c r="A5" s="1" t="s">
        <v>81</v>
      </c>
      <c r="B5" s="23" t="n">
        <f aca="false">COUNTIFS('Review Tracker'!$N:$N,"🔴 OVERDUE")</f>
        <v>0</v>
      </c>
    </row>
    <row r="6" customFormat="false" ht="17.25" hidden="false" customHeight="true" outlineLevel="0" collapsed="false">
      <c r="A6" s="1" t="s">
        <v>82</v>
      </c>
      <c r="B6" s="30" t="n">
        <f aca="false">COUNTIFS('Review Tracker'!$N:$N,"🟡 DUE TODAY")</f>
        <v>0</v>
      </c>
    </row>
    <row r="7" customFormat="false" ht="15" hidden="false" customHeight="true" outlineLevel="0" collapsed="false">
      <c r="A7" s="1" t="s">
        <v>83</v>
      </c>
      <c r="B7" s="31" t="n">
        <f aca="true">COUNTIFS('Review Tracker'!$M:$M,"&gt;"&amp;TODAY(),'Review Tracker'!$M:$M,"&lt;="&amp;TODAY()+7,'Review Tracker'!$N:$N,"🟢 Upcoming")</f>
        <v>0</v>
      </c>
    </row>
    <row r="8" customFormat="false" ht="15" hidden="false" customHeight="true" outlineLevel="0" collapsed="false">
      <c r="A8" s="1" t="s">
        <v>84</v>
      </c>
      <c r="B8" s="32" t="n">
        <f aca="false">COUNTIFS('Review Tracker'!$N:$N,"✅ Complete")</f>
        <v>3</v>
      </c>
    </row>
    <row r="9" customFormat="false" ht="15" hidden="false" customHeight="true" outlineLevel="0" collapsed="false">
      <c r="A9" s="1" t="s">
        <v>85</v>
      </c>
      <c r="B9" s="33" t="n">
        <f aca="false">COUNTA('Review Tracker'!$E:$E)-COUNTBLANK('Review Tracker'!$E:$E)-1</f>
        <v>-1048569</v>
      </c>
    </row>
    <row r="11" customFormat="false" ht="15.75" hidden="false" customHeight="true" outlineLevel="0" collapsed="false">
      <c r="A11" s="34" t="s">
        <v>86</v>
      </c>
      <c r="B11" s="34"/>
      <c r="C11" s="34"/>
      <c r="D11" s="34"/>
    </row>
    <row r="12" customFormat="false" ht="21.75" hidden="false" customHeight="true" outlineLevel="0" collapsed="false">
      <c r="A12" s="35" t="s">
        <v>87</v>
      </c>
      <c r="B12" s="35"/>
      <c r="C12" s="35"/>
      <c r="D12" s="35"/>
    </row>
    <row r="13" customFormat="false" ht="21.75" hidden="false" customHeight="true" outlineLevel="0" collapsed="false">
      <c r="A13" s="35" t="s">
        <v>88</v>
      </c>
      <c r="B13" s="35"/>
      <c r="C13" s="35"/>
      <c r="D13" s="35"/>
    </row>
    <row r="14" customFormat="false" ht="21.75" hidden="false" customHeight="true" outlineLevel="0" collapsed="false">
      <c r="A14" s="35" t="s">
        <v>89</v>
      </c>
      <c r="B14" s="35"/>
      <c r="C14" s="35"/>
      <c r="D14" s="35"/>
    </row>
    <row r="15" customFormat="false" ht="21.75" hidden="false" customHeight="true" outlineLevel="0" collapsed="false">
      <c r="A15" s="35" t="s">
        <v>90</v>
      </c>
      <c r="B15" s="35"/>
      <c r="C15" s="35"/>
      <c r="D15" s="35"/>
    </row>
    <row r="16" customFormat="false" ht="21.75" hidden="false" customHeight="true" outlineLevel="0" collapsed="false">
      <c r="A16" s="35" t="s">
        <v>91</v>
      </c>
      <c r="B16" s="35"/>
      <c r="C16" s="35"/>
      <c r="D16" s="35"/>
    </row>
    <row r="17" customFormat="false" ht="21.75" hidden="false" customHeight="true" outlineLevel="0" collapsed="false">
      <c r="A17" s="35" t="s">
        <v>92</v>
      </c>
      <c r="B17" s="35"/>
      <c r="C17" s="35"/>
      <c r="D17" s="35"/>
    </row>
    <row r="19" customFormat="false" ht="15.75" hidden="false" customHeight="true" outlineLevel="0" collapsed="false">
      <c r="A19" s="34" t="s">
        <v>93</v>
      </c>
      <c r="B19" s="34"/>
      <c r="C19" s="34"/>
      <c r="D19" s="34"/>
    </row>
    <row r="20" customFormat="false" ht="19.5" hidden="false" customHeight="true" outlineLevel="0" collapsed="false">
      <c r="A20" s="36" t="s">
        <v>94</v>
      </c>
      <c r="B20" s="36"/>
      <c r="C20" s="36"/>
      <c r="D20" s="36"/>
    </row>
    <row r="21" customFormat="false" ht="19.5" hidden="false" customHeight="true" outlineLevel="0" collapsed="false">
      <c r="A21" s="36" t="s">
        <v>95</v>
      </c>
      <c r="B21" s="36"/>
      <c r="C21" s="36"/>
      <c r="D21" s="36"/>
    </row>
    <row r="22" customFormat="false" ht="19.5" hidden="false" customHeight="true" outlineLevel="0" collapsed="false">
      <c r="A22" s="36" t="s">
        <v>96</v>
      </c>
      <c r="B22" s="36"/>
      <c r="C22" s="36"/>
      <c r="D22" s="36"/>
    </row>
    <row r="23" customFormat="false" ht="19.5" hidden="false" customHeight="true" outlineLevel="0" collapsed="false">
      <c r="A23" s="36" t="s">
        <v>97</v>
      </c>
      <c r="B23" s="36"/>
      <c r="C23" s="36"/>
      <c r="D23" s="36"/>
    </row>
    <row r="24" customFormat="false" ht="19.5" hidden="false" customHeight="true" outlineLevel="0" collapsed="false">
      <c r="A24" s="36" t="s">
        <v>98</v>
      </c>
      <c r="B24" s="36"/>
      <c r="C24" s="36"/>
      <c r="D24" s="36"/>
    </row>
  </sheetData>
  <mergeCells count="15">
    <mergeCell ref="A1:D1"/>
    <mergeCell ref="A4:B4"/>
    <mergeCell ref="A11:D11"/>
    <mergeCell ref="A12:D12"/>
    <mergeCell ref="A13:D13"/>
    <mergeCell ref="A14:D14"/>
    <mergeCell ref="A15:D15"/>
    <mergeCell ref="A16:D16"/>
    <mergeCell ref="A17:D17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25"/>
    <col collapsed="false" customWidth="true" hidden="false" outlineLevel="0" max="4" min="4" style="1" width="35"/>
  </cols>
  <sheetData>
    <row r="1" customFormat="false" ht="24.75" hidden="false" customHeight="true" outlineLevel="0" collapsed="false">
      <c r="A1" s="29" t="s">
        <v>99</v>
      </c>
      <c r="B1" s="29"/>
      <c r="C1" s="29"/>
      <c r="D1" s="29"/>
    </row>
    <row r="3" customFormat="false" ht="15" hidden="false" customHeight="true" outlineLevel="0" collapsed="false">
      <c r="A3" s="33" t="s">
        <v>100</v>
      </c>
    </row>
    <row r="4" customFormat="false" ht="15" hidden="false" customHeight="true" outlineLevel="0" collapsed="false">
      <c r="A4" s="37" t="s">
        <v>101</v>
      </c>
      <c r="B4" s="37" t="s">
        <v>102</v>
      </c>
      <c r="C4" s="37" t="s">
        <v>103</v>
      </c>
      <c r="D4" s="37" t="s">
        <v>104</v>
      </c>
    </row>
    <row r="5" customFormat="false" ht="15" hidden="false" customHeight="true" outlineLevel="0" collapsed="false">
      <c r="A5" s="1" t="s">
        <v>105</v>
      </c>
      <c r="B5" s="1" t="s">
        <v>106</v>
      </c>
      <c r="C5" s="1" t="s">
        <v>107</v>
      </c>
      <c r="D5" s="1" t="s">
        <v>108</v>
      </c>
    </row>
    <row r="6" customFormat="false" ht="15" hidden="false" customHeight="true" outlineLevel="0" collapsed="false">
      <c r="A6" s="1" t="s">
        <v>109</v>
      </c>
      <c r="B6" s="1" t="s">
        <v>106</v>
      </c>
      <c r="C6" s="1" t="s">
        <v>110</v>
      </c>
      <c r="D6" s="1" t="s">
        <v>111</v>
      </c>
    </row>
    <row r="7" customFormat="false" ht="15" hidden="false" customHeight="true" outlineLevel="0" collapsed="false">
      <c r="A7" s="1" t="s">
        <v>112</v>
      </c>
      <c r="B7" s="1" t="s">
        <v>106</v>
      </c>
      <c r="C7" s="1" t="s">
        <v>113</v>
      </c>
      <c r="D7" s="1" t="s">
        <v>114</v>
      </c>
    </row>
    <row r="8" customFormat="false" ht="15" hidden="false" customHeight="true" outlineLevel="0" collapsed="false">
      <c r="A8" s="1" t="s">
        <v>115</v>
      </c>
      <c r="B8" s="1" t="s">
        <v>106</v>
      </c>
      <c r="C8" s="1" t="s">
        <v>116</v>
      </c>
      <c r="D8" s="1" t="s">
        <v>117</v>
      </c>
    </row>
    <row r="11" customFormat="false" ht="15" hidden="false" customHeight="true" outlineLevel="0" collapsed="false">
      <c r="A11" s="38" t="s">
        <v>118</v>
      </c>
    </row>
    <row r="12" customFormat="false" ht="19.5" hidden="false" customHeight="true" outlineLevel="0" collapsed="false">
      <c r="A12" s="21" t="s">
        <v>119</v>
      </c>
      <c r="B12" s="21"/>
      <c r="C12" s="21"/>
      <c r="D12" s="21"/>
    </row>
    <row r="13" customFormat="false" ht="19.5" hidden="false" customHeight="true" outlineLevel="0" collapsed="false">
      <c r="A13" s="21" t="s">
        <v>120</v>
      </c>
      <c r="B13" s="21"/>
      <c r="C13" s="21"/>
      <c r="D13" s="21"/>
    </row>
    <row r="14" customFormat="false" ht="19.5" hidden="false" customHeight="true" outlineLevel="0" collapsed="false">
      <c r="A14" s="21" t="s">
        <v>121</v>
      </c>
      <c r="B14" s="21"/>
      <c r="C14" s="21"/>
      <c r="D14" s="21"/>
    </row>
    <row r="15" customFormat="false" ht="19.5" hidden="false" customHeight="true" outlineLevel="0" collapsed="false">
      <c r="A15" s="21" t="s">
        <v>122</v>
      </c>
      <c r="B15" s="21"/>
      <c r="C15" s="21"/>
      <c r="D15" s="21"/>
    </row>
    <row r="16" customFormat="false" ht="19.5" hidden="false" customHeight="true" outlineLevel="0" collapsed="false">
      <c r="A16" s="21" t="s">
        <v>123</v>
      </c>
      <c r="B16" s="21"/>
      <c r="C16" s="21"/>
      <c r="D16" s="21"/>
    </row>
    <row r="17" customFormat="false" ht="19.5" hidden="false" customHeight="true" outlineLevel="0" collapsed="false">
      <c r="A17" s="21" t="s">
        <v>124</v>
      </c>
      <c r="B17" s="21"/>
      <c r="C17" s="21"/>
      <c r="D17" s="21"/>
    </row>
    <row r="18" customFormat="false" ht="19.5" hidden="false" customHeight="true" outlineLevel="0" collapsed="false">
      <c r="A18" s="21" t="s">
        <v>125</v>
      </c>
      <c r="B18" s="21"/>
      <c r="C18" s="21"/>
      <c r="D18" s="21"/>
    </row>
  </sheetData>
  <mergeCells count="8">
    <mergeCell ref="A1:D1"/>
    <mergeCell ref="A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2026-02-09T15:38:58Z</dcterms:created>
  <dc:creator>openpyxl</dc:creator>
  <dc:description/>
  <dc:language>en-US</dc:language>
  <cp:lastModifiedBy/>
  <dcterms:modified xsi:type="dcterms:W3CDTF">2026-02-09T15:40:15Z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