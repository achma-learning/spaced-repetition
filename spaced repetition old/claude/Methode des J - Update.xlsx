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tool_data\New folder\"/>
    </mc:Choice>
  </mc:AlternateContent>
  <xr:revisionPtr revIDLastSave="0" documentId="13_ncr:1_{17F7A789-4785-4BB8-9AB9-A078EA80E021}" xr6:coauthVersionLast="45" xr6:coauthVersionMax="47" xr10:uidLastSave="{00000000-0000-0000-0000-000000000000}"/>
  <bookViews>
    <workbookView xWindow="-110" yWindow="490" windowWidth="19420" windowHeight="11620" xr2:uid="{00000000-000D-0000-FFFF-FFFF00000000}"/>
  </bookViews>
  <sheets>
    <sheet name="s8" sheetId="4" r:id="rId1"/>
    <sheet name="Robin version" sheetId="1" r:id="rId2"/>
    <sheet name="Exemple de Ilona (onemorebookwo" sheetId="2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6" roundtripDataSignature="AMtx7mi78LBOS+5vvc+yAIV9n/K63c0/tg=="/>
    </ext>
  </extLst>
</workbook>
</file>

<file path=xl/calcChain.xml><?xml version="1.0" encoding="utf-8"?>
<calcChain xmlns="http://schemas.openxmlformats.org/spreadsheetml/2006/main">
  <c r="M119" i="4" l="1"/>
  <c r="L119" i="4"/>
  <c r="K119" i="4"/>
  <c r="J119" i="4"/>
  <c r="I119" i="4"/>
  <c r="H119" i="4"/>
  <c r="G119" i="4"/>
  <c r="F119" i="4"/>
  <c r="E119" i="4"/>
  <c r="M118" i="4"/>
  <c r="L118" i="4"/>
  <c r="K118" i="4"/>
  <c r="J118" i="4"/>
  <c r="I118" i="4"/>
  <c r="H118" i="4"/>
  <c r="G118" i="4"/>
  <c r="F118" i="4"/>
  <c r="E118" i="4"/>
  <c r="M117" i="4"/>
  <c r="L117" i="4"/>
  <c r="K117" i="4"/>
  <c r="J117" i="4"/>
  <c r="I117" i="4"/>
  <c r="H117" i="4"/>
  <c r="G117" i="4"/>
  <c r="F117" i="4"/>
  <c r="E117" i="4"/>
  <c r="M116" i="4"/>
  <c r="L116" i="4"/>
  <c r="K116" i="4"/>
  <c r="J116" i="4"/>
  <c r="I116" i="4"/>
  <c r="H116" i="4"/>
  <c r="G116" i="4"/>
  <c r="F116" i="4"/>
  <c r="E116" i="4"/>
  <c r="M115" i="4"/>
  <c r="L115" i="4"/>
  <c r="K115" i="4"/>
  <c r="J115" i="4"/>
  <c r="I115" i="4"/>
  <c r="H115" i="4"/>
  <c r="G115" i="4"/>
  <c r="F115" i="4"/>
  <c r="E115" i="4"/>
  <c r="M114" i="4"/>
  <c r="L114" i="4"/>
  <c r="K114" i="4"/>
  <c r="J114" i="4"/>
  <c r="I114" i="4"/>
  <c r="H114" i="4"/>
  <c r="G114" i="4"/>
  <c r="F114" i="4"/>
  <c r="E114" i="4"/>
  <c r="M113" i="4"/>
  <c r="L113" i="4"/>
  <c r="K113" i="4"/>
  <c r="J113" i="4"/>
  <c r="I113" i="4"/>
  <c r="H113" i="4"/>
  <c r="G113" i="4"/>
  <c r="F113" i="4"/>
  <c r="E113" i="4"/>
  <c r="M112" i="4"/>
  <c r="L112" i="4"/>
  <c r="K112" i="4"/>
  <c r="J112" i="4"/>
  <c r="I112" i="4"/>
  <c r="H112" i="4"/>
  <c r="G112" i="4"/>
  <c r="F112" i="4"/>
  <c r="E112" i="4"/>
  <c r="M111" i="4"/>
  <c r="L111" i="4"/>
  <c r="K111" i="4"/>
  <c r="J111" i="4"/>
  <c r="I111" i="4"/>
  <c r="H111" i="4"/>
  <c r="G111" i="4"/>
  <c r="F111" i="4"/>
  <c r="E111" i="4"/>
  <c r="M110" i="4"/>
  <c r="L110" i="4"/>
  <c r="K110" i="4"/>
  <c r="J110" i="4"/>
  <c r="I110" i="4"/>
  <c r="H110" i="4"/>
  <c r="G110" i="4"/>
  <c r="F110" i="4"/>
  <c r="E110" i="4"/>
  <c r="M109" i="4"/>
  <c r="L109" i="4"/>
  <c r="K109" i="4"/>
  <c r="J109" i="4"/>
  <c r="I109" i="4"/>
  <c r="H109" i="4"/>
  <c r="G109" i="4"/>
  <c r="F109" i="4"/>
  <c r="E109" i="4"/>
  <c r="M108" i="4"/>
  <c r="L108" i="4"/>
  <c r="K108" i="4"/>
  <c r="J108" i="4"/>
  <c r="I108" i="4"/>
  <c r="H108" i="4"/>
  <c r="G108" i="4"/>
  <c r="F108" i="4"/>
  <c r="E108" i="4"/>
  <c r="M106" i="4"/>
  <c r="L106" i="4"/>
  <c r="K106" i="4"/>
  <c r="J106" i="4"/>
  <c r="I106" i="4"/>
  <c r="H106" i="4"/>
  <c r="G106" i="4"/>
  <c r="F106" i="4"/>
  <c r="E106" i="4"/>
  <c r="M105" i="4"/>
  <c r="L105" i="4"/>
  <c r="K105" i="4"/>
  <c r="J105" i="4"/>
  <c r="I105" i="4"/>
  <c r="H105" i="4"/>
  <c r="G105" i="4"/>
  <c r="F105" i="4"/>
  <c r="E105" i="4"/>
  <c r="M104" i="4"/>
  <c r="L104" i="4"/>
  <c r="K104" i="4"/>
  <c r="J104" i="4"/>
  <c r="I104" i="4"/>
  <c r="H104" i="4"/>
  <c r="G104" i="4"/>
  <c r="F104" i="4"/>
  <c r="E104" i="4"/>
  <c r="M103" i="4"/>
  <c r="L103" i="4"/>
  <c r="K103" i="4"/>
  <c r="J103" i="4"/>
  <c r="I103" i="4"/>
  <c r="H103" i="4"/>
  <c r="G103" i="4"/>
  <c r="F103" i="4"/>
  <c r="E103" i="4"/>
  <c r="M102" i="4"/>
  <c r="L102" i="4"/>
  <c r="K102" i="4"/>
  <c r="J102" i="4"/>
  <c r="I102" i="4"/>
  <c r="H102" i="4"/>
  <c r="G102" i="4"/>
  <c r="F102" i="4"/>
  <c r="E102" i="4"/>
  <c r="M101" i="4"/>
  <c r="L101" i="4"/>
  <c r="K101" i="4"/>
  <c r="J101" i="4"/>
  <c r="I101" i="4"/>
  <c r="H101" i="4"/>
  <c r="G101" i="4"/>
  <c r="F101" i="4"/>
  <c r="E101" i="4"/>
  <c r="M100" i="4"/>
  <c r="L100" i="4"/>
  <c r="K100" i="4"/>
  <c r="J100" i="4"/>
  <c r="I100" i="4"/>
  <c r="H100" i="4"/>
  <c r="G100" i="4"/>
  <c r="F100" i="4"/>
  <c r="E100" i="4"/>
  <c r="M99" i="4"/>
  <c r="L99" i="4"/>
  <c r="K99" i="4"/>
  <c r="J99" i="4"/>
  <c r="I99" i="4"/>
  <c r="H99" i="4"/>
  <c r="G99" i="4"/>
  <c r="F99" i="4"/>
  <c r="E99" i="4"/>
  <c r="M98" i="4"/>
  <c r="L98" i="4"/>
  <c r="K98" i="4"/>
  <c r="J98" i="4"/>
  <c r="I98" i="4"/>
  <c r="H98" i="4"/>
  <c r="G98" i="4"/>
  <c r="F98" i="4"/>
  <c r="E98" i="4"/>
  <c r="M97" i="4"/>
  <c r="L97" i="4"/>
  <c r="K97" i="4"/>
  <c r="J97" i="4"/>
  <c r="I97" i="4"/>
  <c r="H97" i="4"/>
  <c r="G97" i="4"/>
  <c r="F97" i="4"/>
  <c r="E97" i="4"/>
  <c r="M96" i="4"/>
  <c r="L96" i="4"/>
  <c r="K96" i="4"/>
  <c r="J96" i="4"/>
  <c r="I96" i="4"/>
  <c r="H96" i="4"/>
  <c r="G96" i="4"/>
  <c r="F96" i="4"/>
  <c r="E96" i="4"/>
  <c r="M95" i="4"/>
  <c r="L95" i="4"/>
  <c r="K95" i="4"/>
  <c r="J95" i="4"/>
  <c r="I95" i="4"/>
  <c r="H95" i="4"/>
  <c r="G95" i="4"/>
  <c r="F95" i="4"/>
  <c r="E95" i="4"/>
  <c r="M94" i="4"/>
  <c r="L94" i="4"/>
  <c r="K94" i="4"/>
  <c r="J94" i="4"/>
  <c r="I94" i="4"/>
  <c r="H94" i="4"/>
  <c r="G94" i="4"/>
  <c r="F94" i="4"/>
  <c r="E94" i="4"/>
  <c r="M93" i="4"/>
  <c r="L93" i="4"/>
  <c r="K93" i="4"/>
  <c r="J93" i="4"/>
  <c r="I93" i="4"/>
  <c r="H93" i="4"/>
  <c r="G93" i="4"/>
  <c r="F93" i="4"/>
  <c r="E93" i="4"/>
  <c r="M92" i="4"/>
  <c r="L92" i="4"/>
  <c r="K92" i="4"/>
  <c r="J92" i="4"/>
  <c r="I92" i="4"/>
  <c r="H92" i="4"/>
  <c r="G92" i="4"/>
  <c r="F92" i="4"/>
  <c r="E92" i="4"/>
  <c r="M91" i="4"/>
  <c r="L91" i="4"/>
  <c r="K91" i="4"/>
  <c r="J91" i="4"/>
  <c r="I91" i="4"/>
  <c r="H91" i="4"/>
  <c r="G91" i="4"/>
  <c r="F91" i="4"/>
  <c r="E91" i="4"/>
  <c r="M90" i="4"/>
  <c r="L90" i="4"/>
  <c r="K90" i="4"/>
  <c r="J90" i="4"/>
  <c r="I90" i="4"/>
  <c r="H90" i="4"/>
  <c r="G90" i="4"/>
  <c r="F90" i="4"/>
  <c r="E90" i="4"/>
  <c r="M89" i="4"/>
  <c r="L89" i="4"/>
  <c r="K89" i="4"/>
  <c r="J89" i="4"/>
  <c r="I89" i="4"/>
  <c r="H89" i="4"/>
  <c r="G89" i="4"/>
  <c r="F89" i="4"/>
  <c r="E89" i="4"/>
  <c r="M88" i="4"/>
  <c r="L88" i="4"/>
  <c r="K88" i="4"/>
  <c r="J88" i="4"/>
  <c r="I88" i="4"/>
  <c r="H88" i="4"/>
  <c r="G88" i="4"/>
  <c r="F88" i="4"/>
  <c r="E88" i="4"/>
  <c r="M87" i="4"/>
  <c r="L87" i="4"/>
  <c r="K87" i="4"/>
  <c r="J87" i="4"/>
  <c r="I87" i="4"/>
  <c r="H87" i="4"/>
  <c r="G87" i="4"/>
  <c r="F87" i="4"/>
  <c r="E87" i="4"/>
  <c r="M86" i="4"/>
  <c r="L86" i="4"/>
  <c r="K86" i="4"/>
  <c r="J86" i="4"/>
  <c r="I86" i="4"/>
  <c r="H86" i="4"/>
  <c r="G86" i="4"/>
  <c r="F86" i="4"/>
  <c r="E86" i="4"/>
  <c r="M85" i="4"/>
  <c r="L85" i="4"/>
  <c r="K85" i="4"/>
  <c r="J85" i="4"/>
  <c r="I85" i="4"/>
  <c r="H85" i="4"/>
  <c r="G85" i="4"/>
  <c r="F85" i="4"/>
  <c r="E85" i="4"/>
  <c r="M84" i="4"/>
  <c r="L84" i="4"/>
  <c r="K84" i="4"/>
  <c r="J84" i="4"/>
  <c r="I84" i="4"/>
  <c r="H84" i="4"/>
  <c r="G84" i="4"/>
  <c r="F84" i="4"/>
  <c r="E84" i="4"/>
  <c r="M83" i="4"/>
  <c r="L83" i="4"/>
  <c r="K83" i="4"/>
  <c r="J83" i="4"/>
  <c r="I83" i="4"/>
  <c r="H83" i="4"/>
  <c r="G83" i="4"/>
  <c r="F83" i="4"/>
  <c r="E83" i="4"/>
  <c r="M82" i="4"/>
  <c r="L82" i="4"/>
  <c r="K82" i="4"/>
  <c r="J82" i="4"/>
  <c r="I82" i="4"/>
  <c r="H82" i="4"/>
  <c r="G82" i="4"/>
  <c r="F82" i="4"/>
  <c r="E82" i="4"/>
  <c r="M81" i="4"/>
  <c r="L81" i="4"/>
  <c r="K81" i="4"/>
  <c r="J81" i="4"/>
  <c r="I81" i="4"/>
  <c r="H81" i="4"/>
  <c r="G81" i="4"/>
  <c r="F81" i="4"/>
  <c r="E81" i="4"/>
  <c r="M80" i="4"/>
  <c r="L80" i="4"/>
  <c r="K80" i="4"/>
  <c r="J80" i="4"/>
  <c r="I80" i="4"/>
  <c r="H80" i="4"/>
  <c r="G80" i="4"/>
  <c r="F80" i="4"/>
  <c r="E80" i="4"/>
  <c r="M79" i="4"/>
  <c r="L79" i="4"/>
  <c r="K79" i="4"/>
  <c r="J79" i="4"/>
  <c r="I79" i="4"/>
  <c r="H79" i="4"/>
  <c r="G79" i="4"/>
  <c r="F79" i="4"/>
  <c r="E79" i="4"/>
  <c r="M78" i="4"/>
  <c r="L78" i="4"/>
  <c r="K78" i="4"/>
  <c r="J78" i="4"/>
  <c r="I78" i="4"/>
  <c r="H78" i="4"/>
  <c r="G78" i="4"/>
  <c r="F78" i="4"/>
  <c r="E78" i="4"/>
  <c r="M77" i="4"/>
  <c r="L77" i="4"/>
  <c r="K77" i="4"/>
  <c r="J77" i="4"/>
  <c r="I77" i="4"/>
  <c r="H77" i="4"/>
  <c r="G77" i="4"/>
  <c r="F77" i="4"/>
  <c r="E77" i="4"/>
  <c r="M76" i="4"/>
  <c r="L76" i="4"/>
  <c r="K76" i="4"/>
  <c r="J76" i="4"/>
  <c r="I76" i="4"/>
  <c r="H76" i="4"/>
  <c r="G76" i="4"/>
  <c r="F76" i="4"/>
  <c r="E76" i="4"/>
  <c r="M75" i="4"/>
  <c r="L75" i="4"/>
  <c r="K75" i="4"/>
  <c r="J75" i="4"/>
  <c r="I75" i="4"/>
  <c r="H75" i="4"/>
  <c r="G75" i="4"/>
  <c r="F75" i="4"/>
  <c r="E75" i="4"/>
  <c r="M74" i="4"/>
  <c r="L74" i="4"/>
  <c r="K74" i="4"/>
  <c r="J74" i="4"/>
  <c r="I74" i="4"/>
  <c r="H74" i="4"/>
  <c r="G74" i="4"/>
  <c r="F74" i="4"/>
  <c r="E74" i="4"/>
  <c r="M73" i="4"/>
  <c r="L73" i="4"/>
  <c r="K73" i="4"/>
  <c r="J73" i="4"/>
  <c r="I73" i="4"/>
  <c r="H73" i="4"/>
  <c r="G73" i="4"/>
  <c r="F73" i="4"/>
  <c r="E73" i="4"/>
  <c r="M71" i="4"/>
  <c r="L71" i="4"/>
  <c r="K71" i="4"/>
  <c r="J71" i="4"/>
  <c r="I71" i="4"/>
  <c r="H71" i="4"/>
  <c r="G71" i="4"/>
  <c r="F71" i="4"/>
  <c r="E71" i="4"/>
  <c r="M70" i="4"/>
  <c r="L70" i="4"/>
  <c r="K70" i="4"/>
  <c r="J70" i="4"/>
  <c r="I70" i="4"/>
  <c r="H70" i="4"/>
  <c r="G70" i="4"/>
  <c r="F70" i="4"/>
  <c r="E70" i="4"/>
  <c r="M69" i="4"/>
  <c r="L69" i="4"/>
  <c r="K69" i="4"/>
  <c r="J69" i="4"/>
  <c r="I69" i="4"/>
  <c r="H69" i="4"/>
  <c r="G69" i="4"/>
  <c r="F69" i="4"/>
  <c r="E69" i="4"/>
  <c r="M68" i="4"/>
  <c r="L68" i="4"/>
  <c r="K68" i="4"/>
  <c r="J68" i="4"/>
  <c r="I68" i="4"/>
  <c r="H68" i="4"/>
  <c r="G68" i="4"/>
  <c r="F68" i="4"/>
  <c r="E68" i="4"/>
  <c r="M67" i="4"/>
  <c r="L67" i="4"/>
  <c r="K67" i="4"/>
  <c r="J67" i="4"/>
  <c r="I67" i="4"/>
  <c r="H67" i="4"/>
  <c r="G67" i="4"/>
  <c r="F67" i="4"/>
  <c r="E67" i="4"/>
  <c r="M66" i="4"/>
  <c r="L66" i="4"/>
  <c r="K66" i="4"/>
  <c r="J66" i="4"/>
  <c r="I66" i="4"/>
  <c r="H66" i="4"/>
  <c r="G66" i="4"/>
  <c r="F66" i="4"/>
  <c r="E66" i="4"/>
  <c r="M65" i="4"/>
  <c r="L65" i="4"/>
  <c r="K65" i="4"/>
  <c r="J65" i="4"/>
  <c r="I65" i="4"/>
  <c r="H65" i="4"/>
  <c r="G65" i="4"/>
  <c r="F65" i="4"/>
  <c r="E65" i="4"/>
  <c r="M64" i="4"/>
  <c r="L64" i="4"/>
  <c r="K64" i="4"/>
  <c r="J64" i="4"/>
  <c r="I64" i="4"/>
  <c r="H64" i="4"/>
  <c r="G64" i="4"/>
  <c r="F64" i="4"/>
  <c r="E64" i="4"/>
  <c r="M63" i="4"/>
  <c r="L63" i="4"/>
  <c r="K63" i="4"/>
  <c r="J63" i="4"/>
  <c r="I63" i="4"/>
  <c r="H63" i="4"/>
  <c r="G63" i="4"/>
  <c r="F63" i="4"/>
  <c r="E63" i="4"/>
  <c r="M62" i="4"/>
  <c r="L62" i="4"/>
  <c r="K62" i="4"/>
  <c r="J62" i="4"/>
  <c r="I62" i="4"/>
  <c r="H62" i="4"/>
  <c r="G62" i="4"/>
  <c r="F62" i="4"/>
  <c r="E62" i="4"/>
  <c r="M61" i="4"/>
  <c r="L61" i="4"/>
  <c r="K61" i="4"/>
  <c r="J61" i="4"/>
  <c r="I61" i="4"/>
  <c r="H61" i="4"/>
  <c r="G61" i="4"/>
  <c r="F61" i="4"/>
  <c r="E61" i="4"/>
  <c r="M60" i="4"/>
  <c r="L60" i="4"/>
  <c r="K60" i="4"/>
  <c r="J60" i="4"/>
  <c r="I60" i="4"/>
  <c r="H60" i="4"/>
  <c r="G60" i="4"/>
  <c r="F60" i="4"/>
  <c r="E60" i="4"/>
  <c r="M59" i="4"/>
  <c r="L59" i="4"/>
  <c r="K59" i="4"/>
  <c r="J59" i="4"/>
  <c r="I59" i="4"/>
  <c r="H59" i="4"/>
  <c r="G59" i="4"/>
  <c r="F59" i="4"/>
  <c r="E59" i="4"/>
  <c r="M58" i="4"/>
  <c r="L58" i="4"/>
  <c r="K58" i="4"/>
  <c r="J58" i="4"/>
  <c r="I58" i="4"/>
  <c r="H58" i="4"/>
  <c r="G58" i="4"/>
  <c r="F58" i="4"/>
  <c r="E58" i="4"/>
  <c r="M57" i="4"/>
  <c r="L57" i="4"/>
  <c r="K57" i="4"/>
  <c r="J57" i="4"/>
  <c r="I57" i="4"/>
  <c r="H57" i="4"/>
  <c r="G57" i="4"/>
  <c r="F57" i="4"/>
  <c r="E57" i="4"/>
  <c r="M56" i="4"/>
  <c r="L56" i="4"/>
  <c r="K56" i="4"/>
  <c r="J56" i="4"/>
  <c r="I56" i="4"/>
  <c r="H56" i="4"/>
  <c r="G56" i="4"/>
  <c r="F56" i="4"/>
  <c r="E56" i="4"/>
  <c r="M55" i="4"/>
  <c r="L55" i="4"/>
  <c r="K55" i="4"/>
  <c r="J55" i="4"/>
  <c r="I55" i="4"/>
  <c r="H55" i="4"/>
  <c r="G55" i="4"/>
  <c r="F55" i="4"/>
  <c r="E55" i="4"/>
  <c r="M54" i="4"/>
  <c r="L54" i="4"/>
  <c r="K54" i="4"/>
  <c r="J54" i="4"/>
  <c r="I54" i="4"/>
  <c r="H54" i="4"/>
  <c r="G54" i="4"/>
  <c r="F54" i="4"/>
  <c r="E54" i="4"/>
  <c r="M53" i="4"/>
  <c r="L53" i="4"/>
  <c r="K53" i="4"/>
  <c r="J53" i="4"/>
  <c r="I53" i="4"/>
  <c r="H53" i="4"/>
  <c r="G53" i="4"/>
  <c r="F53" i="4"/>
  <c r="E53" i="4"/>
  <c r="M52" i="4"/>
  <c r="L52" i="4"/>
  <c r="K52" i="4"/>
  <c r="J52" i="4"/>
  <c r="I52" i="4"/>
  <c r="H52" i="4"/>
  <c r="G52" i="4"/>
  <c r="F52" i="4"/>
  <c r="E52" i="4"/>
  <c r="M51" i="4"/>
  <c r="L51" i="4"/>
  <c r="K51" i="4"/>
  <c r="J51" i="4"/>
  <c r="I51" i="4"/>
  <c r="H51" i="4"/>
  <c r="G51" i="4"/>
  <c r="F51" i="4"/>
  <c r="E51" i="4"/>
  <c r="M50" i="4"/>
  <c r="L50" i="4"/>
  <c r="K50" i="4"/>
  <c r="J50" i="4"/>
  <c r="I50" i="4"/>
  <c r="H50" i="4"/>
  <c r="G50" i="4"/>
  <c r="F50" i="4"/>
  <c r="E50" i="4"/>
  <c r="M49" i="4"/>
  <c r="L49" i="4"/>
  <c r="K49" i="4"/>
  <c r="J49" i="4"/>
  <c r="I49" i="4"/>
  <c r="H49" i="4"/>
  <c r="G49" i="4"/>
  <c r="F49" i="4"/>
  <c r="E49" i="4"/>
  <c r="M48" i="4"/>
  <c r="L48" i="4"/>
  <c r="K48" i="4"/>
  <c r="J48" i="4"/>
  <c r="I48" i="4"/>
  <c r="H48" i="4"/>
  <c r="G48" i="4"/>
  <c r="F48" i="4"/>
  <c r="E48" i="4"/>
  <c r="M47" i="4"/>
  <c r="L47" i="4"/>
  <c r="K47" i="4"/>
  <c r="J47" i="4"/>
  <c r="I47" i="4"/>
  <c r="H47" i="4"/>
  <c r="G47" i="4"/>
  <c r="F47" i="4"/>
  <c r="E47" i="4"/>
  <c r="M45" i="4"/>
  <c r="L45" i="4"/>
  <c r="K45" i="4"/>
  <c r="J45" i="4"/>
  <c r="I45" i="4"/>
  <c r="H45" i="4"/>
  <c r="G45" i="4"/>
  <c r="F45" i="4"/>
  <c r="E45" i="4"/>
  <c r="M44" i="4"/>
  <c r="L44" i="4"/>
  <c r="K44" i="4"/>
  <c r="J44" i="4"/>
  <c r="I44" i="4"/>
  <c r="H44" i="4"/>
  <c r="G44" i="4"/>
  <c r="F44" i="4"/>
  <c r="E44" i="4"/>
  <c r="M43" i="4"/>
  <c r="L43" i="4"/>
  <c r="K43" i="4"/>
  <c r="J43" i="4"/>
  <c r="I43" i="4"/>
  <c r="H43" i="4"/>
  <c r="G43" i="4"/>
  <c r="F43" i="4"/>
  <c r="E43" i="4"/>
  <c r="M42" i="4"/>
  <c r="L42" i="4"/>
  <c r="K42" i="4"/>
  <c r="J42" i="4"/>
  <c r="I42" i="4"/>
  <c r="H42" i="4"/>
  <c r="G42" i="4"/>
  <c r="F42" i="4"/>
  <c r="E42" i="4"/>
  <c r="M41" i="4"/>
  <c r="L41" i="4"/>
  <c r="K41" i="4"/>
  <c r="J41" i="4"/>
  <c r="I41" i="4"/>
  <c r="H41" i="4"/>
  <c r="G41" i="4"/>
  <c r="F41" i="4"/>
  <c r="E41" i="4"/>
  <c r="M40" i="4"/>
  <c r="L40" i="4"/>
  <c r="K40" i="4"/>
  <c r="J40" i="4"/>
  <c r="I40" i="4"/>
  <c r="H40" i="4"/>
  <c r="G40" i="4"/>
  <c r="F40" i="4"/>
  <c r="E40" i="4"/>
  <c r="M39" i="4"/>
  <c r="L39" i="4"/>
  <c r="K39" i="4"/>
  <c r="J39" i="4"/>
  <c r="I39" i="4"/>
  <c r="H39" i="4"/>
  <c r="G39" i="4"/>
  <c r="F39" i="4"/>
  <c r="E39" i="4"/>
  <c r="M38" i="4"/>
  <c r="L38" i="4"/>
  <c r="K38" i="4"/>
  <c r="J38" i="4"/>
  <c r="I38" i="4"/>
  <c r="H38" i="4"/>
  <c r="G38" i="4"/>
  <c r="F38" i="4"/>
  <c r="E38" i="4"/>
  <c r="M37" i="4"/>
  <c r="L37" i="4"/>
  <c r="K37" i="4"/>
  <c r="J37" i="4"/>
  <c r="I37" i="4"/>
  <c r="H37" i="4"/>
  <c r="G37" i="4"/>
  <c r="F37" i="4"/>
  <c r="E37" i="4"/>
  <c r="M36" i="4"/>
  <c r="L36" i="4"/>
  <c r="K36" i="4"/>
  <c r="J36" i="4"/>
  <c r="I36" i="4"/>
  <c r="H36" i="4"/>
  <c r="G36" i="4"/>
  <c r="F36" i="4"/>
  <c r="E36" i="4"/>
  <c r="M35" i="4"/>
  <c r="L35" i="4"/>
  <c r="K35" i="4"/>
  <c r="J35" i="4"/>
  <c r="I35" i="4"/>
  <c r="H35" i="4"/>
  <c r="G35" i="4"/>
  <c r="F35" i="4"/>
  <c r="E35" i="4"/>
  <c r="M34" i="4"/>
  <c r="L34" i="4"/>
  <c r="K34" i="4"/>
  <c r="J34" i="4"/>
  <c r="I34" i="4"/>
  <c r="H34" i="4"/>
  <c r="G34" i="4"/>
  <c r="F34" i="4"/>
  <c r="E34" i="4"/>
  <c r="M33" i="4"/>
  <c r="L33" i="4"/>
  <c r="K33" i="4"/>
  <c r="J33" i="4"/>
  <c r="I33" i="4"/>
  <c r="H33" i="4"/>
  <c r="G33" i="4"/>
  <c r="F33" i="4"/>
  <c r="E33" i="4"/>
  <c r="M32" i="4"/>
  <c r="L32" i="4"/>
  <c r="K32" i="4"/>
  <c r="J32" i="4"/>
  <c r="I32" i="4"/>
  <c r="H32" i="4"/>
  <c r="G32" i="4"/>
  <c r="F32" i="4"/>
  <c r="E32" i="4"/>
  <c r="M31" i="4"/>
  <c r="L31" i="4"/>
  <c r="K31" i="4"/>
  <c r="J31" i="4"/>
  <c r="I31" i="4"/>
  <c r="H31" i="4"/>
  <c r="G31" i="4"/>
  <c r="F31" i="4"/>
  <c r="E31" i="4"/>
  <c r="M30" i="4"/>
  <c r="L30" i="4"/>
  <c r="K30" i="4"/>
  <c r="J30" i="4"/>
  <c r="I30" i="4"/>
  <c r="H30" i="4"/>
  <c r="G30" i="4"/>
  <c r="F30" i="4"/>
  <c r="E30" i="4"/>
  <c r="M29" i="4"/>
  <c r="L29" i="4"/>
  <c r="K29" i="4"/>
  <c r="J29" i="4"/>
  <c r="I29" i="4"/>
  <c r="H29" i="4"/>
  <c r="G29" i="4"/>
  <c r="F29" i="4"/>
  <c r="E29" i="4"/>
  <c r="M27" i="4"/>
  <c r="L27" i="4"/>
  <c r="K27" i="4"/>
  <c r="J27" i="4"/>
  <c r="I27" i="4"/>
  <c r="H27" i="4"/>
  <c r="G27" i="4"/>
  <c r="F27" i="4"/>
  <c r="E27" i="4"/>
  <c r="M26" i="4"/>
  <c r="L26" i="4"/>
  <c r="K26" i="4"/>
  <c r="J26" i="4"/>
  <c r="I26" i="4"/>
  <c r="H26" i="4"/>
  <c r="G26" i="4"/>
  <c r="F26" i="4"/>
  <c r="E26" i="4"/>
  <c r="M25" i="4"/>
  <c r="L25" i="4"/>
  <c r="K25" i="4"/>
  <c r="J25" i="4"/>
  <c r="I25" i="4"/>
  <c r="H25" i="4"/>
  <c r="G25" i="4"/>
  <c r="F25" i="4"/>
  <c r="E25" i="4"/>
  <c r="M24" i="4"/>
  <c r="L24" i="4"/>
  <c r="K24" i="4"/>
  <c r="J24" i="4"/>
  <c r="I24" i="4"/>
  <c r="H24" i="4"/>
  <c r="G24" i="4"/>
  <c r="F24" i="4"/>
  <c r="E24" i="4"/>
  <c r="M23" i="4"/>
  <c r="L23" i="4"/>
  <c r="K23" i="4"/>
  <c r="J23" i="4"/>
  <c r="I23" i="4"/>
  <c r="H23" i="4"/>
  <c r="G23" i="4"/>
  <c r="F23" i="4"/>
  <c r="E23" i="4"/>
  <c r="M22" i="4"/>
  <c r="L22" i="4"/>
  <c r="K22" i="4"/>
  <c r="J22" i="4"/>
  <c r="I22" i="4"/>
  <c r="H22" i="4"/>
  <c r="G22" i="4"/>
  <c r="F22" i="4"/>
  <c r="E22" i="4"/>
  <c r="M21" i="4"/>
  <c r="L21" i="4"/>
  <c r="K21" i="4"/>
  <c r="J21" i="4"/>
  <c r="I21" i="4"/>
  <c r="H21" i="4"/>
  <c r="G21" i="4"/>
  <c r="F21" i="4"/>
  <c r="E21" i="4"/>
  <c r="M20" i="4"/>
  <c r="L20" i="4"/>
  <c r="K20" i="4"/>
  <c r="J20" i="4"/>
  <c r="I20" i="4"/>
  <c r="H20" i="4"/>
  <c r="G20" i="4"/>
  <c r="F20" i="4"/>
  <c r="E20" i="4"/>
  <c r="M19" i="4"/>
  <c r="L19" i="4"/>
  <c r="K19" i="4"/>
  <c r="J19" i="4"/>
  <c r="I19" i="4"/>
  <c r="H19" i="4"/>
  <c r="G19" i="4"/>
  <c r="F19" i="4"/>
  <c r="E19" i="4"/>
  <c r="M18" i="4"/>
  <c r="L18" i="4"/>
  <c r="K18" i="4"/>
  <c r="J18" i="4"/>
  <c r="I18" i="4"/>
  <c r="H18" i="4"/>
  <c r="G18" i="4"/>
  <c r="F18" i="4"/>
  <c r="E18" i="4"/>
  <c r="M17" i="4"/>
  <c r="L17" i="4"/>
  <c r="K17" i="4"/>
  <c r="J17" i="4"/>
  <c r="I17" i="4"/>
  <c r="H17" i="4"/>
  <c r="G17" i="4"/>
  <c r="F17" i="4"/>
  <c r="E17" i="4"/>
  <c r="M16" i="4"/>
  <c r="L16" i="4"/>
  <c r="K16" i="4"/>
  <c r="J16" i="4"/>
  <c r="I16" i="4"/>
  <c r="H16" i="4"/>
  <c r="G16" i="4"/>
  <c r="F16" i="4"/>
  <c r="E16" i="4"/>
  <c r="M15" i="4"/>
  <c r="L15" i="4"/>
  <c r="K15" i="4"/>
  <c r="J15" i="4"/>
  <c r="I15" i="4"/>
  <c r="H15" i="4"/>
  <c r="G15" i="4"/>
  <c r="F15" i="4"/>
  <c r="E15" i="4"/>
  <c r="M14" i="4"/>
  <c r="L14" i="4"/>
  <c r="K14" i="4"/>
  <c r="J14" i="4"/>
  <c r="I14" i="4"/>
  <c r="H14" i="4"/>
  <c r="G14" i="4"/>
  <c r="F14" i="4"/>
  <c r="E14" i="4"/>
  <c r="M13" i="4"/>
  <c r="L13" i="4"/>
  <c r="K13" i="4"/>
  <c r="J13" i="4"/>
  <c r="I13" i="4"/>
  <c r="H13" i="4"/>
  <c r="G13" i="4"/>
  <c r="F13" i="4"/>
  <c r="E13" i="4"/>
  <c r="M12" i="4"/>
  <c r="L12" i="4"/>
  <c r="K12" i="4"/>
  <c r="J12" i="4"/>
  <c r="I12" i="4"/>
  <c r="H12" i="4"/>
  <c r="G12" i="4"/>
  <c r="F12" i="4"/>
  <c r="E12" i="4"/>
  <c r="M11" i="4"/>
  <c r="L11" i="4"/>
  <c r="K11" i="4"/>
  <c r="J11" i="4"/>
  <c r="I11" i="4"/>
  <c r="H11" i="4"/>
  <c r="G11" i="4"/>
  <c r="F11" i="4"/>
  <c r="E11" i="4"/>
  <c r="M10" i="4"/>
  <c r="L10" i="4"/>
  <c r="K10" i="4"/>
  <c r="J10" i="4"/>
  <c r="I10" i="4"/>
  <c r="H10" i="4"/>
  <c r="G10" i="4"/>
  <c r="F10" i="4"/>
  <c r="E10" i="4"/>
  <c r="M9" i="4"/>
  <c r="L9" i="4"/>
  <c r="K9" i="4"/>
  <c r="J9" i="4"/>
  <c r="I9" i="4"/>
  <c r="H9" i="4"/>
  <c r="G9" i="4"/>
  <c r="F9" i="4"/>
  <c r="E9" i="4"/>
  <c r="M8" i="4"/>
  <c r="L8" i="4"/>
  <c r="K8" i="4"/>
  <c r="J8" i="4"/>
  <c r="I8" i="4"/>
  <c r="H8" i="4"/>
  <c r="G8" i="4"/>
  <c r="F8" i="4"/>
  <c r="E8" i="4"/>
  <c r="M7" i="4"/>
  <c r="L7" i="4"/>
  <c r="K7" i="4"/>
  <c r="J7" i="4"/>
  <c r="I7" i="4"/>
  <c r="H7" i="4"/>
  <c r="G7" i="4"/>
  <c r="F7" i="4"/>
  <c r="E7" i="4"/>
  <c r="L118" i="1" l="1"/>
  <c r="M118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07" i="1"/>
  <c r="M107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72" i="1"/>
  <c r="M72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L46" i="1"/>
  <c r="M46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28" i="1"/>
  <c r="M28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6" i="1"/>
  <c r="M6" i="1"/>
  <c r="E72" i="1"/>
  <c r="F72" i="1"/>
  <c r="G72" i="1"/>
  <c r="H72" i="1"/>
  <c r="I72" i="1"/>
  <c r="J72" i="1"/>
  <c r="K72" i="1"/>
  <c r="E73" i="1"/>
  <c r="F73" i="1"/>
  <c r="G73" i="1"/>
  <c r="H73" i="1"/>
  <c r="I73" i="1"/>
  <c r="J73" i="1"/>
  <c r="K73" i="1"/>
  <c r="E74" i="1"/>
  <c r="F74" i="1"/>
  <c r="G74" i="1"/>
  <c r="H74" i="1"/>
  <c r="I74" i="1"/>
  <c r="J74" i="1"/>
  <c r="K74" i="1"/>
  <c r="E75" i="1"/>
  <c r="F75" i="1"/>
  <c r="G75" i="1"/>
  <c r="H75" i="1"/>
  <c r="I75" i="1"/>
  <c r="J75" i="1"/>
  <c r="K75" i="1"/>
  <c r="E76" i="1"/>
  <c r="F76" i="1"/>
  <c r="G76" i="1"/>
  <c r="H76" i="1"/>
  <c r="I76" i="1"/>
  <c r="J76" i="1"/>
  <c r="K76" i="1"/>
  <c r="E77" i="1"/>
  <c r="F77" i="1"/>
  <c r="G77" i="1"/>
  <c r="H77" i="1"/>
  <c r="I77" i="1"/>
  <c r="J77" i="1"/>
  <c r="K77" i="1"/>
  <c r="E78" i="1"/>
  <c r="F78" i="1"/>
  <c r="G78" i="1"/>
  <c r="H78" i="1"/>
  <c r="I78" i="1"/>
  <c r="J78" i="1"/>
  <c r="K78" i="1"/>
  <c r="E79" i="1"/>
  <c r="F79" i="1"/>
  <c r="G79" i="1"/>
  <c r="H79" i="1"/>
  <c r="I79" i="1"/>
  <c r="J79" i="1"/>
  <c r="K79" i="1"/>
  <c r="E80" i="1"/>
  <c r="F80" i="1"/>
  <c r="G80" i="1"/>
  <c r="H80" i="1"/>
  <c r="I80" i="1"/>
  <c r="J80" i="1"/>
  <c r="K80" i="1"/>
  <c r="E81" i="1"/>
  <c r="F81" i="1"/>
  <c r="G81" i="1"/>
  <c r="H81" i="1"/>
  <c r="I81" i="1"/>
  <c r="J81" i="1"/>
  <c r="K81" i="1"/>
  <c r="E82" i="1"/>
  <c r="F82" i="1"/>
  <c r="G82" i="1"/>
  <c r="H82" i="1"/>
  <c r="I82" i="1"/>
  <c r="J82" i="1"/>
  <c r="K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87" i="1"/>
  <c r="F87" i="1"/>
  <c r="G87" i="1"/>
  <c r="H87" i="1"/>
  <c r="I87" i="1"/>
  <c r="J87" i="1"/>
  <c r="K87" i="1"/>
  <c r="E88" i="1"/>
  <c r="F88" i="1"/>
  <c r="G88" i="1"/>
  <c r="H88" i="1"/>
  <c r="I88" i="1"/>
  <c r="J88" i="1"/>
  <c r="K88" i="1"/>
  <c r="E89" i="1"/>
  <c r="F89" i="1"/>
  <c r="G89" i="1"/>
  <c r="H89" i="1"/>
  <c r="I89" i="1"/>
  <c r="J89" i="1"/>
  <c r="K89" i="1"/>
  <c r="E90" i="1"/>
  <c r="F90" i="1"/>
  <c r="G90" i="1"/>
  <c r="H90" i="1"/>
  <c r="I90" i="1"/>
  <c r="J90" i="1"/>
  <c r="K90" i="1"/>
  <c r="E91" i="1"/>
  <c r="F91" i="1"/>
  <c r="G91" i="1"/>
  <c r="H91" i="1"/>
  <c r="I91" i="1"/>
  <c r="J91" i="1"/>
  <c r="K91" i="1"/>
  <c r="E92" i="1"/>
  <c r="F92" i="1"/>
  <c r="G92" i="1"/>
  <c r="H92" i="1"/>
  <c r="I92" i="1"/>
  <c r="J92" i="1"/>
  <c r="K92" i="1"/>
  <c r="E93" i="1"/>
  <c r="F93" i="1"/>
  <c r="G93" i="1"/>
  <c r="H93" i="1"/>
  <c r="I93" i="1"/>
  <c r="J93" i="1"/>
  <c r="K93" i="1"/>
  <c r="E94" i="1"/>
  <c r="F94" i="1"/>
  <c r="G94" i="1"/>
  <c r="H94" i="1"/>
  <c r="I94" i="1"/>
  <c r="J94" i="1"/>
  <c r="K94" i="1"/>
  <c r="E95" i="1"/>
  <c r="F95" i="1"/>
  <c r="G95" i="1"/>
  <c r="H95" i="1"/>
  <c r="I95" i="1"/>
  <c r="J95" i="1"/>
  <c r="K95" i="1"/>
  <c r="E96" i="1"/>
  <c r="F96" i="1"/>
  <c r="G96" i="1"/>
  <c r="H96" i="1"/>
  <c r="I96" i="1"/>
  <c r="J96" i="1"/>
  <c r="K96" i="1"/>
  <c r="E97" i="1"/>
  <c r="F97" i="1"/>
  <c r="G97" i="1"/>
  <c r="H97" i="1"/>
  <c r="I97" i="1"/>
  <c r="J97" i="1"/>
  <c r="K97" i="1"/>
  <c r="E98" i="1"/>
  <c r="F98" i="1"/>
  <c r="G98" i="1"/>
  <c r="H98" i="1"/>
  <c r="I98" i="1"/>
  <c r="J98" i="1"/>
  <c r="K98" i="1"/>
  <c r="E99" i="1"/>
  <c r="F99" i="1"/>
  <c r="G99" i="1"/>
  <c r="H99" i="1"/>
  <c r="I99" i="1"/>
  <c r="J99" i="1"/>
  <c r="K99" i="1"/>
  <c r="E100" i="1"/>
  <c r="F100" i="1"/>
  <c r="G100" i="1"/>
  <c r="H100" i="1"/>
  <c r="I100" i="1"/>
  <c r="J100" i="1"/>
  <c r="K100" i="1"/>
  <c r="E101" i="1"/>
  <c r="F101" i="1"/>
  <c r="G101" i="1"/>
  <c r="H101" i="1"/>
  <c r="I101" i="1"/>
  <c r="J101" i="1"/>
  <c r="K101" i="1"/>
  <c r="E102" i="1"/>
  <c r="F102" i="1"/>
  <c r="G102" i="1"/>
  <c r="H102" i="1"/>
  <c r="I102" i="1"/>
  <c r="J102" i="1"/>
  <c r="K102" i="1"/>
  <c r="E103" i="1"/>
  <c r="F103" i="1"/>
  <c r="G103" i="1"/>
  <c r="H103" i="1"/>
  <c r="I103" i="1"/>
  <c r="J103" i="1"/>
  <c r="K103" i="1"/>
  <c r="E104" i="1"/>
  <c r="F104" i="1"/>
  <c r="G104" i="1"/>
  <c r="H104" i="1"/>
  <c r="I104" i="1"/>
  <c r="J104" i="1"/>
  <c r="K104" i="1"/>
  <c r="E105" i="1"/>
  <c r="F105" i="1"/>
  <c r="G105" i="1"/>
  <c r="H105" i="1"/>
  <c r="I105" i="1"/>
  <c r="J105" i="1"/>
  <c r="K105" i="1"/>
  <c r="E107" i="1"/>
  <c r="F107" i="1"/>
  <c r="G107" i="1"/>
  <c r="H107" i="1"/>
  <c r="I107" i="1"/>
  <c r="J107" i="1"/>
  <c r="K107" i="1"/>
  <c r="E108" i="1"/>
  <c r="F108" i="1"/>
  <c r="G108" i="1"/>
  <c r="H108" i="1"/>
  <c r="I108" i="1"/>
  <c r="J108" i="1"/>
  <c r="K108" i="1"/>
  <c r="E109" i="1"/>
  <c r="F109" i="1"/>
  <c r="G109" i="1"/>
  <c r="H109" i="1"/>
  <c r="I109" i="1"/>
  <c r="J109" i="1"/>
  <c r="K109" i="1"/>
  <c r="E110" i="1"/>
  <c r="F110" i="1"/>
  <c r="G110" i="1"/>
  <c r="H110" i="1"/>
  <c r="I110" i="1"/>
  <c r="J110" i="1"/>
  <c r="K110" i="1"/>
  <c r="E111" i="1"/>
  <c r="F111" i="1"/>
  <c r="G111" i="1"/>
  <c r="H111" i="1"/>
  <c r="I111" i="1"/>
  <c r="J111" i="1"/>
  <c r="K111" i="1"/>
  <c r="E112" i="1"/>
  <c r="F112" i="1"/>
  <c r="G112" i="1"/>
  <c r="H112" i="1"/>
  <c r="I112" i="1"/>
  <c r="J112" i="1"/>
  <c r="K112" i="1"/>
  <c r="E113" i="1"/>
  <c r="F113" i="1"/>
  <c r="G113" i="1"/>
  <c r="H113" i="1"/>
  <c r="I113" i="1"/>
  <c r="J113" i="1"/>
  <c r="K113" i="1"/>
  <c r="E114" i="1"/>
  <c r="F114" i="1"/>
  <c r="G114" i="1"/>
  <c r="H114" i="1"/>
  <c r="I114" i="1"/>
  <c r="J114" i="1"/>
  <c r="K114" i="1"/>
  <c r="E115" i="1"/>
  <c r="F115" i="1"/>
  <c r="G115" i="1"/>
  <c r="H115" i="1"/>
  <c r="I115" i="1"/>
  <c r="J115" i="1"/>
  <c r="K115" i="1"/>
  <c r="E116" i="1"/>
  <c r="F116" i="1"/>
  <c r="G116" i="1"/>
  <c r="H116" i="1"/>
  <c r="I116" i="1"/>
  <c r="J116" i="1"/>
  <c r="K116" i="1"/>
  <c r="E117" i="1"/>
  <c r="F117" i="1"/>
  <c r="G117" i="1"/>
  <c r="H117" i="1"/>
  <c r="I117" i="1"/>
  <c r="J117" i="1"/>
  <c r="K117" i="1"/>
  <c r="E118" i="1"/>
  <c r="F118" i="1"/>
  <c r="G118" i="1"/>
  <c r="H118" i="1"/>
  <c r="I118" i="1"/>
  <c r="J118" i="1"/>
  <c r="K118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E15" i="1"/>
  <c r="F15" i="1"/>
  <c r="G15" i="1"/>
  <c r="H15" i="1"/>
  <c r="I15" i="1"/>
  <c r="J15" i="1"/>
  <c r="K15" i="1"/>
  <c r="E16" i="1"/>
  <c r="F16" i="1"/>
  <c r="G16" i="1"/>
  <c r="H16" i="1"/>
  <c r="I16" i="1"/>
  <c r="J16" i="1"/>
  <c r="K16" i="1"/>
  <c r="E17" i="1"/>
  <c r="F17" i="1"/>
  <c r="G17" i="1"/>
  <c r="H17" i="1"/>
  <c r="I17" i="1"/>
  <c r="J17" i="1"/>
  <c r="K17" i="1"/>
  <c r="E18" i="1"/>
  <c r="F18" i="1"/>
  <c r="G18" i="1"/>
  <c r="H18" i="1"/>
  <c r="I18" i="1"/>
  <c r="J18" i="1"/>
  <c r="K18" i="1"/>
  <c r="E19" i="1"/>
  <c r="F19" i="1"/>
  <c r="G19" i="1"/>
  <c r="H19" i="1"/>
  <c r="I19" i="1"/>
  <c r="J19" i="1"/>
  <c r="K19" i="1"/>
  <c r="E20" i="1"/>
  <c r="F20" i="1"/>
  <c r="G20" i="1"/>
  <c r="H20" i="1"/>
  <c r="I20" i="1"/>
  <c r="J20" i="1"/>
  <c r="K20" i="1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E26" i="1"/>
  <c r="F26" i="1"/>
  <c r="G26" i="1"/>
  <c r="H26" i="1"/>
  <c r="I26" i="1"/>
  <c r="J26" i="1"/>
  <c r="K26" i="1"/>
  <c r="E28" i="1"/>
  <c r="F28" i="1"/>
  <c r="G28" i="1"/>
  <c r="H28" i="1"/>
  <c r="I28" i="1"/>
  <c r="J28" i="1"/>
  <c r="K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K30" i="1"/>
  <c r="E31" i="1"/>
  <c r="F31" i="1"/>
  <c r="G31" i="1"/>
  <c r="H31" i="1"/>
  <c r="I31" i="1"/>
  <c r="J31" i="1"/>
  <c r="K31" i="1"/>
  <c r="E32" i="1"/>
  <c r="F32" i="1"/>
  <c r="G32" i="1"/>
  <c r="H32" i="1"/>
  <c r="I32" i="1"/>
  <c r="J32" i="1"/>
  <c r="K32" i="1"/>
  <c r="E33" i="1"/>
  <c r="F33" i="1"/>
  <c r="G33" i="1"/>
  <c r="H33" i="1"/>
  <c r="I33" i="1"/>
  <c r="J33" i="1"/>
  <c r="K33" i="1"/>
  <c r="E34" i="1"/>
  <c r="F34" i="1"/>
  <c r="G34" i="1"/>
  <c r="H34" i="1"/>
  <c r="I34" i="1"/>
  <c r="J34" i="1"/>
  <c r="K34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6" i="1"/>
  <c r="F46" i="1"/>
  <c r="G46" i="1"/>
  <c r="H46" i="1"/>
  <c r="I46" i="1"/>
  <c r="J46" i="1"/>
  <c r="K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K85" i="2"/>
  <c r="J85" i="2"/>
  <c r="I85" i="2"/>
  <c r="H85" i="2"/>
  <c r="G85" i="2"/>
  <c r="F85" i="2"/>
  <c r="E85" i="2"/>
  <c r="K84" i="2"/>
  <c r="J84" i="2"/>
  <c r="I84" i="2"/>
  <c r="H84" i="2"/>
  <c r="G84" i="2"/>
  <c r="F84" i="2"/>
  <c r="E84" i="2"/>
  <c r="K83" i="2"/>
  <c r="J83" i="2"/>
  <c r="I83" i="2"/>
  <c r="H83" i="2"/>
  <c r="G83" i="2"/>
  <c r="F83" i="2"/>
  <c r="E83" i="2"/>
  <c r="K82" i="2"/>
  <c r="J82" i="2"/>
  <c r="I82" i="2"/>
  <c r="H82" i="2"/>
  <c r="G82" i="2"/>
  <c r="F82" i="2"/>
  <c r="E82" i="2"/>
  <c r="K81" i="2"/>
  <c r="J81" i="2"/>
  <c r="I81" i="2"/>
  <c r="H81" i="2"/>
  <c r="G81" i="2"/>
  <c r="F81" i="2"/>
  <c r="E81" i="2"/>
  <c r="I70" i="2"/>
  <c r="H70" i="2"/>
  <c r="G70" i="2"/>
  <c r="F70" i="2"/>
  <c r="E70" i="2"/>
  <c r="I69" i="2"/>
  <c r="H69" i="2"/>
  <c r="G69" i="2"/>
  <c r="F69" i="2"/>
  <c r="E69" i="2"/>
  <c r="J68" i="2"/>
  <c r="I68" i="2"/>
  <c r="H68" i="2"/>
  <c r="G68" i="2"/>
  <c r="F68" i="2"/>
  <c r="E68" i="2"/>
  <c r="J67" i="2"/>
  <c r="I67" i="2"/>
  <c r="H67" i="2"/>
  <c r="G67" i="2"/>
  <c r="F67" i="2"/>
  <c r="E67" i="2"/>
  <c r="J66" i="2"/>
  <c r="I66" i="2"/>
  <c r="H66" i="2"/>
  <c r="G66" i="2"/>
  <c r="F66" i="2"/>
  <c r="E66" i="2"/>
  <c r="J65" i="2"/>
  <c r="I65" i="2"/>
  <c r="H65" i="2"/>
  <c r="G65" i="2"/>
  <c r="F65" i="2"/>
  <c r="E65" i="2"/>
  <c r="K64" i="2"/>
  <c r="J64" i="2"/>
  <c r="I64" i="2"/>
  <c r="H64" i="2"/>
  <c r="G64" i="2"/>
  <c r="F64" i="2"/>
  <c r="E64" i="2"/>
  <c r="K63" i="2"/>
  <c r="J63" i="2"/>
  <c r="I63" i="2"/>
  <c r="H63" i="2"/>
  <c r="G63" i="2"/>
  <c r="F63" i="2"/>
  <c r="E63" i="2"/>
  <c r="K62" i="2"/>
  <c r="J62" i="2"/>
  <c r="I62" i="2"/>
  <c r="H62" i="2"/>
  <c r="G62" i="2"/>
  <c r="F62" i="2"/>
  <c r="E62" i="2"/>
  <c r="K61" i="2"/>
  <c r="J61" i="2"/>
  <c r="I61" i="2"/>
  <c r="H61" i="2"/>
  <c r="G61" i="2"/>
  <c r="F61" i="2"/>
  <c r="E61" i="2"/>
  <c r="K60" i="2"/>
  <c r="J60" i="2"/>
  <c r="I60" i="2"/>
  <c r="H60" i="2"/>
  <c r="G60" i="2"/>
  <c r="F60" i="2"/>
  <c r="E60" i="2"/>
  <c r="L59" i="2"/>
  <c r="K59" i="2"/>
  <c r="J59" i="2"/>
  <c r="I59" i="2"/>
  <c r="H59" i="2"/>
  <c r="G59" i="2"/>
  <c r="F59" i="2"/>
  <c r="E59" i="2"/>
  <c r="L58" i="2"/>
  <c r="K58" i="2"/>
  <c r="J58" i="2"/>
  <c r="I58" i="2"/>
  <c r="H58" i="2"/>
  <c r="G58" i="2"/>
  <c r="F58" i="2"/>
  <c r="E58" i="2"/>
  <c r="L57" i="2"/>
  <c r="K57" i="2"/>
  <c r="J57" i="2"/>
  <c r="I57" i="2"/>
  <c r="H57" i="2"/>
  <c r="G57" i="2"/>
  <c r="F57" i="2"/>
  <c r="E57" i="2"/>
  <c r="I54" i="2"/>
  <c r="H54" i="2"/>
  <c r="G54" i="2"/>
  <c r="F54" i="2"/>
  <c r="E54" i="2"/>
  <c r="I53" i="2"/>
  <c r="H53" i="2"/>
  <c r="G53" i="2"/>
  <c r="F53" i="2"/>
  <c r="E53" i="2"/>
  <c r="H51" i="2"/>
  <c r="G51" i="2"/>
  <c r="F51" i="2"/>
  <c r="E51" i="2"/>
  <c r="I50" i="2"/>
  <c r="H50" i="2"/>
  <c r="G50" i="2"/>
  <c r="F50" i="2"/>
  <c r="E50" i="2"/>
  <c r="I49" i="2"/>
  <c r="H49" i="2"/>
  <c r="G49" i="2"/>
  <c r="F49" i="2"/>
  <c r="E49" i="2"/>
  <c r="I48" i="2"/>
  <c r="H48" i="2"/>
  <c r="G48" i="2"/>
  <c r="F48" i="2"/>
  <c r="E48" i="2"/>
  <c r="I47" i="2"/>
  <c r="H47" i="2"/>
  <c r="G47" i="2"/>
  <c r="F47" i="2"/>
  <c r="E47" i="2"/>
  <c r="I46" i="2"/>
  <c r="H46" i="2"/>
  <c r="G46" i="2"/>
  <c r="F46" i="2"/>
  <c r="E46" i="2"/>
  <c r="I45" i="2"/>
  <c r="H45" i="2"/>
  <c r="G45" i="2"/>
  <c r="F45" i="2"/>
  <c r="E45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K28" i="2"/>
  <c r="J28" i="2"/>
  <c r="I28" i="2"/>
  <c r="H28" i="2"/>
  <c r="G28" i="2"/>
  <c r="F28" i="2"/>
  <c r="E28" i="2"/>
  <c r="K27" i="2"/>
  <c r="J27" i="2"/>
  <c r="I27" i="2"/>
  <c r="H27" i="2"/>
  <c r="G27" i="2"/>
  <c r="F27" i="2"/>
  <c r="E27" i="2"/>
  <c r="K26" i="2"/>
  <c r="J26" i="2"/>
  <c r="I26" i="2"/>
  <c r="H26" i="2"/>
  <c r="G26" i="2"/>
  <c r="F26" i="2"/>
  <c r="E26" i="2"/>
  <c r="K25" i="2"/>
  <c r="J25" i="2"/>
  <c r="I25" i="2"/>
  <c r="H25" i="2"/>
  <c r="G25" i="2"/>
  <c r="F25" i="2"/>
  <c r="E25" i="2"/>
  <c r="K24" i="2"/>
  <c r="J24" i="2"/>
  <c r="I24" i="2"/>
  <c r="H24" i="2"/>
  <c r="G24" i="2"/>
  <c r="F24" i="2"/>
  <c r="E24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K12" i="2"/>
  <c r="J12" i="2"/>
  <c r="I12" i="2"/>
  <c r="H12" i="2"/>
  <c r="G12" i="2"/>
  <c r="F12" i="2"/>
  <c r="E12" i="2"/>
  <c r="K11" i="2"/>
  <c r="J11" i="2"/>
  <c r="I11" i="2"/>
  <c r="H11" i="2"/>
  <c r="G11" i="2"/>
  <c r="F11" i="2"/>
  <c r="E11" i="2"/>
  <c r="K10" i="2"/>
  <c r="J10" i="2"/>
  <c r="I10" i="2"/>
  <c r="H10" i="2"/>
  <c r="G10" i="2"/>
  <c r="F10" i="2"/>
  <c r="E10" i="2"/>
  <c r="K5" i="2"/>
  <c r="J5" i="2"/>
  <c r="I5" i="2"/>
  <c r="H5" i="2"/>
  <c r="G5" i="2"/>
  <c r="F5" i="2"/>
  <c r="E5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K6" i="1"/>
  <c r="J6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<sst xmlns="http://schemas.openxmlformats.org/spreadsheetml/2006/main" count="271" uniqueCount="90">
  <si>
    <r>
      <rPr>
        <sz val="18"/>
        <color rgb="FF000000"/>
        <rFont val="Nunito"/>
      </rPr>
      <t>Retrouve le</t>
    </r>
    <r>
      <rPr>
        <b/>
        <sz val="18"/>
        <color rgb="FF000000"/>
        <rFont val="Nunito"/>
      </rPr>
      <t xml:space="preserve"> </t>
    </r>
    <r>
      <rPr>
        <b/>
        <u/>
        <sz val="18"/>
        <color rgb="FF1155CC"/>
        <rFont val="Nunito"/>
      </rPr>
      <t>guide d'utilisation</t>
    </r>
    <r>
      <rPr>
        <b/>
        <sz val="18"/>
        <color rgb="FF000000"/>
        <rFont val="Nunito"/>
      </rPr>
      <t xml:space="preserve"> </t>
    </r>
    <r>
      <rPr>
        <sz val="18"/>
        <color rgb="FF000000"/>
        <rFont val="Nunito"/>
      </rPr>
      <t xml:space="preserve">du tracker </t>
    </r>
  </si>
  <si>
    <t>J</t>
  </si>
  <si>
    <t>UE</t>
  </si>
  <si>
    <t>Sous UE</t>
  </si>
  <si>
    <t>Cours</t>
  </si>
  <si>
    <t>Anatomie</t>
  </si>
  <si>
    <t>Anatomie, partie 1</t>
  </si>
  <si>
    <t>J0</t>
  </si>
  <si>
    <t>J1</t>
  </si>
  <si>
    <t>J3</t>
  </si>
  <si>
    <t>J5</t>
  </si>
  <si>
    <t>J7</t>
  </si>
  <si>
    <t>J10</t>
  </si>
  <si>
    <t>J15</t>
  </si>
  <si>
    <t>J25</t>
  </si>
  <si>
    <t>J35</t>
  </si>
  <si>
    <t>S3.B</t>
  </si>
  <si>
    <t>Appareil Digestif</t>
  </si>
  <si>
    <t>Anatomie, partie 2</t>
  </si>
  <si>
    <t>Anatomie, partie 3</t>
  </si>
  <si>
    <t>Embryologie</t>
  </si>
  <si>
    <t>Embryologie de l'appareil digestif, partie 1</t>
  </si>
  <si>
    <t>Embryologie de l'appareil digestif, partie 2</t>
  </si>
  <si>
    <t>Embryologie de l'appareil digestif, partie 3</t>
  </si>
  <si>
    <t>Histologie</t>
  </si>
  <si>
    <t>Histologie de l'Appareil Digestif : Œsophage</t>
  </si>
  <si>
    <t>Histologie de l'Appareil Digestif, partie 2</t>
  </si>
  <si>
    <t>Histologie de l'Appareil Digestif, partie 3</t>
  </si>
  <si>
    <t>Histologie de l'Appareil Digestif, partie 4</t>
  </si>
  <si>
    <t>Histologie de l'Appareil Digestif, partie 5</t>
  </si>
  <si>
    <t>Histologie de l'Appareil Digestif, partie 6</t>
  </si>
  <si>
    <t>Physiologie</t>
  </si>
  <si>
    <t>Fonctionnement global et régulation neuro-hormonale</t>
  </si>
  <si>
    <t>Cavité bucale et œsophage : mastication, salivation et déglutition</t>
  </si>
  <si>
    <t>Motricités et sécrétions gastriques</t>
  </si>
  <si>
    <t xml:space="preserve">Physiologie hépatique </t>
  </si>
  <si>
    <t>Physiologie de l'intestin grêle : motricité et sécrétions pancréatiques</t>
  </si>
  <si>
    <t>Physiologie de l'intestin grêle : sécrétions billiaires et intestinale</t>
  </si>
  <si>
    <t>Physiologie de l'intestin grêle : digestion et absorption</t>
  </si>
  <si>
    <t>Physiologie du gros intestin</t>
  </si>
  <si>
    <t>Sémiologie</t>
  </si>
  <si>
    <t>Péritonite aiguë</t>
  </si>
  <si>
    <t>Appendicite aiguë</t>
  </si>
  <si>
    <t>Diverticulose et diverticulite</t>
  </si>
  <si>
    <t>Hypertension portale</t>
  </si>
  <si>
    <t>Ascite</t>
  </si>
  <si>
    <t>Douleurs abdominales</t>
  </si>
  <si>
    <t>Dysphagies</t>
  </si>
  <si>
    <t>Vomissements, reflux</t>
  </si>
  <si>
    <t>Pathologies billiaires et pancréatiques</t>
  </si>
  <si>
    <t>Insuffisance hépato-cellulaire</t>
  </si>
  <si>
    <t>Cirrhose et complications</t>
  </si>
  <si>
    <t>Hépatites virales</t>
  </si>
  <si>
    <t xml:space="preserve">Troubles du transit : diarrhée aiguë/chronique, constipation, colopathie fonctionnelle </t>
  </si>
  <si>
    <t>Hémorragie digestive, pathologies ulcéreuses</t>
  </si>
  <si>
    <t>Syndrome occlusif</t>
  </si>
  <si>
    <t>Ictère</t>
  </si>
  <si>
    <t>Hépatomégalie</t>
  </si>
  <si>
    <t>Sémiologie du canal anal</t>
  </si>
  <si>
    <t>Pathologie hémmoroïdaire</t>
  </si>
  <si>
    <t>Sémiologie radiologique</t>
  </si>
  <si>
    <t>Pharmacologie</t>
  </si>
  <si>
    <t>Pharmacologie des anti-acides et anti-ulcéreux</t>
  </si>
  <si>
    <t>Médicaments de la motilité gastro-intestinale</t>
  </si>
  <si>
    <t>Sous-UE</t>
  </si>
  <si>
    <t>9X</t>
  </si>
  <si>
    <t>10X</t>
  </si>
  <si>
    <t>Hématologie</t>
  </si>
  <si>
    <t xml:space="preserve">Physiologie de l'hématopoiese </t>
  </si>
  <si>
    <t>Le globule rouge, structure de l'hémoglobine, métabolisme du fer et de l'hème</t>
  </si>
  <si>
    <t>Hémogramme, Anomalies hémogramme hors anémie et Myélogramme (partie 1)</t>
  </si>
  <si>
    <t>Hémogramme, Anomalies hémogramme hors anémie et Myélogramme (partie 2)</t>
  </si>
  <si>
    <t>Syndrome anémique, clinique et anémies carentielles</t>
  </si>
  <si>
    <t>Classification des anémies, hors carences</t>
  </si>
  <si>
    <t>Anomalies hémolytiques</t>
  </si>
  <si>
    <t>Imagerie métabolique en hématologie</t>
  </si>
  <si>
    <t>Transfusions, principes de la transfusion</t>
  </si>
  <si>
    <t>Hémostase : physiologie de l'hémostase primaire, la coagulation et la fibrinolyse</t>
  </si>
  <si>
    <t>Syndrome hémorragiques hématologique, thrombopénies, purpurra</t>
  </si>
  <si>
    <t>Principales anomalies de l'hémostase primaire et de la coagulation</t>
  </si>
  <si>
    <t>Les bases de l'immuno-hématologie, groupes sanguins et méthodes de détermination …</t>
  </si>
  <si>
    <t>Syndrome tumoral et hématologie (spénomégalies, adénopathies)</t>
  </si>
  <si>
    <t>Santé Publique</t>
  </si>
  <si>
    <t>Mesure de l'état de santé de la population, partie 1</t>
  </si>
  <si>
    <t>Mesure de l'état de santé de la population, partie 2</t>
  </si>
  <si>
    <t>Intervenir en santé publique : prévention, éducation pour la santé, dépistage</t>
  </si>
  <si>
    <t xml:space="preserve">Impact de l'environnement sur la santé </t>
  </si>
  <si>
    <t>Surveillance et veilles sanitaires, maladies émergentes, diagnostic d'une épidémie</t>
  </si>
  <si>
    <t>S</t>
  </si>
  <si>
    <r>
      <t xml:space="preserve">exemple:   classique: J0 J1 J3 J7 J15 J30   </t>
    </r>
    <r>
      <rPr>
        <b/>
        <i/>
        <sz val="18"/>
        <color theme="1"/>
        <rFont val="Nunito"/>
      </rPr>
      <t>|</t>
    </r>
    <r>
      <rPr>
        <b/>
        <sz val="18"/>
        <color theme="1"/>
        <rFont val="Nunito"/>
      </rPr>
      <t xml:space="preserve">   plus pratique: J0 J2 J5 J14  </t>
    </r>
    <r>
      <rPr>
        <b/>
        <i/>
        <sz val="18"/>
        <color theme="1"/>
        <rFont val="Nunito"/>
      </rPr>
      <t xml:space="preserve"> | </t>
    </r>
    <r>
      <rPr>
        <b/>
        <sz val="18"/>
        <color theme="1"/>
        <rFont val="Nunito"/>
      </rPr>
      <t xml:space="preserve"> pour les cours facile: J0 J3 J10 J30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</si>
</sst>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"/>
  </numFmts>
  <fonts count="28">
    <font>
      <sz val="10"/>
      <color rgb="FF000000"/>
      <name val="Arial"/>
      <scheme val="minor"/>
    </font>
    <font>
      <b/>
      <sz val="18"/>
      <color rgb="FFFFFFFF"/>
      <name val="Nunito"/>
    </font>
    <font>
      <b/>
      <u/>
      <sz val="18"/>
      <color rgb="FFFFFFFF"/>
      <name val="Nunito"/>
    </font>
    <font>
      <sz val="10"/>
      <color theme="1"/>
      <name val="Nunito"/>
    </font>
    <font>
      <sz val="10"/>
      <name val="Arial"/>
    </font>
    <font>
      <sz val="12"/>
      <color rgb="FFFFFFFF"/>
      <name val="Nunito"/>
    </font>
    <font>
      <sz val="12"/>
      <color theme="1"/>
      <name val="Nunito"/>
    </font>
    <font>
      <sz val="12"/>
      <color rgb="FF000000"/>
      <name val="Nunito"/>
    </font>
    <font>
      <b/>
      <sz val="12"/>
      <color theme="1"/>
      <name val="Nunito"/>
    </font>
    <font>
      <sz val="10"/>
      <color rgb="FF000000"/>
      <name val="Nunito"/>
    </font>
    <font>
      <sz val="10"/>
      <color theme="1"/>
      <name val="Nunito"/>
    </font>
    <font>
      <b/>
      <sz val="18"/>
      <color rgb="FFFFFFFF"/>
      <name val="Times New Roman"/>
    </font>
    <font>
      <sz val="12"/>
      <color rgb="FFFFFFFF"/>
      <name val="Times New Roman"/>
    </font>
    <font>
      <sz val="12"/>
      <color theme="1"/>
      <name val="Times New Roman"/>
    </font>
    <font>
      <sz val="12"/>
      <color theme="1"/>
      <name val="Times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color rgb="FF000000"/>
      <name val="Arial"/>
    </font>
    <font>
      <b/>
      <sz val="12"/>
      <color theme="1"/>
      <name val="Times"/>
    </font>
    <font>
      <sz val="10"/>
      <color theme="1"/>
      <name val="Times New Roman"/>
    </font>
    <font>
      <sz val="18"/>
      <color rgb="FF000000"/>
      <name val="Nunito"/>
    </font>
    <font>
      <b/>
      <sz val="18"/>
      <color rgb="FF000000"/>
      <name val="Nunito"/>
    </font>
    <font>
      <b/>
      <u/>
      <sz val="18"/>
      <color rgb="FF1155CC"/>
      <name val="Nunito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2"/>
      <color theme="0"/>
      <name val="Nunito"/>
    </font>
    <font>
      <b/>
      <sz val="18"/>
      <color theme="1"/>
      <name val="Nunito"/>
    </font>
    <font>
      <b/>
      <i/>
      <sz val="18"/>
      <color theme="1"/>
      <name val="Nunito"/>
    </font>
  </fonts>
  <fills count="1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rgb="FFFEE1CC"/>
        <bgColor rgb="FFFEE1CC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wrapText="1"/>
    </xf>
    <xf numFmtId="164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0" fontId="9" fillId="0" borderId="0" xfId="0" applyFont="1"/>
    <xf numFmtId="164" fontId="8" fillId="0" borderId="4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16" fontId="14" fillId="8" borderId="4" xfId="0" applyNumberFormat="1" applyFont="1" applyFill="1" applyBorder="1" applyAlignment="1">
      <alignment horizontal="center" vertical="center"/>
    </xf>
    <xf numFmtId="16" fontId="15" fillId="0" borderId="4" xfId="0" applyNumberFormat="1" applyFont="1" applyBorder="1" applyAlignment="1">
      <alignment horizontal="center" vertical="center"/>
    </xf>
    <xf numFmtId="16" fontId="15" fillId="0" borderId="4" xfId="0" applyNumberFormat="1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4" fillId="8" borderId="4" xfId="0" applyFont="1" applyFill="1" applyBorder="1" applyAlignment="1">
      <alignment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4" xfId="0" applyFont="1" applyFill="1" applyBorder="1"/>
    <xf numFmtId="0" fontId="14" fillId="9" borderId="4" xfId="0" applyFont="1" applyFill="1" applyBorder="1"/>
    <xf numFmtId="16" fontId="14" fillId="9" borderId="4" xfId="0" applyNumberFormat="1" applyFont="1" applyFill="1" applyBorder="1" applyAlignment="1">
      <alignment horizontal="center"/>
    </xf>
    <xf numFmtId="0" fontId="16" fillId="0" borderId="4" xfId="0" applyFont="1" applyBorder="1" applyAlignment="1">
      <alignment vertical="center"/>
    </xf>
    <xf numFmtId="0" fontId="14" fillId="9" borderId="4" xfId="0" applyFont="1" applyFill="1" applyBorder="1" applyAlignment="1">
      <alignment horizontal="center"/>
    </xf>
    <xf numFmtId="0" fontId="17" fillId="0" borderId="0" xfId="0" applyFont="1"/>
    <xf numFmtId="0" fontId="15" fillId="0" borderId="4" xfId="0" applyFont="1" applyBorder="1" applyAlignment="1">
      <alignment horizontal="center" vertical="center"/>
    </xf>
    <xf numFmtId="0" fontId="14" fillId="10" borderId="4" xfId="0" applyFont="1" applyFill="1" applyBorder="1" applyAlignment="1">
      <alignment vertical="center"/>
    </xf>
    <xf numFmtId="16" fontId="18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/>
    <xf numFmtId="16" fontId="14" fillId="10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16" fontId="18" fillId="11" borderId="4" xfId="0" applyNumberFormat="1" applyFont="1" applyFill="1" applyBorder="1" applyAlignment="1">
      <alignment horizontal="center"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/>
    <xf numFmtId="0" fontId="13" fillId="0" borderId="4" xfId="0" applyFont="1" applyBorder="1" applyAlignment="1">
      <alignment horizontal="center"/>
    </xf>
    <xf numFmtId="0" fontId="14" fillId="12" borderId="4" xfId="0" applyFont="1" applyFill="1" applyBorder="1" applyAlignment="1">
      <alignment vertical="center"/>
    </xf>
    <xf numFmtId="16" fontId="14" fillId="12" borderId="4" xfId="0" applyNumberFormat="1" applyFont="1" applyFill="1" applyBorder="1" applyAlignment="1">
      <alignment horizontal="center" vertical="center"/>
    </xf>
    <xf numFmtId="0" fontId="14" fillId="12" borderId="4" xfId="0" applyFont="1" applyFill="1" applyBorder="1"/>
    <xf numFmtId="0" fontId="14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13" borderId="4" xfId="0" applyFont="1" applyFill="1" applyBorder="1"/>
    <xf numFmtId="16" fontId="14" fillId="13" borderId="4" xfId="0" applyNumberFormat="1" applyFont="1" applyFill="1" applyBorder="1" applyAlignment="1">
      <alignment horizontal="center"/>
    </xf>
    <xf numFmtId="0" fontId="14" fillId="5" borderId="5" xfId="0" applyFont="1" applyFill="1" applyBorder="1"/>
    <xf numFmtId="0" fontId="13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16" fontId="16" fillId="16" borderId="9" xfId="0" applyNumberFormat="1" applyFont="1" applyFill="1" applyBorder="1" applyAlignment="1">
      <alignment horizontal="center" vertical="center"/>
    </xf>
    <xf numFmtId="16" fontId="13" fillId="16" borderId="9" xfId="0" applyNumberFormat="1" applyFont="1" applyFill="1" applyBorder="1" applyAlignment="1">
      <alignment horizontal="center" vertical="center"/>
    </xf>
    <xf numFmtId="16" fontId="13" fillId="16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" fontId="13" fillId="17" borderId="4" xfId="0" applyNumberFormat="1" applyFont="1" applyFill="1" applyBorder="1" applyAlignment="1">
      <alignment horizontal="center" vertical="center"/>
    </xf>
    <xf numFmtId="16" fontId="13" fillId="17" borderId="7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4" xfId="0" applyFont="1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6" fillId="0" borderId="4" xfId="0" applyNumberFormat="1" applyFont="1" applyBorder="1" applyAlignment="1">
      <alignment horizontal="center" vertical="center"/>
    </xf>
    <xf numFmtId="16" fontId="7" fillId="0" borderId="4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25" fillId="18" borderId="0" xfId="0" applyFont="1" applyFill="1" applyAlignment="1">
      <alignment horizontal="left" vertical="center"/>
    </xf>
    <xf numFmtId="0" fontId="25" fillId="18" borderId="4" xfId="0" applyFont="1" applyFill="1" applyBorder="1" applyAlignment="1">
      <alignment horizontal="left" vertical="center"/>
    </xf>
    <xf numFmtId="0" fontId="25" fillId="18" borderId="4" xfId="0" applyFont="1" applyFill="1" applyBorder="1" applyAlignment="1">
      <alignment vertical="center"/>
    </xf>
    <xf numFmtId="0" fontId="25" fillId="18" borderId="4" xfId="0" applyFont="1" applyFill="1" applyBorder="1"/>
    <xf numFmtId="0" fontId="6" fillId="18" borderId="0" xfId="0" applyFont="1" applyFill="1" applyAlignment="1">
      <alignment horizontal="left" vertical="center"/>
    </xf>
    <xf numFmtId="0" fontId="6" fillId="18" borderId="4" xfId="0" applyFont="1" applyFill="1" applyBorder="1" applyAlignment="1">
      <alignment horizontal="left" vertical="center"/>
    </xf>
    <xf numFmtId="0" fontId="6" fillId="18" borderId="4" xfId="0" applyFont="1" applyFill="1" applyBorder="1" applyAlignment="1">
      <alignment vertical="center"/>
    </xf>
    <xf numFmtId="164" fontId="7" fillId="18" borderId="4" xfId="0" applyNumberFormat="1" applyFont="1" applyFill="1" applyBorder="1" applyAlignment="1">
      <alignment horizontal="center" vertical="center"/>
    </xf>
    <xf numFmtId="164" fontId="6" fillId="18" borderId="4" xfId="0" applyNumberFormat="1" applyFont="1" applyFill="1" applyBorder="1" applyAlignment="1">
      <alignment horizontal="center" vertical="center" wrapText="1"/>
    </xf>
    <xf numFmtId="0" fontId="6" fillId="18" borderId="13" xfId="0" applyFont="1" applyFill="1" applyBorder="1" applyAlignment="1">
      <alignment vertical="center"/>
    </xf>
    <xf numFmtId="164" fontId="6" fillId="18" borderId="4" xfId="0" applyNumberFormat="1" applyFont="1" applyFill="1" applyBorder="1" applyAlignment="1">
      <alignment horizontal="center" wrapText="1"/>
    </xf>
    <xf numFmtId="0" fontId="6" fillId="18" borderId="8" xfId="0" applyFont="1" applyFill="1" applyBorder="1" applyAlignment="1">
      <alignment horizontal="left" vertical="center"/>
    </xf>
    <xf numFmtId="164" fontId="6" fillId="18" borderId="9" xfId="0" applyNumberFormat="1" applyFont="1" applyFill="1" applyBorder="1" applyAlignment="1">
      <alignment horizontal="center" wrapText="1"/>
    </xf>
    <xf numFmtId="164" fontId="8" fillId="18" borderId="9" xfId="0" applyNumberFormat="1" applyFont="1" applyFill="1" applyBorder="1" applyAlignment="1">
      <alignment horizontal="center" vertical="center" wrapText="1"/>
    </xf>
    <xf numFmtId="164" fontId="6" fillId="18" borderId="9" xfId="0" applyNumberFormat="1" applyFont="1" applyFill="1" applyBorder="1" applyAlignment="1">
      <alignment horizontal="center" vertical="center" wrapText="1"/>
    </xf>
    <xf numFmtId="0" fontId="6" fillId="18" borderId="14" xfId="0" applyFont="1" applyFill="1" applyBorder="1" applyAlignment="1">
      <alignment vertical="center"/>
    </xf>
    <xf numFmtId="164" fontId="8" fillId="18" borderId="13" xfId="0" applyNumberFormat="1" applyFont="1" applyFill="1" applyBorder="1" applyAlignment="1">
      <alignment horizontal="center" vertical="center" wrapText="1"/>
    </xf>
    <xf numFmtId="164" fontId="6" fillId="18" borderId="13" xfId="0" applyNumberFormat="1" applyFont="1" applyFill="1" applyBorder="1" applyAlignment="1">
      <alignment horizontal="center" vertical="center" wrapText="1"/>
    </xf>
    <xf numFmtId="164" fontId="6" fillId="18" borderId="13" xfId="0" applyNumberFormat="1" applyFont="1" applyFill="1" applyBorder="1" applyAlignment="1">
      <alignment horizontal="center" wrapText="1"/>
    </xf>
    <xf numFmtId="0" fontId="6" fillId="18" borderId="13" xfId="0" applyFont="1" applyFill="1" applyBorder="1" applyAlignment="1">
      <alignment horizontal="left" vertical="center"/>
    </xf>
    <xf numFmtId="0" fontId="6" fillId="18" borderId="13" xfId="0" applyFont="1" applyFill="1" applyBorder="1"/>
    <xf numFmtId="0" fontId="6" fillId="18" borderId="13" xfId="0" applyFont="1" applyFill="1" applyBorder="1" applyAlignment="1">
      <alignment horizontal="center" vertical="center"/>
    </xf>
    <xf numFmtId="0" fontId="24" fillId="18" borderId="13" xfId="0" applyFont="1" applyFill="1" applyBorder="1"/>
    <xf numFmtId="0" fontId="6" fillId="18" borderId="14" xfId="0" applyFont="1" applyFill="1" applyBorder="1"/>
    <xf numFmtId="0" fontId="6" fillId="18" borderId="0" xfId="0" applyFont="1" applyFill="1"/>
    <xf numFmtId="0" fontId="6" fillId="18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26" fillId="2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4" fillId="15" borderId="6" xfId="0" applyFont="1" applyFill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0" fontId="1" fillId="3" borderId="3" xfId="0" applyFont="1" applyFill="1" applyBorder="1" applyAlignment="1">
      <alignment horizontal="center" vertic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Dsdr3qsNJKZXPVrTsgAdNk-ptjNDBZcgO38lHjhaKHs/edit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document/d/1Dsdr3qsNJKZXPVrTsgAdNk-ptjNDBZcgO38lHjhaKH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0393-B328-47A5-BBEE-D2837E343BA5}">
  <sheetPr>
    <outlinePr summaryBelow="0" summaryRight="0"/>
  </sheetPr>
  <dimension ref="A1:Y960"/>
  <sheetViews>
    <sheetView tabSelected="1" zoomScale="55" zoomScaleNormal="55" workbookViewId="0">
      <selection activeCell="A3" sqref="A3:N3"/>
    </sheetView>
  </sheetViews>
  <sheetFormatPr defaultColWidth="12.7265625" defaultRowHeight="15" customHeight="1"/>
  <cols>
    <col min="1" max="1" width="28.7265625" customWidth="1"/>
    <col min="2" max="2" width="32.7265625" customWidth="1"/>
    <col min="3" max="3" width="67.7265625" customWidth="1"/>
    <col min="4" max="10" width="14.54296875" customWidth="1"/>
    <col min="11" max="14" width="1.453125" customWidth="1"/>
  </cols>
  <sheetData>
    <row r="1" spans="1:25" ht="23.2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5.5" customHeight="1">
      <c r="A2" s="112" t="s">
        <v>89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4" customHeight="1">
      <c r="A3" s="110" t="s">
        <v>88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4" customHeight="1">
      <c r="A4" s="117"/>
      <c r="B4" s="118"/>
      <c r="C4" s="118"/>
      <c r="D4" s="118"/>
      <c r="E4" s="118">
        <v>1</v>
      </c>
      <c r="F4" s="118">
        <v>2</v>
      </c>
      <c r="G4" s="118">
        <v>4</v>
      </c>
      <c r="H4" s="118"/>
      <c r="I4" s="118"/>
      <c r="J4" s="118"/>
      <c r="K4" s="118"/>
      <c r="L4" s="118"/>
      <c r="M4" s="118"/>
      <c r="N4" s="118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0.75" customHeight="1">
      <c r="A5" s="4"/>
      <c r="B5" s="4"/>
      <c r="C5" s="4"/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1</v>
      </c>
      <c r="O5" s="7"/>
      <c r="P5" s="7"/>
      <c r="Q5" s="7"/>
      <c r="R5" s="7"/>
      <c r="S5" s="7"/>
      <c r="T5" s="7"/>
      <c r="U5" s="7"/>
      <c r="V5" s="3"/>
      <c r="W5" s="3"/>
      <c r="X5" s="3"/>
      <c r="Y5" s="3"/>
    </row>
    <row r="6" spans="1:25" ht="30.75" customHeight="1">
      <c r="A6" s="8" t="s">
        <v>2</v>
      </c>
      <c r="B6" s="8" t="s">
        <v>3</v>
      </c>
      <c r="C6" s="8" t="s">
        <v>4</v>
      </c>
      <c r="D6" s="9">
        <v>0</v>
      </c>
      <c r="E6" s="9">
        <v>1</v>
      </c>
      <c r="F6" s="9">
        <v>3</v>
      </c>
      <c r="G6" s="9">
        <v>7</v>
      </c>
      <c r="H6" s="9">
        <v>15</v>
      </c>
      <c r="I6" s="9">
        <v>31</v>
      </c>
      <c r="J6" s="9">
        <v>63</v>
      </c>
      <c r="K6" s="9"/>
      <c r="L6" s="9"/>
      <c r="M6" s="8"/>
      <c r="N6" s="6"/>
      <c r="O6" s="7"/>
      <c r="P6" s="7"/>
      <c r="Q6" s="7"/>
      <c r="R6" s="7"/>
      <c r="S6" s="7"/>
      <c r="T6" s="7"/>
      <c r="U6" s="7"/>
      <c r="V6" s="3"/>
      <c r="W6" s="3"/>
      <c r="X6" s="3"/>
      <c r="Y6" s="3"/>
    </row>
    <row r="7" spans="1:25" ht="15.75" customHeight="1">
      <c r="A7" s="84"/>
      <c r="B7" s="85"/>
      <c r="C7" s="86"/>
      <c r="D7" s="81"/>
      <c r="E7" s="11">
        <f t="shared" ref="E7:M22" si="0">$D7+E$6</f>
        <v>1</v>
      </c>
      <c r="F7" s="11">
        <f t="shared" si="0"/>
        <v>3</v>
      </c>
      <c r="G7" s="11">
        <f t="shared" si="0"/>
        <v>7</v>
      </c>
      <c r="H7" s="11">
        <f t="shared" si="0"/>
        <v>15</v>
      </c>
      <c r="I7" s="11">
        <f t="shared" si="0"/>
        <v>31</v>
      </c>
      <c r="J7" s="11">
        <f t="shared" si="0"/>
        <v>63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82"/>
      <c r="O7" s="7"/>
      <c r="P7" s="7"/>
      <c r="Q7" s="7"/>
      <c r="R7" s="7"/>
      <c r="S7" s="7"/>
      <c r="T7" s="7"/>
      <c r="U7" s="7"/>
      <c r="V7" s="3"/>
      <c r="W7" s="3"/>
      <c r="X7" s="3"/>
      <c r="Y7" s="3"/>
    </row>
    <row r="8" spans="1:25" ht="15.75" customHeight="1">
      <c r="A8" s="84"/>
      <c r="B8" s="85"/>
      <c r="C8" s="86"/>
      <c r="D8" s="81"/>
      <c r="E8" s="11">
        <f t="shared" si="0"/>
        <v>1</v>
      </c>
      <c r="F8" s="11">
        <f t="shared" si="0"/>
        <v>3</v>
      </c>
      <c r="G8" s="11">
        <f t="shared" si="0"/>
        <v>7</v>
      </c>
      <c r="H8" s="11">
        <f t="shared" si="0"/>
        <v>15</v>
      </c>
      <c r="I8" s="11">
        <f t="shared" si="0"/>
        <v>31</v>
      </c>
      <c r="J8" s="11">
        <f t="shared" si="0"/>
        <v>63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82"/>
      <c r="O8" s="7"/>
      <c r="P8" s="7"/>
      <c r="Q8" s="7"/>
      <c r="R8" s="7"/>
      <c r="S8" s="7"/>
      <c r="T8" s="7"/>
      <c r="U8" s="7"/>
      <c r="V8" s="3"/>
      <c r="W8" s="3"/>
      <c r="X8" s="3"/>
      <c r="Y8" s="3"/>
    </row>
    <row r="9" spans="1:25" ht="15.75" customHeight="1">
      <c r="A9" s="84"/>
      <c r="B9" s="85"/>
      <c r="C9" s="86"/>
      <c r="D9" s="10"/>
      <c r="E9" s="11">
        <f t="shared" si="0"/>
        <v>1</v>
      </c>
      <c r="F9" s="11">
        <f t="shared" si="0"/>
        <v>3</v>
      </c>
      <c r="G9" s="11">
        <f t="shared" si="0"/>
        <v>7</v>
      </c>
      <c r="H9" s="11">
        <f t="shared" si="0"/>
        <v>15</v>
      </c>
      <c r="I9" s="11">
        <f t="shared" si="0"/>
        <v>31</v>
      </c>
      <c r="J9" s="11">
        <f t="shared" si="0"/>
        <v>63</v>
      </c>
      <c r="K9" s="11">
        <f t="shared" si="0"/>
        <v>0</v>
      </c>
      <c r="L9" s="11">
        <f t="shared" si="0"/>
        <v>0</v>
      </c>
      <c r="M9" s="11">
        <f t="shared" si="0"/>
        <v>0</v>
      </c>
      <c r="N9" s="12"/>
      <c r="O9" s="7"/>
      <c r="P9" s="7"/>
      <c r="Q9" s="7"/>
      <c r="R9" s="7"/>
      <c r="S9" s="7"/>
      <c r="T9" s="7"/>
      <c r="U9" s="7"/>
      <c r="V9" s="3"/>
      <c r="W9" s="3"/>
      <c r="X9" s="3"/>
      <c r="Y9" s="3"/>
    </row>
    <row r="10" spans="1:25" ht="15.75" customHeight="1">
      <c r="A10" s="84"/>
      <c r="B10" s="85"/>
      <c r="C10" s="86"/>
      <c r="D10" s="10"/>
      <c r="E10" s="11">
        <f t="shared" si="0"/>
        <v>1</v>
      </c>
      <c r="F10" s="11">
        <f t="shared" si="0"/>
        <v>3</v>
      </c>
      <c r="G10" s="11">
        <f t="shared" si="0"/>
        <v>7</v>
      </c>
      <c r="H10" s="11">
        <f t="shared" si="0"/>
        <v>15</v>
      </c>
      <c r="I10" s="11">
        <f t="shared" si="0"/>
        <v>31</v>
      </c>
      <c r="J10" s="11">
        <f t="shared" si="0"/>
        <v>63</v>
      </c>
      <c r="K10" s="11">
        <f t="shared" si="0"/>
        <v>0</v>
      </c>
      <c r="L10" s="11">
        <f t="shared" si="0"/>
        <v>0</v>
      </c>
      <c r="M10" s="11">
        <f t="shared" si="0"/>
        <v>0</v>
      </c>
      <c r="N10" s="12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</row>
    <row r="11" spans="1:25" ht="15.75" customHeight="1">
      <c r="A11" s="84"/>
      <c r="B11" s="85"/>
      <c r="C11" s="86"/>
      <c r="D11" s="10"/>
      <c r="E11" s="11">
        <f t="shared" si="0"/>
        <v>1</v>
      </c>
      <c r="F11" s="11">
        <f t="shared" si="0"/>
        <v>3</v>
      </c>
      <c r="G11" s="11">
        <f t="shared" si="0"/>
        <v>7</v>
      </c>
      <c r="H11" s="11">
        <f t="shared" si="0"/>
        <v>15</v>
      </c>
      <c r="I11" s="11">
        <f t="shared" si="0"/>
        <v>31</v>
      </c>
      <c r="J11" s="11">
        <f t="shared" si="0"/>
        <v>63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2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</row>
    <row r="12" spans="1:25" ht="15.75" customHeight="1">
      <c r="A12" s="84"/>
      <c r="B12" s="85"/>
      <c r="C12" s="86"/>
      <c r="D12" s="10"/>
      <c r="E12" s="11">
        <f t="shared" si="0"/>
        <v>1</v>
      </c>
      <c r="F12" s="11">
        <f t="shared" si="0"/>
        <v>3</v>
      </c>
      <c r="G12" s="11">
        <f t="shared" si="0"/>
        <v>7</v>
      </c>
      <c r="H12" s="11">
        <f t="shared" si="0"/>
        <v>15</v>
      </c>
      <c r="I12" s="11">
        <f t="shared" si="0"/>
        <v>31</v>
      </c>
      <c r="J12" s="11">
        <f t="shared" si="0"/>
        <v>63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2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</row>
    <row r="13" spans="1:25" ht="15.75" customHeight="1">
      <c r="A13" s="84"/>
      <c r="B13" s="85"/>
      <c r="C13" s="86"/>
      <c r="D13" s="10"/>
      <c r="E13" s="11">
        <f t="shared" si="0"/>
        <v>1</v>
      </c>
      <c r="F13" s="11">
        <f t="shared" si="0"/>
        <v>3</v>
      </c>
      <c r="G13" s="11">
        <f t="shared" si="0"/>
        <v>7</v>
      </c>
      <c r="H13" s="11">
        <f t="shared" si="0"/>
        <v>15</v>
      </c>
      <c r="I13" s="11">
        <f t="shared" si="0"/>
        <v>31</v>
      </c>
      <c r="J13" s="11">
        <f t="shared" si="0"/>
        <v>63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2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</row>
    <row r="14" spans="1:25" ht="15.75" customHeight="1">
      <c r="A14" s="84"/>
      <c r="B14" s="85"/>
      <c r="C14" s="86"/>
      <c r="D14" s="10"/>
      <c r="E14" s="11">
        <f t="shared" si="0"/>
        <v>1</v>
      </c>
      <c r="F14" s="11">
        <f t="shared" si="0"/>
        <v>3</v>
      </c>
      <c r="G14" s="11">
        <f t="shared" si="0"/>
        <v>7</v>
      </c>
      <c r="H14" s="11">
        <f t="shared" si="0"/>
        <v>15</v>
      </c>
      <c r="I14" s="11">
        <f t="shared" si="0"/>
        <v>31</v>
      </c>
      <c r="J14" s="11">
        <f t="shared" si="0"/>
        <v>63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2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</row>
    <row r="15" spans="1:25" ht="15" customHeight="1">
      <c r="A15" s="84"/>
      <c r="B15" s="85"/>
      <c r="C15" s="86"/>
      <c r="D15" s="10"/>
      <c r="E15" s="11">
        <f t="shared" si="0"/>
        <v>1</v>
      </c>
      <c r="F15" s="11">
        <f t="shared" si="0"/>
        <v>3</v>
      </c>
      <c r="G15" s="11">
        <f t="shared" si="0"/>
        <v>7</v>
      </c>
      <c r="H15" s="11">
        <f t="shared" si="0"/>
        <v>15</v>
      </c>
      <c r="I15" s="11">
        <f t="shared" si="0"/>
        <v>31</v>
      </c>
      <c r="J15" s="11">
        <f t="shared" si="0"/>
        <v>63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2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</row>
    <row r="16" spans="1:25" ht="15.75" customHeight="1">
      <c r="A16" s="84"/>
      <c r="B16" s="85"/>
      <c r="C16" s="86"/>
      <c r="D16" s="10"/>
      <c r="E16" s="11">
        <f t="shared" si="0"/>
        <v>1</v>
      </c>
      <c r="F16" s="11">
        <f t="shared" si="0"/>
        <v>3</v>
      </c>
      <c r="G16" s="11">
        <f t="shared" si="0"/>
        <v>7</v>
      </c>
      <c r="H16" s="11">
        <f t="shared" si="0"/>
        <v>15</v>
      </c>
      <c r="I16" s="11">
        <f t="shared" si="0"/>
        <v>31</v>
      </c>
      <c r="J16" s="11">
        <f t="shared" si="0"/>
        <v>63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2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</row>
    <row r="17" spans="1:25" ht="15.75" customHeight="1">
      <c r="A17" s="84"/>
      <c r="B17" s="87"/>
      <c r="C17" s="86"/>
      <c r="D17" s="10"/>
      <c r="E17" s="11">
        <f t="shared" si="0"/>
        <v>1</v>
      </c>
      <c r="F17" s="11">
        <f t="shared" si="0"/>
        <v>3</v>
      </c>
      <c r="G17" s="11">
        <f t="shared" si="0"/>
        <v>7</v>
      </c>
      <c r="H17" s="11">
        <f t="shared" si="0"/>
        <v>15</v>
      </c>
      <c r="I17" s="11">
        <f t="shared" si="0"/>
        <v>31</v>
      </c>
      <c r="J17" s="11">
        <f t="shared" si="0"/>
        <v>63</v>
      </c>
      <c r="K17" s="11">
        <f t="shared" si="0"/>
        <v>0</v>
      </c>
      <c r="L17" s="11">
        <f t="shared" si="0"/>
        <v>0</v>
      </c>
      <c r="M17" s="11">
        <f t="shared" si="0"/>
        <v>0</v>
      </c>
      <c r="N17" s="12"/>
      <c r="O17" s="7"/>
      <c r="P17" s="7"/>
      <c r="Q17" s="7"/>
      <c r="R17" s="7"/>
      <c r="S17" s="7"/>
      <c r="T17" s="7"/>
      <c r="U17" s="7"/>
      <c r="V17" s="3"/>
      <c r="W17" s="3"/>
      <c r="X17" s="3"/>
      <c r="Y17" s="3"/>
    </row>
    <row r="18" spans="1:25" ht="15.75" customHeight="1">
      <c r="A18" s="84"/>
      <c r="B18" s="87"/>
      <c r="C18" s="86"/>
      <c r="D18" s="10"/>
      <c r="E18" s="11">
        <f t="shared" si="0"/>
        <v>1</v>
      </c>
      <c r="F18" s="11">
        <f t="shared" si="0"/>
        <v>3</v>
      </c>
      <c r="G18" s="11">
        <f t="shared" si="0"/>
        <v>7</v>
      </c>
      <c r="H18" s="11">
        <f t="shared" si="0"/>
        <v>15</v>
      </c>
      <c r="I18" s="11">
        <f t="shared" si="0"/>
        <v>31</v>
      </c>
      <c r="J18" s="11">
        <f t="shared" si="0"/>
        <v>63</v>
      </c>
      <c r="K18" s="11">
        <f t="shared" si="0"/>
        <v>0</v>
      </c>
      <c r="L18" s="11">
        <f t="shared" si="0"/>
        <v>0</v>
      </c>
      <c r="M18" s="11">
        <f t="shared" si="0"/>
        <v>0</v>
      </c>
      <c r="N18" s="12"/>
      <c r="O18" s="7"/>
      <c r="P18" s="7"/>
      <c r="Q18" s="7"/>
      <c r="R18" s="7"/>
      <c r="S18" s="7"/>
      <c r="T18" s="7"/>
      <c r="U18" s="7"/>
      <c r="V18" s="13"/>
      <c r="W18" s="13"/>
      <c r="X18" s="13"/>
      <c r="Y18" s="13"/>
    </row>
    <row r="19" spans="1:25" ht="15.75" customHeight="1">
      <c r="A19" s="84"/>
      <c r="B19" s="87"/>
      <c r="C19" s="86"/>
      <c r="D19" s="10"/>
      <c r="E19" s="11">
        <f t="shared" si="0"/>
        <v>1</v>
      </c>
      <c r="F19" s="11">
        <f t="shared" si="0"/>
        <v>3</v>
      </c>
      <c r="G19" s="11">
        <f t="shared" si="0"/>
        <v>7</v>
      </c>
      <c r="H19" s="11">
        <f t="shared" si="0"/>
        <v>15</v>
      </c>
      <c r="I19" s="11">
        <f t="shared" si="0"/>
        <v>31</v>
      </c>
      <c r="J19" s="11">
        <f t="shared" si="0"/>
        <v>63</v>
      </c>
      <c r="K19" s="11">
        <f t="shared" si="0"/>
        <v>0</v>
      </c>
      <c r="L19" s="11">
        <f t="shared" si="0"/>
        <v>0</v>
      </c>
      <c r="M19" s="11">
        <f t="shared" si="0"/>
        <v>0</v>
      </c>
      <c r="N19" s="12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</row>
    <row r="20" spans="1:25" ht="15.75" customHeight="1">
      <c r="A20" s="84"/>
      <c r="B20" s="87"/>
      <c r="C20" s="86"/>
      <c r="D20" s="14"/>
      <c r="E20" s="11">
        <f t="shared" si="0"/>
        <v>1</v>
      </c>
      <c r="F20" s="11">
        <f t="shared" si="0"/>
        <v>3</v>
      </c>
      <c r="G20" s="11">
        <f t="shared" si="0"/>
        <v>7</v>
      </c>
      <c r="H20" s="11">
        <f t="shared" si="0"/>
        <v>15</v>
      </c>
      <c r="I20" s="11">
        <f t="shared" si="0"/>
        <v>31</v>
      </c>
      <c r="J20" s="11">
        <f t="shared" si="0"/>
        <v>63</v>
      </c>
      <c r="K20" s="11">
        <f t="shared" si="0"/>
        <v>0</v>
      </c>
      <c r="L20" s="11">
        <f t="shared" si="0"/>
        <v>0</v>
      </c>
      <c r="M20" s="11">
        <f t="shared" si="0"/>
        <v>0</v>
      </c>
      <c r="N20" s="12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</row>
    <row r="21" spans="1:25" ht="15.75" customHeight="1">
      <c r="A21" s="84"/>
      <c r="B21" s="87"/>
      <c r="C21" s="86"/>
      <c r="D21" s="15"/>
      <c r="E21" s="11">
        <f t="shared" si="0"/>
        <v>1</v>
      </c>
      <c r="F21" s="11">
        <f t="shared" si="0"/>
        <v>3</v>
      </c>
      <c r="G21" s="11">
        <f t="shared" si="0"/>
        <v>7</v>
      </c>
      <c r="H21" s="11">
        <f t="shared" si="0"/>
        <v>15</v>
      </c>
      <c r="I21" s="11">
        <f t="shared" si="0"/>
        <v>31</v>
      </c>
      <c r="J21" s="11">
        <f t="shared" si="0"/>
        <v>63</v>
      </c>
      <c r="K21" s="11">
        <f t="shared" si="0"/>
        <v>0</v>
      </c>
      <c r="L21" s="11">
        <f t="shared" si="0"/>
        <v>0</v>
      </c>
      <c r="M21" s="11">
        <f t="shared" si="0"/>
        <v>0</v>
      </c>
      <c r="N21" s="12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</row>
    <row r="22" spans="1:25" ht="15.75" customHeight="1">
      <c r="A22" s="84"/>
      <c r="B22" s="87"/>
      <c r="C22" s="86"/>
      <c r="D22" s="15"/>
      <c r="E22" s="11">
        <f t="shared" si="0"/>
        <v>1</v>
      </c>
      <c r="F22" s="11">
        <f t="shared" si="0"/>
        <v>3</v>
      </c>
      <c r="G22" s="11">
        <f t="shared" si="0"/>
        <v>7</v>
      </c>
      <c r="H22" s="11">
        <f t="shared" si="0"/>
        <v>15</v>
      </c>
      <c r="I22" s="11">
        <f t="shared" si="0"/>
        <v>31</v>
      </c>
      <c r="J22" s="11">
        <f t="shared" si="0"/>
        <v>63</v>
      </c>
      <c r="K22" s="11">
        <f t="shared" si="0"/>
        <v>0</v>
      </c>
      <c r="L22" s="11">
        <f t="shared" si="0"/>
        <v>0</v>
      </c>
      <c r="M22" s="11">
        <f t="shared" si="0"/>
        <v>0</v>
      </c>
      <c r="N22" s="12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</row>
    <row r="23" spans="1:25" ht="15.75" customHeight="1">
      <c r="A23" s="84"/>
      <c r="B23" s="87"/>
      <c r="C23" s="86"/>
      <c r="D23" s="15"/>
      <c r="E23" s="11">
        <f t="shared" ref="E23:M59" si="1">$D23+E$6</f>
        <v>1</v>
      </c>
      <c r="F23" s="11">
        <f t="shared" si="1"/>
        <v>3</v>
      </c>
      <c r="G23" s="11">
        <f t="shared" si="1"/>
        <v>7</v>
      </c>
      <c r="H23" s="11">
        <f t="shared" si="1"/>
        <v>15</v>
      </c>
      <c r="I23" s="11">
        <f t="shared" si="1"/>
        <v>31</v>
      </c>
      <c r="J23" s="11">
        <f t="shared" si="1"/>
        <v>63</v>
      </c>
      <c r="K23" s="11">
        <f t="shared" si="1"/>
        <v>0</v>
      </c>
      <c r="L23" s="11">
        <f t="shared" si="1"/>
        <v>0</v>
      </c>
      <c r="M23" s="11">
        <f t="shared" si="1"/>
        <v>0</v>
      </c>
      <c r="N23" s="12"/>
      <c r="O23" s="7"/>
      <c r="P23" s="7"/>
      <c r="Q23" s="7"/>
      <c r="R23" s="7"/>
      <c r="S23" s="7"/>
      <c r="T23" s="7"/>
      <c r="U23" s="7"/>
      <c r="V23" s="3"/>
      <c r="W23" s="3"/>
      <c r="X23" s="3"/>
      <c r="Y23" s="3"/>
    </row>
    <row r="24" spans="1:25" ht="15.75" customHeight="1">
      <c r="A24" s="84"/>
      <c r="B24" s="87"/>
      <c r="C24" s="86"/>
      <c r="D24" s="15"/>
      <c r="E24" s="11">
        <f t="shared" si="1"/>
        <v>1</v>
      </c>
      <c r="F24" s="11">
        <f t="shared" si="1"/>
        <v>3</v>
      </c>
      <c r="G24" s="11">
        <f t="shared" si="1"/>
        <v>7</v>
      </c>
      <c r="H24" s="11">
        <f t="shared" si="1"/>
        <v>15</v>
      </c>
      <c r="I24" s="11">
        <f t="shared" si="1"/>
        <v>31</v>
      </c>
      <c r="J24" s="11">
        <f t="shared" si="1"/>
        <v>63</v>
      </c>
      <c r="K24" s="11">
        <f t="shared" si="1"/>
        <v>0</v>
      </c>
      <c r="L24" s="11">
        <f t="shared" si="1"/>
        <v>0</v>
      </c>
      <c r="M24" s="11">
        <f t="shared" si="1"/>
        <v>0</v>
      </c>
      <c r="N24" s="12"/>
      <c r="O24" s="7"/>
      <c r="P24" s="7"/>
      <c r="Q24" s="7"/>
      <c r="R24" s="7"/>
      <c r="S24" s="7"/>
      <c r="T24" s="7"/>
      <c r="U24" s="7"/>
      <c r="V24" s="13"/>
      <c r="W24" s="13"/>
      <c r="X24" s="13"/>
      <c r="Y24" s="13"/>
    </row>
    <row r="25" spans="1:25" ht="15.75" customHeight="1">
      <c r="A25" s="84"/>
      <c r="B25" s="87"/>
      <c r="C25" s="86"/>
      <c r="D25" s="15"/>
      <c r="E25" s="11">
        <f t="shared" si="1"/>
        <v>1</v>
      </c>
      <c r="F25" s="11">
        <f t="shared" si="1"/>
        <v>3</v>
      </c>
      <c r="G25" s="11">
        <f t="shared" si="1"/>
        <v>7</v>
      </c>
      <c r="H25" s="11">
        <f t="shared" si="1"/>
        <v>15</v>
      </c>
      <c r="I25" s="11">
        <f t="shared" si="1"/>
        <v>31</v>
      </c>
      <c r="J25" s="11">
        <f t="shared" si="1"/>
        <v>63</v>
      </c>
      <c r="K25" s="11">
        <f t="shared" si="1"/>
        <v>0</v>
      </c>
      <c r="L25" s="11">
        <f t="shared" si="1"/>
        <v>0</v>
      </c>
      <c r="M25" s="11">
        <f t="shared" si="1"/>
        <v>0</v>
      </c>
      <c r="N25" s="12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</row>
    <row r="26" spans="1:25" ht="15.75" customHeight="1">
      <c r="A26" s="84"/>
      <c r="B26" s="87"/>
      <c r="C26" s="86"/>
      <c r="D26" s="14"/>
      <c r="E26" s="11">
        <f t="shared" si="1"/>
        <v>1</v>
      </c>
      <c r="F26" s="11">
        <f t="shared" si="1"/>
        <v>3</v>
      </c>
      <c r="G26" s="11">
        <f t="shared" si="1"/>
        <v>7</v>
      </c>
      <c r="H26" s="11">
        <f t="shared" si="1"/>
        <v>15</v>
      </c>
      <c r="I26" s="11">
        <f t="shared" si="1"/>
        <v>31</v>
      </c>
      <c r="J26" s="11">
        <f t="shared" si="1"/>
        <v>63</v>
      </c>
      <c r="K26" s="11">
        <f t="shared" si="1"/>
        <v>0</v>
      </c>
      <c r="L26" s="11">
        <f t="shared" si="1"/>
        <v>0</v>
      </c>
      <c r="M26" s="11">
        <f t="shared" si="1"/>
        <v>0</v>
      </c>
      <c r="N26" s="12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</row>
    <row r="27" spans="1:25" ht="15.75" customHeight="1">
      <c r="A27" s="84"/>
      <c r="B27" s="87"/>
      <c r="C27" s="86"/>
      <c r="D27" s="15"/>
      <c r="E27" s="11">
        <f t="shared" si="1"/>
        <v>1</v>
      </c>
      <c r="F27" s="11">
        <f t="shared" si="1"/>
        <v>3</v>
      </c>
      <c r="G27" s="11">
        <f t="shared" si="1"/>
        <v>7</v>
      </c>
      <c r="H27" s="11">
        <f t="shared" si="1"/>
        <v>15</v>
      </c>
      <c r="I27" s="11">
        <f t="shared" si="1"/>
        <v>31</v>
      </c>
      <c r="J27" s="11">
        <f t="shared" si="1"/>
        <v>63</v>
      </c>
      <c r="K27" s="11">
        <f t="shared" si="1"/>
        <v>0</v>
      </c>
      <c r="L27" s="11">
        <f t="shared" si="1"/>
        <v>0</v>
      </c>
      <c r="M27" s="11">
        <f t="shared" si="1"/>
        <v>0</v>
      </c>
      <c r="N27" s="12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</row>
    <row r="28" spans="1:25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</row>
    <row r="29" spans="1:25" ht="15.75" customHeight="1">
      <c r="A29" s="88"/>
      <c r="B29" s="89"/>
      <c r="C29" s="90"/>
      <c r="D29" s="91"/>
      <c r="E29" s="11">
        <f t="shared" si="1"/>
        <v>1</v>
      </c>
      <c r="F29" s="11">
        <f t="shared" si="1"/>
        <v>3</v>
      </c>
      <c r="G29" s="11">
        <f t="shared" si="1"/>
        <v>7</v>
      </c>
      <c r="H29" s="11">
        <f t="shared" si="1"/>
        <v>15</v>
      </c>
      <c r="I29" s="11">
        <f t="shared" si="1"/>
        <v>31</v>
      </c>
      <c r="J29" s="11">
        <f t="shared" si="1"/>
        <v>63</v>
      </c>
      <c r="K29" s="11">
        <f t="shared" si="1"/>
        <v>0</v>
      </c>
      <c r="L29" s="11">
        <f t="shared" si="1"/>
        <v>0</v>
      </c>
      <c r="M29" s="11">
        <f t="shared" si="1"/>
        <v>0</v>
      </c>
      <c r="N29" s="1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</row>
    <row r="30" spans="1:25" ht="15.75" customHeight="1">
      <c r="A30" s="88"/>
      <c r="B30" s="89"/>
      <c r="C30" s="90"/>
      <c r="D30" s="91"/>
      <c r="E30" s="11">
        <f t="shared" si="1"/>
        <v>1</v>
      </c>
      <c r="F30" s="11">
        <f t="shared" si="1"/>
        <v>3</v>
      </c>
      <c r="G30" s="11">
        <f t="shared" si="1"/>
        <v>7</v>
      </c>
      <c r="H30" s="11">
        <f t="shared" si="1"/>
        <v>15</v>
      </c>
      <c r="I30" s="11">
        <f t="shared" si="1"/>
        <v>31</v>
      </c>
      <c r="J30" s="11">
        <f t="shared" si="1"/>
        <v>63</v>
      </c>
      <c r="K30" s="11">
        <f t="shared" si="1"/>
        <v>0</v>
      </c>
      <c r="L30" s="11">
        <f t="shared" si="1"/>
        <v>0</v>
      </c>
      <c r="M30" s="11">
        <f t="shared" si="1"/>
        <v>0</v>
      </c>
      <c r="N30" s="17"/>
      <c r="O30" s="7"/>
      <c r="P30" s="7"/>
      <c r="Q30" s="7"/>
      <c r="R30" s="7"/>
      <c r="S30" s="7"/>
      <c r="T30" s="7"/>
      <c r="U30" s="7"/>
      <c r="V30" s="3"/>
      <c r="W30" s="3"/>
      <c r="X30" s="3"/>
      <c r="Y30" s="3"/>
    </row>
    <row r="31" spans="1:25" ht="15.75" customHeight="1">
      <c r="A31" s="88"/>
      <c r="B31" s="89"/>
      <c r="C31" s="90"/>
      <c r="D31" s="92"/>
      <c r="E31" s="11">
        <f t="shared" si="1"/>
        <v>1</v>
      </c>
      <c r="F31" s="11">
        <f t="shared" si="1"/>
        <v>3</v>
      </c>
      <c r="G31" s="11">
        <f t="shared" si="1"/>
        <v>7</v>
      </c>
      <c r="H31" s="11">
        <f t="shared" si="1"/>
        <v>15</v>
      </c>
      <c r="I31" s="11">
        <f t="shared" si="1"/>
        <v>31</v>
      </c>
      <c r="J31" s="11">
        <f t="shared" si="1"/>
        <v>63</v>
      </c>
      <c r="K31" s="11">
        <f t="shared" si="1"/>
        <v>0</v>
      </c>
      <c r="L31" s="11">
        <f t="shared" si="1"/>
        <v>0</v>
      </c>
      <c r="M31" s="11">
        <f t="shared" si="1"/>
        <v>0</v>
      </c>
      <c r="N31" s="17"/>
      <c r="O31" s="7"/>
      <c r="P31" s="7"/>
      <c r="Q31" s="7"/>
      <c r="R31" s="7"/>
      <c r="S31" s="7"/>
      <c r="T31" s="7"/>
      <c r="U31" s="7"/>
      <c r="V31" s="13"/>
      <c r="W31" s="13"/>
      <c r="X31" s="13"/>
      <c r="Y31" s="13"/>
    </row>
    <row r="32" spans="1:25" ht="15.75" customHeight="1">
      <c r="A32" s="88"/>
      <c r="B32" s="89"/>
      <c r="C32" s="90"/>
      <c r="D32" s="92"/>
      <c r="E32" s="11">
        <f t="shared" si="1"/>
        <v>1</v>
      </c>
      <c r="F32" s="11">
        <f t="shared" si="1"/>
        <v>3</v>
      </c>
      <c r="G32" s="11">
        <f t="shared" si="1"/>
        <v>7</v>
      </c>
      <c r="H32" s="11">
        <f t="shared" si="1"/>
        <v>15</v>
      </c>
      <c r="I32" s="11">
        <f t="shared" si="1"/>
        <v>31</v>
      </c>
      <c r="J32" s="11">
        <f t="shared" si="1"/>
        <v>63</v>
      </c>
      <c r="K32" s="11">
        <f t="shared" si="1"/>
        <v>0</v>
      </c>
      <c r="L32" s="11">
        <f t="shared" si="1"/>
        <v>0</v>
      </c>
      <c r="M32" s="11">
        <f t="shared" si="1"/>
        <v>0</v>
      </c>
      <c r="N32" s="17"/>
      <c r="O32" s="7"/>
      <c r="P32" s="7"/>
      <c r="Q32" s="7"/>
      <c r="R32" s="7"/>
      <c r="S32" s="7"/>
      <c r="T32" s="7"/>
      <c r="U32" s="7"/>
      <c r="V32" s="13"/>
      <c r="W32" s="13"/>
      <c r="X32" s="13"/>
      <c r="Y32" s="13"/>
    </row>
    <row r="33" spans="1:25" ht="15.75" customHeight="1">
      <c r="A33" s="88"/>
      <c r="B33" s="89"/>
      <c r="C33" s="93"/>
      <c r="D33" s="92"/>
      <c r="E33" s="11">
        <f t="shared" si="1"/>
        <v>1</v>
      </c>
      <c r="F33" s="11">
        <f t="shared" si="1"/>
        <v>3</v>
      </c>
      <c r="G33" s="11">
        <f t="shared" si="1"/>
        <v>7</v>
      </c>
      <c r="H33" s="11">
        <f t="shared" si="1"/>
        <v>15</v>
      </c>
      <c r="I33" s="11">
        <f t="shared" si="1"/>
        <v>31</v>
      </c>
      <c r="J33" s="11">
        <f t="shared" si="1"/>
        <v>63</v>
      </c>
      <c r="K33" s="11">
        <f t="shared" si="1"/>
        <v>0</v>
      </c>
      <c r="L33" s="11">
        <f t="shared" si="1"/>
        <v>0</v>
      </c>
      <c r="M33" s="11">
        <f t="shared" si="1"/>
        <v>0</v>
      </c>
      <c r="N33" s="17"/>
      <c r="O33" s="7"/>
      <c r="P33" s="7"/>
      <c r="Q33" s="7"/>
      <c r="R33" s="7"/>
      <c r="S33" s="7"/>
      <c r="T33" s="7"/>
      <c r="U33" s="7"/>
      <c r="V33" s="3"/>
      <c r="W33" s="3"/>
      <c r="X33" s="3"/>
      <c r="Y33" s="3"/>
    </row>
    <row r="34" spans="1:25" ht="15.75" customHeight="1">
      <c r="A34" s="88"/>
      <c r="B34" s="89"/>
      <c r="C34" s="93"/>
      <c r="D34" s="92"/>
      <c r="E34" s="11">
        <f t="shared" si="1"/>
        <v>1</v>
      </c>
      <c r="F34" s="11">
        <f t="shared" si="1"/>
        <v>3</v>
      </c>
      <c r="G34" s="11">
        <f t="shared" si="1"/>
        <v>7</v>
      </c>
      <c r="H34" s="11">
        <f t="shared" si="1"/>
        <v>15</v>
      </c>
      <c r="I34" s="11">
        <f t="shared" si="1"/>
        <v>31</v>
      </c>
      <c r="J34" s="11">
        <f t="shared" si="1"/>
        <v>63</v>
      </c>
      <c r="K34" s="11">
        <f t="shared" si="1"/>
        <v>0</v>
      </c>
      <c r="L34" s="11">
        <f t="shared" si="1"/>
        <v>0</v>
      </c>
      <c r="M34" s="11">
        <f t="shared" si="1"/>
        <v>0</v>
      </c>
      <c r="N34" s="17"/>
      <c r="O34" s="7"/>
      <c r="P34" s="7"/>
      <c r="Q34" s="7"/>
      <c r="R34" s="7"/>
      <c r="S34" s="7"/>
      <c r="T34" s="7"/>
      <c r="U34" s="7"/>
      <c r="V34" s="13"/>
      <c r="W34" s="13"/>
      <c r="X34" s="13"/>
      <c r="Y34" s="13"/>
    </row>
    <row r="35" spans="1:25" ht="15.75" customHeight="1">
      <c r="A35" s="88"/>
      <c r="B35" s="89"/>
      <c r="C35" s="93"/>
      <c r="D35" s="92"/>
      <c r="E35" s="11">
        <f t="shared" si="1"/>
        <v>1</v>
      </c>
      <c r="F35" s="11">
        <f t="shared" si="1"/>
        <v>3</v>
      </c>
      <c r="G35" s="11">
        <f t="shared" si="1"/>
        <v>7</v>
      </c>
      <c r="H35" s="11">
        <f t="shared" si="1"/>
        <v>15</v>
      </c>
      <c r="I35" s="11">
        <f t="shared" si="1"/>
        <v>31</v>
      </c>
      <c r="J35" s="11">
        <f t="shared" si="1"/>
        <v>63</v>
      </c>
      <c r="K35" s="11">
        <f t="shared" si="1"/>
        <v>0</v>
      </c>
      <c r="L35" s="11">
        <f t="shared" si="1"/>
        <v>0</v>
      </c>
      <c r="M35" s="11">
        <f t="shared" si="1"/>
        <v>0</v>
      </c>
      <c r="N35" s="17"/>
      <c r="O35" s="7"/>
      <c r="P35" s="7"/>
      <c r="Q35" s="7"/>
      <c r="R35" s="7"/>
      <c r="S35" s="7"/>
      <c r="T35" s="7"/>
      <c r="U35" s="7"/>
      <c r="V35" s="13"/>
      <c r="W35" s="13"/>
      <c r="X35" s="13"/>
      <c r="Y35" s="13"/>
    </row>
    <row r="36" spans="1:25" ht="15.75" customHeight="1">
      <c r="A36" s="88"/>
      <c r="B36" s="89"/>
      <c r="C36" s="93"/>
      <c r="D36" s="94"/>
      <c r="E36" s="11">
        <f t="shared" si="1"/>
        <v>1</v>
      </c>
      <c r="F36" s="11">
        <f t="shared" si="1"/>
        <v>3</v>
      </c>
      <c r="G36" s="11">
        <f t="shared" si="1"/>
        <v>7</v>
      </c>
      <c r="H36" s="11">
        <f t="shared" si="1"/>
        <v>15</v>
      </c>
      <c r="I36" s="11">
        <f t="shared" si="1"/>
        <v>31</v>
      </c>
      <c r="J36" s="11">
        <f t="shared" si="1"/>
        <v>63</v>
      </c>
      <c r="K36" s="11">
        <f t="shared" si="1"/>
        <v>0</v>
      </c>
      <c r="L36" s="11">
        <f t="shared" si="1"/>
        <v>0</v>
      </c>
      <c r="M36" s="11">
        <f t="shared" si="1"/>
        <v>0</v>
      </c>
      <c r="N36" s="17"/>
      <c r="O36" s="7"/>
      <c r="P36" s="7"/>
      <c r="Q36" s="7"/>
      <c r="R36" s="7"/>
      <c r="S36" s="7"/>
      <c r="T36" s="7"/>
      <c r="U36" s="7"/>
      <c r="V36" s="13"/>
      <c r="W36" s="13"/>
      <c r="X36" s="13"/>
      <c r="Y36" s="13"/>
    </row>
    <row r="37" spans="1:25" ht="15.75" customHeight="1">
      <c r="A37" s="88"/>
      <c r="B37" s="89"/>
      <c r="C37" s="93"/>
      <c r="D37" s="94"/>
      <c r="E37" s="11">
        <f t="shared" si="1"/>
        <v>1</v>
      </c>
      <c r="F37" s="11">
        <f t="shared" si="1"/>
        <v>3</v>
      </c>
      <c r="G37" s="11">
        <f t="shared" si="1"/>
        <v>7</v>
      </c>
      <c r="H37" s="11">
        <f t="shared" si="1"/>
        <v>15</v>
      </c>
      <c r="I37" s="11">
        <f t="shared" si="1"/>
        <v>31</v>
      </c>
      <c r="J37" s="11">
        <f t="shared" si="1"/>
        <v>63</v>
      </c>
      <c r="K37" s="11">
        <f t="shared" si="1"/>
        <v>0</v>
      </c>
      <c r="L37" s="11">
        <f t="shared" si="1"/>
        <v>0</v>
      </c>
      <c r="M37" s="11">
        <f t="shared" si="1"/>
        <v>0</v>
      </c>
      <c r="N37" s="17"/>
      <c r="O37" s="7"/>
      <c r="P37" s="7"/>
      <c r="Q37" s="7"/>
      <c r="R37" s="7"/>
      <c r="S37" s="7"/>
      <c r="T37" s="7"/>
      <c r="U37" s="7"/>
      <c r="V37" s="3"/>
      <c r="W37" s="3"/>
      <c r="X37" s="3"/>
      <c r="Y37" s="3"/>
    </row>
    <row r="38" spans="1:25" ht="15.75" customHeight="1">
      <c r="A38" s="88"/>
      <c r="B38" s="89"/>
      <c r="C38" s="93"/>
      <c r="D38" s="94"/>
      <c r="E38" s="11">
        <f t="shared" si="1"/>
        <v>1</v>
      </c>
      <c r="F38" s="11">
        <f t="shared" si="1"/>
        <v>3</v>
      </c>
      <c r="G38" s="11">
        <f t="shared" si="1"/>
        <v>7</v>
      </c>
      <c r="H38" s="11">
        <f t="shared" si="1"/>
        <v>15</v>
      </c>
      <c r="I38" s="11">
        <f t="shared" si="1"/>
        <v>31</v>
      </c>
      <c r="J38" s="11">
        <f t="shared" si="1"/>
        <v>63</v>
      </c>
      <c r="K38" s="11">
        <f t="shared" si="1"/>
        <v>0</v>
      </c>
      <c r="L38" s="11">
        <f t="shared" si="1"/>
        <v>0</v>
      </c>
      <c r="M38" s="11">
        <f t="shared" si="1"/>
        <v>0</v>
      </c>
      <c r="N38" s="17"/>
      <c r="O38" s="7"/>
      <c r="P38" s="7"/>
      <c r="Q38" s="7"/>
      <c r="R38" s="7"/>
      <c r="S38" s="7"/>
      <c r="T38" s="7"/>
      <c r="U38" s="7"/>
      <c r="V38" s="3"/>
      <c r="W38" s="3"/>
      <c r="X38" s="3"/>
      <c r="Y38" s="3"/>
    </row>
    <row r="39" spans="1:25" ht="15.75" customHeight="1">
      <c r="A39" s="88"/>
      <c r="B39" s="89"/>
      <c r="C39" s="93"/>
      <c r="D39" s="94"/>
      <c r="E39" s="11">
        <f t="shared" si="1"/>
        <v>1</v>
      </c>
      <c r="F39" s="11">
        <f t="shared" si="1"/>
        <v>3</v>
      </c>
      <c r="G39" s="11">
        <f t="shared" si="1"/>
        <v>7</v>
      </c>
      <c r="H39" s="11">
        <f t="shared" si="1"/>
        <v>15</v>
      </c>
      <c r="I39" s="11">
        <f t="shared" si="1"/>
        <v>31</v>
      </c>
      <c r="J39" s="11">
        <f t="shared" si="1"/>
        <v>63</v>
      </c>
      <c r="K39" s="11">
        <f t="shared" si="1"/>
        <v>0</v>
      </c>
      <c r="L39" s="11">
        <f t="shared" si="1"/>
        <v>0</v>
      </c>
      <c r="M39" s="11">
        <f t="shared" si="1"/>
        <v>0</v>
      </c>
      <c r="N39" s="17"/>
      <c r="O39" s="7"/>
      <c r="P39" s="7"/>
      <c r="Q39" s="7"/>
      <c r="R39" s="7"/>
      <c r="S39" s="7"/>
      <c r="T39" s="7"/>
      <c r="U39" s="7"/>
      <c r="V39" s="3"/>
      <c r="W39" s="3"/>
      <c r="X39" s="3"/>
      <c r="Y39" s="3"/>
    </row>
    <row r="40" spans="1:25" ht="15.75" customHeight="1">
      <c r="A40" s="88"/>
      <c r="B40" s="95"/>
      <c r="C40" s="93"/>
      <c r="D40" s="96"/>
      <c r="E40" s="11">
        <f t="shared" si="1"/>
        <v>1</v>
      </c>
      <c r="F40" s="11">
        <f t="shared" si="1"/>
        <v>3</v>
      </c>
      <c r="G40" s="11">
        <f t="shared" si="1"/>
        <v>7</v>
      </c>
      <c r="H40" s="11">
        <f t="shared" si="1"/>
        <v>15</v>
      </c>
      <c r="I40" s="11">
        <f t="shared" si="1"/>
        <v>31</v>
      </c>
      <c r="J40" s="11">
        <f t="shared" si="1"/>
        <v>63</v>
      </c>
      <c r="K40" s="11">
        <f t="shared" si="1"/>
        <v>0</v>
      </c>
      <c r="L40" s="11">
        <f t="shared" si="1"/>
        <v>0</v>
      </c>
      <c r="M40" s="11">
        <f t="shared" si="1"/>
        <v>0</v>
      </c>
      <c r="N40" s="17"/>
      <c r="O40" s="7"/>
      <c r="P40" s="7"/>
      <c r="Q40" s="7"/>
      <c r="R40" s="7"/>
      <c r="S40" s="7"/>
      <c r="T40" s="7"/>
      <c r="U40" s="7"/>
      <c r="V40" s="3"/>
      <c r="W40" s="3"/>
      <c r="X40" s="3"/>
      <c r="Y40" s="3"/>
    </row>
    <row r="41" spans="1:25" ht="15.75" customHeight="1">
      <c r="A41" s="88"/>
      <c r="B41" s="95"/>
      <c r="C41" s="93"/>
      <c r="D41" s="97"/>
      <c r="E41" s="11">
        <f t="shared" si="1"/>
        <v>1</v>
      </c>
      <c r="F41" s="11">
        <f t="shared" si="1"/>
        <v>3</v>
      </c>
      <c r="G41" s="11">
        <f t="shared" si="1"/>
        <v>7</v>
      </c>
      <c r="H41" s="11">
        <f t="shared" si="1"/>
        <v>15</v>
      </c>
      <c r="I41" s="11">
        <f t="shared" si="1"/>
        <v>31</v>
      </c>
      <c r="J41" s="11">
        <f t="shared" si="1"/>
        <v>63</v>
      </c>
      <c r="K41" s="11">
        <f t="shared" si="1"/>
        <v>0</v>
      </c>
      <c r="L41" s="11">
        <f t="shared" si="1"/>
        <v>0</v>
      </c>
      <c r="M41" s="11">
        <f t="shared" si="1"/>
        <v>0</v>
      </c>
      <c r="N41" s="17"/>
      <c r="O41" s="7"/>
      <c r="P41" s="7"/>
      <c r="Q41" s="7"/>
      <c r="R41" s="7"/>
      <c r="S41" s="7"/>
      <c r="T41" s="7"/>
      <c r="U41" s="7"/>
      <c r="V41" s="3"/>
      <c r="W41" s="3"/>
      <c r="X41" s="3"/>
      <c r="Y41" s="3"/>
    </row>
    <row r="42" spans="1:25" ht="15.75" customHeight="1">
      <c r="A42" s="88"/>
      <c r="B42" s="95"/>
      <c r="C42" s="93"/>
      <c r="D42" s="98"/>
      <c r="E42" s="11">
        <f t="shared" si="1"/>
        <v>1</v>
      </c>
      <c r="F42" s="11">
        <f t="shared" si="1"/>
        <v>3</v>
      </c>
      <c r="G42" s="11">
        <f t="shared" si="1"/>
        <v>7</v>
      </c>
      <c r="H42" s="11">
        <f t="shared" si="1"/>
        <v>15</v>
      </c>
      <c r="I42" s="11">
        <f t="shared" si="1"/>
        <v>31</v>
      </c>
      <c r="J42" s="11">
        <f t="shared" si="1"/>
        <v>63</v>
      </c>
      <c r="K42" s="11">
        <f t="shared" si="1"/>
        <v>0</v>
      </c>
      <c r="L42" s="11">
        <f t="shared" si="1"/>
        <v>0</v>
      </c>
      <c r="M42" s="11">
        <f t="shared" si="1"/>
        <v>0</v>
      </c>
      <c r="N42" s="17"/>
      <c r="O42" s="7"/>
      <c r="P42" s="7"/>
      <c r="Q42" s="7"/>
      <c r="R42" s="7"/>
      <c r="S42" s="7"/>
      <c r="T42" s="7"/>
      <c r="U42" s="7"/>
      <c r="V42" s="3"/>
      <c r="W42" s="3"/>
      <c r="X42" s="3"/>
      <c r="Y42" s="3"/>
    </row>
    <row r="43" spans="1:25" ht="15.75" customHeight="1">
      <c r="A43" s="88"/>
      <c r="B43" s="95"/>
      <c r="C43" s="93"/>
      <c r="D43" s="98"/>
      <c r="E43" s="11">
        <f t="shared" si="1"/>
        <v>1</v>
      </c>
      <c r="F43" s="11">
        <f t="shared" si="1"/>
        <v>3</v>
      </c>
      <c r="G43" s="11">
        <f t="shared" si="1"/>
        <v>7</v>
      </c>
      <c r="H43" s="11">
        <f t="shared" si="1"/>
        <v>15</v>
      </c>
      <c r="I43" s="11">
        <f t="shared" si="1"/>
        <v>31</v>
      </c>
      <c r="J43" s="11">
        <f t="shared" si="1"/>
        <v>63</v>
      </c>
      <c r="K43" s="11">
        <f t="shared" si="1"/>
        <v>0</v>
      </c>
      <c r="L43" s="11">
        <f t="shared" si="1"/>
        <v>0</v>
      </c>
      <c r="M43" s="11">
        <f t="shared" si="1"/>
        <v>0</v>
      </c>
      <c r="N43" s="1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</row>
    <row r="44" spans="1:25" ht="15.75" customHeight="1">
      <c r="A44" s="88"/>
      <c r="B44" s="95"/>
      <c r="C44" s="93"/>
      <c r="D44" s="98"/>
      <c r="E44" s="11">
        <f t="shared" si="1"/>
        <v>1</v>
      </c>
      <c r="F44" s="11">
        <f t="shared" si="1"/>
        <v>3</v>
      </c>
      <c r="G44" s="11">
        <f t="shared" si="1"/>
        <v>7</v>
      </c>
      <c r="H44" s="11">
        <f t="shared" si="1"/>
        <v>15</v>
      </c>
      <c r="I44" s="11">
        <f t="shared" si="1"/>
        <v>31</v>
      </c>
      <c r="J44" s="11">
        <f t="shared" si="1"/>
        <v>63</v>
      </c>
      <c r="K44" s="11">
        <f t="shared" si="1"/>
        <v>0</v>
      </c>
      <c r="L44" s="11">
        <f t="shared" si="1"/>
        <v>0</v>
      </c>
      <c r="M44" s="11">
        <f t="shared" si="1"/>
        <v>0</v>
      </c>
      <c r="N44" s="1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</row>
    <row r="45" spans="1:25" ht="15.75" customHeight="1">
      <c r="A45" s="88"/>
      <c r="B45" s="95"/>
      <c r="C45" s="93"/>
      <c r="D45" s="98"/>
      <c r="E45" s="11">
        <f t="shared" si="1"/>
        <v>1</v>
      </c>
      <c r="F45" s="11">
        <f t="shared" si="1"/>
        <v>3</v>
      </c>
      <c r="G45" s="11">
        <f t="shared" si="1"/>
        <v>7</v>
      </c>
      <c r="H45" s="11">
        <f t="shared" si="1"/>
        <v>15</v>
      </c>
      <c r="I45" s="11">
        <f t="shared" si="1"/>
        <v>31</v>
      </c>
      <c r="J45" s="11">
        <f t="shared" si="1"/>
        <v>63</v>
      </c>
      <c r="K45" s="11">
        <f t="shared" si="1"/>
        <v>0</v>
      </c>
      <c r="L45" s="11">
        <f t="shared" si="1"/>
        <v>0</v>
      </c>
      <c r="M45" s="11">
        <f t="shared" si="1"/>
        <v>0</v>
      </c>
      <c r="N45" s="17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</row>
    <row r="46" spans="1:25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</row>
    <row r="47" spans="1:25" ht="15.75" customHeight="1">
      <c r="A47" s="88"/>
      <c r="B47" s="95"/>
      <c r="C47" s="99"/>
      <c r="D47" s="100"/>
      <c r="E47" s="83">
        <f t="shared" si="1"/>
        <v>1</v>
      </c>
      <c r="F47" s="11">
        <f t="shared" si="1"/>
        <v>3</v>
      </c>
      <c r="G47" s="11">
        <f t="shared" si="1"/>
        <v>7</v>
      </c>
      <c r="H47" s="11">
        <f t="shared" si="1"/>
        <v>15</v>
      </c>
      <c r="I47" s="11">
        <f t="shared" si="1"/>
        <v>31</v>
      </c>
      <c r="J47" s="11">
        <f t="shared" si="1"/>
        <v>63</v>
      </c>
      <c r="K47" s="11">
        <f t="shared" si="1"/>
        <v>0</v>
      </c>
      <c r="L47" s="11">
        <f t="shared" si="1"/>
        <v>0</v>
      </c>
      <c r="M47" s="11">
        <f t="shared" si="1"/>
        <v>0</v>
      </c>
      <c r="N47" s="1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</row>
    <row r="48" spans="1:25" ht="15.75" customHeight="1">
      <c r="A48" s="88"/>
      <c r="B48" s="95"/>
      <c r="C48" s="99"/>
      <c r="D48" s="101"/>
      <c r="E48" s="83">
        <f t="shared" si="1"/>
        <v>1</v>
      </c>
      <c r="F48" s="11">
        <f t="shared" si="1"/>
        <v>3</v>
      </c>
      <c r="G48" s="11">
        <f t="shared" si="1"/>
        <v>7</v>
      </c>
      <c r="H48" s="11">
        <f t="shared" si="1"/>
        <v>15</v>
      </c>
      <c r="I48" s="11">
        <f t="shared" si="1"/>
        <v>31</v>
      </c>
      <c r="J48" s="11">
        <f t="shared" si="1"/>
        <v>63</v>
      </c>
      <c r="K48" s="11">
        <f t="shared" si="1"/>
        <v>0</v>
      </c>
      <c r="L48" s="11">
        <f t="shared" si="1"/>
        <v>0</v>
      </c>
      <c r="M48" s="11">
        <f t="shared" si="1"/>
        <v>0</v>
      </c>
      <c r="N48" s="1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</row>
    <row r="49" spans="1:25" ht="15.75" customHeight="1">
      <c r="A49" s="88"/>
      <c r="B49" s="95"/>
      <c r="C49" s="99"/>
      <c r="D49" s="101"/>
      <c r="E49" s="83">
        <f t="shared" si="1"/>
        <v>1</v>
      </c>
      <c r="F49" s="11">
        <f t="shared" si="1"/>
        <v>3</v>
      </c>
      <c r="G49" s="11">
        <f t="shared" si="1"/>
        <v>7</v>
      </c>
      <c r="H49" s="11">
        <f t="shared" si="1"/>
        <v>15</v>
      </c>
      <c r="I49" s="11">
        <f t="shared" si="1"/>
        <v>31</v>
      </c>
      <c r="J49" s="11">
        <f t="shared" si="1"/>
        <v>63</v>
      </c>
      <c r="K49" s="11">
        <f t="shared" si="1"/>
        <v>0</v>
      </c>
      <c r="L49" s="11">
        <f t="shared" si="1"/>
        <v>0</v>
      </c>
      <c r="M49" s="11">
        <f t="shared" si="1"/>
        <v>0</v>
      </c>
      <c r="N49" s="1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</row>
    <row r="50" spans="1:25" ht="15.75" customHeight="1">
      <c r="A50" s="88"/>
      <c r="B50" s="95"/>
      <c r="C50" s="99"/>
      <c r="D50" s="101"/>
      <c r="E50" s="83">
        <f t="shared" si="1"/>
        <v>1</v>
      </c>
      <c r="F50" s="11">
        <f t="shared" si="1"/>
        <v>3</v>
      </c>
      <c r="G50" s="11">
        <f t="shared" si="1"/>
        <v>7</v>
      </c>
      <c r="H50" s="11">
        <f t="shared" si="1"/>
        <v>15</v>
      </c>
      <c r="I50" s="11">
        <f t="shared" si="1"/>
        <v>31</v>
      </c>
      <c r="J50" s="11">
        <f t="shared" si="1"/>
        <v>63</v>
      </c>
      <c r="K50" s="11">
        <f t="shared" si="1"/>
        <v>0</v>
      </c>
      <c r="L50" s="11">
        <f t="shared" si="1"/>
        <v>0</v>
      </c>
      <c r="M50" s="11">
        <f t="shared" si="1"/>
        <v>0</v>
      </c>
      <c r="N50" s="1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</row>
    <row r="51" spans="1:25" ht="15.75" customHeight="1">
      <c r="A51" s="88"/>
      <c r="B51" s="95"/>
      <c r="C51" s="99"/>
      <c r="D51" s="101"/>
      <c r="E51" s="83">
        <f t="shared" si="1"/>
        <v>1</v>
      </c>
      <c r="F51" s="11">
        <f t="shared" si="1"/>
        <v>3</v>
      </c>
      <c r="G51" s="11">
        <f t="shared" si="1"/>
        <v>7</v>
      </c>
      <c r="H51" s="11">
        <f t="shared" si="1"/>
        <v>15</v>
      </c>
      <c r="I51" s="11">
        <f t="shared" si="1"/>
        <v>31</v>
      </c>
      <c r="J51" s="11">
        <f t="shared" si="1"/>
        <v>63</v>
      </c>
      <c r="K51" s="11">
        <f t="shared" si="1"/>
        <v>0</v>
      </c>
      <c r="L51" s="11">
        <f t="shared" si="1"/>
        <v>0</v>
      </c>
      <c r="M51" s="11">
        <f t="shared" si="1"/>
        <v>0</v>
      </c>
      <c r="N51" s="1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</row>
    <row r="52" spans="1:25" ht="15.75" customHeight="1">
      <c r="A52" s="109"/>
      <c r="B52" s="95"/>
      <c r="C52" s="99"/>
      <c r="D52" s="101"/>
      <c r="E52" s="83">
        <f t="shared" si="1"/>
        <v>1</v>
      </c>
      <c r="F52" s="11">
        <f t="shared" si="1"/>
        <v>3</v>
      </c>
      <c r="G52" s="11">
        <f t="shared" si="1"/>
        <v>7</v>
      </c>
      <c r="H52" s="11">
        <f t="shared" si="1"/>
        <v>15</v>
      </c>
      <c r="I52" s="11">
        <f t="shared" si="1"/>
        <v>31</v>
      </c>
      <c r="J52" s="11">
        <f t="shared" si="1"/>
        <v>63</v>
      </c>
      <c r="K52" s="11">
        <f t="shared" si="1"/>
        <v>0</v>
      </c>
      <c r="L52" s="11">
        <f t="shared" si="1"/>
        <v>0</v>
      </c>
      <c r="M52" s="11">
        <f t="shared" si="1"/>
        <v>0</v>
      </c>
      <c r="N52" s="1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</row>
    <row r="53" spans="1:25" ht="15.75" customHeight="1">
      <c r="A53" s="88"/>
      <c r="B53" s="95"/>
      <c r="C53" s="99"/>
      <c r="D53" s="101"/>
      <c r="E53" s="83">
        <f t="shared" si="1"/>
        <v>1</v>
      </c>
      <c r="F53" s="11">
        <f t="shared" si="1"/>
        <v>3</v>
      </c>
      <c r="G53" s="11">
        <f t="shared" si="1"/>
        <v>7</v>
      </c>
      <c r="H53" s="11">
        <f t="shared" ref="E53:M77" si="2">$D53+H$6</f>
        <v>15</v>
      </c>
      <c r="I53" s="11">
        <f t="shared" si="2"/>
        <v>31</v>
      </c>
      <c r="J53" s="11">
        <f t="shared" si="2"/>
        <v>63</v>
      </c>
      <c r="K53" s="11">
        <f t="shared" si="2"/>
        <v>0</v>
      </c>
      <c r="L53" s="11">
        <f t="shared" si="2"/>
        <v>0</v>
      </c>
      <c r="M53" s="11">
        <f t="shared" si="2"/>
        <v>0</v>
      </c>
      <c r="N53" s="1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</row>
    <row r="54" spans="1:25" ht="15.75" customHeight="1">
      <c r="A54" s="88"/>
      <c r="B54" s="95"/>
      <c r="C54" s="99"/>
      <c r="D54" s="101"/>
      <c r="E54" s="83">
        <f t="shared" si="2"/>
        <v>1</v>
      </c>
      <c r="F54" s="11">
        <f t="shared" si="2"/>
        <v>3</v>
      </c>
      <c r="G54" s="11">
        <f t="shared" si="2"/>
        <v>7</v>
      </c>
      <c r="H54" s="11">
        <f t="shared" si="2"/>
        <v>15</v>
      </c>
      <c r="I54" s="11">
        <f t="shared" si="2"/>
        <v>31</v>
      </c>
      <c r="J54" s="11">
        <f t="shared" si="2"/>
        <v>63</v>
      </c>
      <c r="K54" s="11">
        <f t="shared" si="2"/>
        <v>0</v>
      </c>
      <c r="L54" s="11">
        <f t="shared" si="2"/>
        <v>0</v>
      </c>
      <c r="M54" s="11">
        <f t="shared" si="2"/>
        <v>0</v>
      </c>
      <c r="N54" s="1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</row>
    <row r="55" spans="1:25" ht="15.75" customHeight="1">
      <c r="A55" s="88"/>
      <c r="B55" s="95"/>
      <c r="C55" s="99"/>
      <c r="D55" s="102"/>
      <c r="E55" s="83">
        <f t="shared" si="2"/>
        <v>1</v>
      </c>
      <c r="F55" s="11">
        <f t="shared" si="2"/>
        <v>3</v>
      </c>
      <c r="G55" s="11">
        <f t="shared" si="2"/>
        <v>7</v>
      </c>
      <c r="H55" s="11">
        <f t="shared" si="2"/>
        <v>15</v>
      </c>
      <c r="I55" s="11">
        <f t="shared" si="2"/>
        <v>31</v>
      </c>
      <c r="J55" s="11">
        <f t="shared" si="2"/>
        <v>63</v>
      </c>
      <c r="K55" s="11">
        <f t="shared" si="2"/>
        <v>0</v>
      </c>
      <c r="L55" s="11">
        <f t="shared" si="2"/>
        <v>0</v>
      </c>
      <c r="M55" s="11">
        <f t="shared" si="2"/>
        <v>0</v>
      </c>
      <c r="N55" s="1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</row>
    <row r="56" spans="1:25" ht="15.75" customHeight="1">
      <c r="A56" s="88"/>
      <c r="B56" s="95"/>
      <c r="C56" s="99"/>
      <c r="D56" s="102"/>
      <c r="E56" s="83">
        <f t="shared" si="2"/>
        <v>1</v>
      </c>
      <c r="F56" s="11">
        <f t="shared" si="2"/>
        <v>3</v>
      </c>
      <c r="G56" s="11">
        <f t="shared" si="2"/>
        <v>7</v>
      </c>
      <c r="H56" s="11">
        <f t="shared" si="2"/>
        <v>15</v>
      </c>
      <c r="I56" s="11">
        <f t="shared" si="2"/>
        <v>31</v>
      </c>
      <c r="J56" s="11">
        <f t="shared" si="2"/>
        <v>63</v>
      </c>
      <c r="K56" s="11">
        <f t="shared" si="2"/>
        <v>0</v>
      </c>
      <c r="L56" s="11">
        <f t="shared" si="2"/>
        <v>0</v>
      </c>
      <c r="M56" s="11">
        <f t="shared" si="2"/>
        <v>0</v>
      </c>
      <c r="N56" s="1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</row>
    <row r="57" spans="1:25" ht="15.75" customHeight="1">
      <c r="A57" s="88"/>
      <c r="B57" s="95"/>
      <c r="C57" s="99"/>
      <c r="D57" s="102"/>
      <c r="E57" s="83">
        <f t="shared" si="2"/>
        <v>1</v>
      </c>
      <c r="F57" s="11">
        <f t="shared" si="2"/>
        <v>3</v>
      </c>
      <c r="G57" s="11">
        <f t="shared" si="2"/>
        <v>7</v>
      </c>
      <c r="H57" s="11">
        <f t="shared" si="2"/>
        <v>15</v>
      </c>
      <c r="I57" s="11">
        <f t="shared" si="2"/>
        <v>31</v>
      </c>
      <c r="J57" s="11">
        <f t="shared" si="2"/>
        <v>63</v>
      </c>
      <c r="K57" s="11">
        <f t="shared" si="2"/>
        <v>0</v>
      </c>
      <c r="L57" s="11">
        <f t="shared" si="2"/>
        <v>0</v>
      </c>
      <c r="M57" s="11">
        <f t="shared" si="2"/>
        <v>0</v>
      </c>
      <c r="N57" s="1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</row>
    <row r="58" spans="1:25" ht="15.75" customHeight="1">
      <c r="A58" s="88"/>
      <c r="B58" s="95"/>
      <c r="C58" s="99"/>
      <c r="D58" s="101"/>
      <c r="E58" s="83">
        <f t="shared" si="2"/>
        <v>1</v>
      </c>
      <c r="F58" s="11">
        <f t="shared" si="2"/>
        <v>3</v>
      </c>
      <c r="G58" s="11">
        <f t="shared" si="2"/>
        <v>7</v>
      </c>
      <c r="H58" s="11">
        <f t="shared" si="2"/>
        <v>15</v>
      </c>
      <c r="I58" s="11">
        <f t="shared" si="2"/>
        <v>31</v>
      </c>
      <c r="J58" s="11">
        <f t="shared" si="2"/>
        <v>63</v>
      </c>
      <c r="K58" s="11">
        <f t="shared" si="2"/>
        <v>0</v>
      </c>
      <c r="L58" s="11">
        <f t="shared" si="2"/>
        <v>0</v>
      </c>
      <c r="M58" s="11">
        <f t="shared" si="2"/>
        <v>0</v>
      </c>
      <c r="N58" s="1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</row>
    <row r="59" spans="1:25" ht="15.75" customHeight="1">
      <c r="A59" s="88"/>
      <c r="B59" s="95"/>
      <c r="C59" s="99"/>
      <c r="D59" s="101"/>
      <c r="E59" s="83">
        <f t="shared" si="2"/>
        <v>1</v>
      </c>
      <c r="F59" s="11">
        <f t="shared" si="2"/>
        <v>3</v>
      </c>
      <c r="G59" s="11">
        <f t="shared" si="2"/>
        <v>7</v>
      </c>
      <c r="H59" s="11">
        <f t="shared" si="2"/>
        <v>15</v>
      </c>
      <c r="I59" s="11">
        <f t="shared" si="2"/>
        <v>31</v>
      </c>
      <c r="J59" s="11">
        <f t="shared" si="2"/>
        <v>63</v>
      </c>
      <c r="K59" s="11">
        <f t="shared" si="2"/>
        <v>0</v>
      </c>
      <c r="L59" s="11">
        <f t="shared" si="2"/>
        <v>0</v>
      </c>
      <c r="M59" s="11">
        <f t="shared" si="2"/>
        <v>0</v>
      </c>
      <c r="N59" s="1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</row>
    <row r="60" spans="1:25" ht="15.75" customHeight="1">
      <c r="A60" s="88"/>
      <c r="B60" s="95"/>
      <c r="C60" s="99"/>
      <c r="D60" s="101"/>
      <c r="E60" s="83">
        <f t="shared" si="2"/>
        <v>1</v>
      </c>
      <c r="F60" s="11">
        <f t="shared" si="2"/>
        <v>3</v>
      </c>
      <c r="G60" s="11">
        <f t="shared" si="2"/>
        <v>7</v>
      </c>
      <c r="H60" s="11">
        <f t="shared" si="2"/>
        <v>15</v>
      </c>
      <c r="I60" s="11">
        <f t="shared" si="2"/>
        <v>31</v>
      </c>
      <c r="J60" s="11">
        <f t="shared" si="2"/>
        <v>63</v>
      </c>
      <c r="K60" s="11">
        <f t="shared" si="2"/>
        <v>0</v>
      </c>
      <c r="L60" s="11">
        <f t="shared" si="2"/>
        <v>0</v>
      </c>
      <c r="M60" s="11">
        <f t="shared" si="2"/>
        <v>0</v>
      </c>
      <c r="N60" s="1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</row>
    <row r="61" spans="1:25" ht="15.75" customHeight="1">
      <c r="A61" s="88"/>
      <c r="B61" s="95"/>
      <c r="C61" s="99"/>
      <c r="D61" s="101"/>
      <c r="E61" s="83">
        <f t="shared" si="2"/>
        <v>1</v>
      </c>
      <c r="F61" s="11">
        <f t="shared" si="2"/>
        <v>3</v>
      </c>
      <c r="G61" s="11">
        <f t="shared" si="2"/>
        <v>7</v>
      </c>
      <c r="H61" s="11">
        <f t="shared" si="2"/>
        <v>15</v>
      </c>
      <c r="I61" s="11">
        <f t="shared" si="2"/>
        <v>31</v>
      </c>
      <c r="J61" s="11">
        <f t="shared" si="2"/>
        <v>63</v>
      </c>
      <c r="K61" s="11">
        <f t="shared" si="2"/>
        <v>0</v>
      </c>
      <c r="L61" s="11">
        <f t="shared" si="2"/>
        <v>0</v>
      </c>
      <c r="M61" s="11">
        <f t="shared" si="2"/>
        <v>0</v>
      </c>
      <c r="N61" s="1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</row>
    <row r="62" spans="1:25" ht="15.75" customHeight="1">
      <c r="A62" s="88"/>
      <c r="B62" s="95"/>
      <c r="C62" s="99"/>
      <c r="D62" s="101"/>
      <c r="E62" s="83">
        <f t="shared" si="2"/>
        <v>1</v>
      </c>
      <c r="F62" s="11">
        <f t="shared" si="2"/>
        <v>3</v>
      </c>
      <c r="G62" s="11">
        <f t="shared" si="2"/>
        <v>7</v>
      </c>
      <c r="H62" s="11">
        <f t="shared" si="2"/>
        <v>15</v>
      </c>
      <c r="I62" s="11">
        <f t="shared" si="2"/>
        <v>31</v>
      </c>
      <c r="J62" s="11">
        <f t="shared" si="2"/>
        <v>63</v>
      </c>
      <c r="K62" s="11">
        <f t="shared" si="2"/>
        <v>0</v>
      </c>
      <c r="L62" s="11">
        <f t="shared" si="2"/>
        <v>0</v>
      </c>
      <c r="M62" s="11">
        <f t="shared" si="2"/>
        <v>0</v>
      </c>
      <c r="N62" s="1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</row>
    <row r="63" spans="1:25" ht="15.75" customHeight="1">
      <c r="A63" s="88"/>
      <c r="B63" s="95"/>
      <c r="C63" s="99"/>
      <c r="D63" s="101"/>
      <c r="E63" s="83">
        <f t="shared" si="2"/>
        <v>1</v>
      </c>
      <c r="F63" s="11">
        <f t="shared" si="2"/>
        <v>3</v>
      </c>
      <c r="G63" s="11">
        <f t="shared" si="2"/>
        <v>7</v>
      </c>
      <c r="H63" s="11">
        <f t="shared" si="2"/>
        <v>15</v>
      </c>
      <c r="I63" s="11">
        <f t="shared" si="2"/>
        <v>31</v>
      </c>
      <c r="J63" s="11">
        <f t="shared" si="2"/>
        <v>63</v>
      </c>
      <c r="K63" s="11">
        <f t="shared" si="2"/>
        <v>0</v>
      </c>
      <c r="L63" s="11">
        <f t="shared" si="2"/>
        <v>0</v>
      </c>
      <c r="M63" s="11">
        <f t="shared" si="2"/>
        <v>0</v>
      </c>
      <c r="N63" s="1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</row>
    <row r="64" spans="1:25" ht="15.75" customHeight="1">
      <c r="A64" s="88"/>
      <c r="B64" s="95"/>
      <c r="C64" s="99"/>
      <c r="D64" s="101"/>
      <c r="E64" s="83">
        <f t="shared" si="2"/>
        <v>1</v>
      </c>
      <c r="F64" s="11">
        <f t="shared" si="2"/>
        <v>3</v>
      </c>
      <c r="G64" s="11">
        <f t="shared" si="2"/>
        <v>7</v>
      </c>
      <c r="H64" s="11">
        <f t="shared" si="2"/>
        <v>15</v>
      </c>
      <c r="I64" s="11">
        <f t="shared" si="2"/>
        <v>31</v>
      </c>
      <c r="J64" s="11">
        <f t="shared" si="2"/>
        <v>63</v>
      </c>
      <c r="K64" s="11">
        <f t="shared" si="2"/>
        <v>0</v>
      </c>
      <c r="L64" s="11">
        <f t="shared" si="2"/>
        <v>0</v>
      </c>
      <c r="M64" s="11">
        <f t="shared" si="2"/>
        <v>0</v>
      </c>
      <c r="N64" s="17"/>
      <c r="O64" s="7"/>
      <c r="P64" s="7"/>
      <c r="Q64" s="7"/>
      <c r="R64" s="7"/>
      <c r="S64" s="7"/>
      <c r="T64" s="7"/>
      <c r="U64" s="7"/>
      <c r="V64" s="3"/>
      <c r="W64" s="3"/>
      <c r="X64" s="3"/>
      <c r="Y64" s="3"/>
    </row>
    <row r="65" spans="1:25" ht="15.75" customHeight="1">
      <c r="A65" s="88"/>
      <c r="B65" s="95"/>
      <c r="C65" s="99"/>
      <c r="D65" s="101"/>
      <c r="E65" s="83">
        <f t="shared" si="2"/>
        <v>1</v>
      </c>
      <c r="F65" s="11">
        <f t="shared" si="2"/>
        <v>3</v>
      </c>
      <c r="G65" s="11">
        <f t="shared" si="2"/>
        <v>7</v>
      </c>
      <c r="H65" s="11">
        <f t="shared" si="2"/>
        <v>15</v>
      </c>
      <c r="I65" s="11">
        <f t="shared" si="2"/>
        <v>31</v>
      </c>
      <c r="J65" s="11">
        <f t="shared" si="2"/>
        <v>63</v>
      </c>
      <c r="K65" s="11">
        <f t="shared" si="2"/>
        <v>0</v>
      </c>
      <c r="L65" s="11">
        <f t="shared" si="2"/>
        <v>0</v>
      </c>
      <c r="M65" s="11">
        <f t="shared" si="2"/>
        <v>0</v>
      </c>
      <c r="N65" s="17"/>
      <c r="O65" s="7"/>
      <c r="P65" s="7"/>
      <c r="Q65" s="7"/>
      <c r="R65" s="7"/>
      <c r="S65" s="7"/>
      <c r="T65" s="7"/>
      <c r="U65" s="7"/>
      <c r="V65" s="3"/>
      <c r="W65" s="3"/>
      <c r="X65" s="3"/>
      <c r="Y65" s="3"/>
    </row>
    <row r="66" spans="1:25" ht="15.75" customHeight="1">
      <c r="A66" s="88"/>
      <c r="B66" s="95"/>
      <c r="C66" s="99"/>
      <c r="D66" s="101"/>
      <c r="E66" s="83">
        <f t="shared" si="2"/>
        <v>1</v>
      </c>
      <c r="F66" s="11">
        <f t="shared" si="2"/>
        <v>3</v>
      </c>
      <c r="G66" s="11">
        <f t="shared" si="2"/>
        <v>7</v>
      </c>
      <c r="H66" s="11">
        <f t="shared" si="2"/>
        <v>15</v>
      </c>
      <c r="I66" s="11">
        <f t="shared" si="2"/>
        <v>31</v>
      </c>
      <c r="J66" s="11">
        <f t="shared" si="2"/>
        <v>63</v>
      </c>
      <c r="K66" s="11">
        <f t="shared" si="2"/>
        <v>0</v>
      </c>
      <c r="L66" s="11">
        <f t="shared" si="2"/>
        <v>0</v>
      </c>
      <c r="M66" s="11">
        <f t="shared" si="2"/>
        <v>0</v>
      </c>
      <c r="N66" s="17"/>
      <c r="O66" s="7"/>
      <c r="P66" s="7"/>
      <c r="Q66" s="7"/>
      <c r="R66" s="7"/>
      <c r="S66" s="7"/>
      <c r="T66" s="7"/>
      <c r="U66" s="7"/>
      <c r="V66" s="3"/>
      <c r="W66" s="3"/>
      <c r="X66" s="3"/>
      <c r="Y66" s="3"/>
    </row>
    <row r="67" spans="1:25" ht="15.75" customHeight="1">
      <c r="A67" s="88"/>
      <c r="B67" s="95"/>
      <c r="C67" s="99"/>
      <c r="D67" s="101"/>
      <c r="E67" s="83">
        <f t="shared" si="2"/>
        <v>1</v>
      </c>
      <c r="F67" s="11">
        <f t="shared" si="2"/>
        <v>3</v>
      </c>
      <c r="G67" s="11">
        <f t="shared" si="2"/>
        <v>7</v>
      </c>
      <c r="H67" s="11">
        <f t="shared" si="2"/>
        <v>15</v>
      </c>
      <c r="I67" s="11">
        <f t="shared" si="2"/>
        <v>31</v>
      </c>
      <c r="J67" s="11">
        <f t="shared" si="2"/>
        <v>63</v>
      </c>
      <c r="K67" s="11">
        <f t="shared" si="2"/>
        <v>0</v>
      </c>
      <c r="L67" s="11">
        <f t="shared" si="2"/>
        <v>0</v>
      </c>
      <c r="M67" s="11">
        <f t="shared" si="2"/>
        <v>0</v>
      </c>
      <c r="N67" s="17"/>
      <c r="O67" s="7"/>
      <c r="P67" s="7"/>
      <c r="Q67" s="7"/>
      <c r="R67" s="7"/>
      <c r="S67" s="7"/>
      <c r="T67" s="7"/>
      <c r="U67" s="7"/>
      <c r="V67" s="3"/>
      <c r="W67" s="3"/>
      <c r="X67" s="3"/>
      <c r="Y67" s="3"/>
    </row>
    <row r="68" spans="1:25" ht="15.75" customHeight="1">
      <c r="A68" s="88"/>
      <c r="B68" s="95"/>
      <c r="C68" s="99"/>
      <c r="D68" s="101"/>
      <c r="E68" s="83">
        <f t="shared" si="2"/>
        <v>1</v>
      </c>
      <c r="F68" s="11">
        <f t="shared" si="2"/>
        <v>3</v>
      </c>
      <c r="G68" s="11">
        <f t="shared" si="2"/>
        <v>7</v>
      </c>
      <c r="H68" s="11">
        <f t="shared" si="2"/>
        <v>15</v>
      </c>
      <c r="I68" s="11">
        <f t="shared" si="2"/>
        <v>31</v>
      </c>
      <c r="J68" s="11">
        <f t="shared" si="2"/>
        <v>63</v>
      </c>
      <c r="K68" s="11">
        <f t="shared" si="2"/>
        <v>0</v>
      </c>
      <c r="L68" s="11">
        <f t="shared" si="2"/>
        <v>0</v>
      </c>
      <c r="M68" s="11">
        <f t="shared" si="2"/>
        <v>0</v>
      </c>
      <c r="N68" s="17"/>
      <c r="O68" s="7"/>
      <c r="P68" s="7"/>
      <c r="Q68" s="7"/>
      <c r="R68" s="7"/>
      <c r="S68" s="7"/>
      <c r="T68" s="7"/>
      <c r="U68" s="7"/>
      <c r="V68" s="3"/>
      <c r="W68" s="3"/>
      <c r="X68" s="3"/>
      <c r="Y68" s="3"/>
    </row>
    <row r="69" spans="1:25" ht="15.75" customHeight="1">
      <c r="A69" s="88"/>
      <c r="B69" s="95"/>
      <c r="C69" s="99"/>
      <c r="D69" s="101"/>
      <c r="E69" s="83">
        <f t="shared" si="2"/>
        <v>1</v>
      </c>
      <c r="F69" s="11">
        <f t="shared" si="2"/>
        <v>3</v>
      </c>
      <c r="G69" s="11">
        <f t="shared" si="2"/>
        <v>7</v>
      </c>
      <c r="H69" s="11">
        <f t="shared" si="2"/>
        <v>15</v>
      </c>
      <c r="I69" s="11">
        <f t="shared" si="2"/>
        <v>31</v>
      </c>
      <c r="J69" s="11">
        <f t="shared" si="2"/>
        <v>63</v>
      </c>
      <c r="K69" s="11">
        <f t="shared" si="2"/>
        <v>0</v>
      </c>
      <c r="L69" s="11">
        <f t="shared" si="2"/>
        <v>0</v>
      </c>
      <c r="M69" s="11">
        <f t="shared" si="2"/>
        <v>0</v>
      </c>
      <c r="N69" s="17"/>
      <c r="O69" s="7"/>
      <c r="P69" s="7"/>
      <c r="Q69" s="7"/>
      <c r="R69" s="7"/>
      <c r="S69" s="7"/>
      <c r="T69" s="7"/>
      <c r="U69" s="7"/>
      <c r="V69" s="3"/>
      <c r="W69" s="3"/>
      <c r="X69" s="3"/>
      <c r="Y69" s="3"/>
    </row>
    <row r="70" spans="1:25" ht="15.75" customHeight="1">
      <c r="A70" s="88"/>
      <c r="B70" s="95"/>
      <c r="C70" s="99"/>
      <c r="D70" s="102"/>
      <c r="E70" s="83">
        <f t="shared" si="2"/>
        <v>1</v>
      </c>
      <c r="F70" s="11">
        <f t="shared" si="2"/>
        <v>3</v>
      </c>
      <c r="G70" s="11">
        <f t="shared" si="2"/>
        <v>7</v>
      </c>
      <c r="H70" s="11">
        <f t="shared" si="2"/>
        <v>15</v>
      </c>
      <c r="I70" s="11">
        <f t="shared" si="2"/>
        <v>31</v>
      </c>
      <c r="J70" s="11">
        <f t="shared" si="2"/>
        <v>63</v>
      </c>
      <c r="K70" s="11">
        <f t="shared" si="2"/>
        <v>0</v>
      </c>
      <c r="L70" s="11">
        <f t="shared" si="2"/>
        <v>0</v>
      </c>
      <c r="M70" s="11">
        <f t="shared" si="2"/>
        <v>0</v>
      </c>
      <c r="N70" s="17"/>
      <c r="O70" s="7"/>
      <c r="P70" s="7"/>
      <c r="Q70" s="7"/>
      <c r="R70" s="7"/>
      <c r="S70" s="7"/>
      <c r="T70" s="7"/>
      <c r="U70" s="7"/>
      <c r="V70" s="3"/>
      <c r="W70" s="3"/>
      <c r="X70" s="3"/>
      <c r="Y70" s="3"/>
    </row>
    <row r="71" spans="1:25" ht="15.75" customHeight="1">
      <c r="A71" s="88"/>
      <c r="B71" s="95"/>
      <c r="C71" s="99"/>
      <c r="D71" s="102"/>
      <c r="E71" s="83">
        <f t="shared" si="2"/>
        <v>1</v>
      </c>
      <c r="F71" s="11">
        <f t="shared" si="2"/>
        <v>3</v>
      </c>
      <c r="G71" s="11">
        <f t="shared" si="2"/>
        <v>7</v>
      </c>
      <c r="H71" s="11">
        <f t="shared" si="2"/>
        <v>15</v>
      </c>
      <c r="I71" s="11">
        <f t="shared" si="2"/>
        <v>31</v>
      </c>
      <c r="J71" s="11">
        <f t="shared" si="2"/>
        <v>63</v>
      </c>
      <c r="K71" s="11">
        <f t="shared" si="2"/>
        <v>0</v>
      </c>
      <c r="L71" s="11">
        <f t="shared" si="2"/>
        <v>0</v>
      </c>
      <c r="M71" s="11">
        <f t="shared" si="2"/>
        <v>0</v>
      </c>
      <c r="N71" s="17"/>
      <c r="O71" s="7"/>
      <c r="P71" s="7"/>
      <c r="Q71" s="7"/>
      <c r="R71" s="7"/>
      <c r="S71" s="7"/>
      <c r="T71" s="7"/>
      <c r="U71" s="7"/>
      <c r="V71" s="3"/>
      <c r="W71" s="3"/>
      <c r="X71" s="3"/>
      <c r="Y71" s="3"/>
    </row>
    <row r="72" spans="1:25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7"/>
      <c r="P72" s="7"/>
      <c r="Q72" s="7"/>
      <c r="R72" s="7"/>
      <c r="S72" s="7"/>
      <c r="T72" s="7"/>
      <c r="U72" s="7"/>
      <c r="V72" s="3"/>
      <c r="W72" s="3"/>
      <c r="X72" s="3"/>
      <c r="Y72" s="3"/>
    </row>
    <row r="73" spans="1:25" ht="15.75" customHeight="1">
      <c r="A73" s="103"/>
      <c r="B73" s="104"/>
      <c r="C73" s="99"/>
      <c r="D73" s="91"/>
      <c r="E73" s="83">
        <f t="shared" si="2"/>
        <v>1</v>
      </c>
      <c r="F73" s="11">
        <f t="shared" si="2"/>
        <v>3</v>
      </c>
      <c r="G73" s="11">
        <f t="shared" si="2"/>
        <v>7</v>
      </c>
      <c r="H73" s="11">
        <f t="shared" si="2"/>
        <v>15</v>
      </c>
      <c r="I73" s="11">
        <f t="shared" si="2"/>
        <v>31</v>
      </c>
      <c r="J73" s="11">
        <f t="shared" si="2"/>
        <v>63</v>
      </c>
      <c r="K73" s="11">
        <f t="shared" si="2"/>
        <v>0</v>
      </c>
      <c r="L73" s="11">
        <f t="shared" si="2"/>
        <v>0</v>
      </c>
      <c r="M73" s="11">
        <f t="shared" si="2"/>
        <v>0</v>
      </c>
      <c r="N73" s="17"/>
      <c r="O73" s="7"/>
      <c r="P73" s="7"/>
      <c r="Q73" s="7"/>
      <c r="R73" s="7"/>
      <c r="S73" s="7"/>
      <c r="T73" s="7"/>
      <c r="U73" s="7"/>
      <c r="V73" s="3"/>
      <c r="W73" s="3"/>
      <c r="X73" s="3"/>
      <c r="Y73" s="3"/>
    </row>
    <row r="74" spans="1:25" ht="15.75" customHeight="1">
      <c r="A74" s="103"/>
      <c r="B74" s="104"/>
      <c r="C74" s="99"/>
      <c r="D74" s="105"/>
      <c r="E74" s="83">
        <f t="shared" si="2"/>
        <v>1</v>
      </c>
      <c r="F74" s="11">
        <f t="shared" si="2"/>
        <v>3</v>
      </c>
      <c r="G74" s="11">
        <f t="shared" si="2"/>
        <v>7</v>
      </c>
      <c r="H74" s="11">
        <f t="shared" si="2"/>
        <v>15</v>
      </c>
      <c r="I74" s="11">
        <f t="shared" si="2"/>
        <v>31</v>
      </c>
      <c r="J74" s="11">
        <f t="shared" si="2"/>
        <v>63</v>
      </c>
      <c r="K74" s="11">
        <f t="shared" si="2"/>
        <v>0</v>
      </c>
      <c r="L74" s="11">
        <f t="shared" si="2"/>
        <v>0</v>
      </c>
      <c r="M74" s="11">
        <f t="shared" si="2"/>
        <v>0</v>
      </c>
      <c r="N74" s="17"/>
      <c r="O74" s="7"/>
      <c r="P74" s="7"/>
      <c r="Q74" s="7"/>
      <c r="R74" s="7"/>
      <c r="S74" s="7"/>
      <c r="T74" s="7"/>
      <c r="U74" s="7"/>
      <c r="V74" s="3"/>
      <c r="W74" s="3"/>
      <c r="X74" s="3"/>
      <c r="Y74" s="3"/>
    </row>
    <row r="75" spans="1:25" ht="15.75" customHeight="1">
      <c r="A75" s="103"/>
      <c r="B75" s="104"/>
      <c r="C75" s="99"/>
      <c r="D75" s="105"/>
      <c r="E75" s="83">
        <f t="shared" si="2"/>
        <v>1</v>
      </c>
      <c r="F75" s="11">
        <f t="shared" si="2"/>
        <v>3</v>
      </c>
      <c r="G75" s="11">
        <f t="shared" si="2"/>
        <v>7</v>
      </c>
      <c r="H75" s="11">
        <f t="shared" si="2"/>
        <v>15</v>
      </c>
      <c r="I75" s="11">
        <f t="shared" si="2"/>
        <v>31</v>
      </c>
      <c r="J75" s="11">
        <f t="shared" si="2"/>
        <v>63</v>
      </c>
      <c r="K75" s="11">
        <f t="shared" si="2"/>
        <v>0</v>
      </c>
      <c r="L75" s="11">
        <f t="shared" si="2"/>
        <v>0</v>
      </c>
      <c r="M75" s="11">
        <f t="shared" si="2"/>
        <v>0</v>
      </c>
      <c r="N75" s="17"/>
      <c r="O75" s="7"/>
      <c r="P75" s="7"/>
      <c r="Q75" s="7"/>
      <c r="R75" s="7"/>
      <c r="S75" s="7"/>
      <c r="T75" s="7"/>
      <c r="U75" s="7"/>
      <c r="V75" s="3"/>
      <c r="W75" s="3"/>
      <c r="X75" s="3"/>
      <c r="Y75" s="3"/>
    </row>
    <row r="76" spans="1:25" ht="15.75" customHeight="1">
      <c r="A76" s="103"/>
      <c r="B76" s="104"/>
      <c r="C76" s="99"/>
      <c r="D76" s="105"/>
      <c r="E76" s="83">
        <f t="shared" si="2"/>
        <v>1</v>
      </c>
      <c r="F76" s="11">
        <f t="shared" si="2"/>
        <v>3</v>
      </c>
      <c r="G76" s="11">
        <f t="shared" si="2"/>
        <v>7</v>
      </c>
      <c r="H76" s="11">
        <f t="shared" si="2"/>
        <v>15</v>
      </c>
      <c r="I76" s="11">
        <f t="shared" si="2"/>
        <v>31</v>
      </c>
      <c r="J76" s="11">
        <f t="shared" si="2"/>
        <v>63</v>
      </c>
      <c r="K76" s="11">
        <f t="shared" si="2"/>
        <v>0</v>
      </c>
      <c r="L76" s="11">
        <f t="shared" si="2"/>
        <v>0</v>
      </c>
      <c r="M76" s="11">
        <f t="shared" si="2"/>
        <v>0</v>
      </c>
      <c r="N76" s="17"/>
      <c r="O76" s="7"/>
      <c r="P76" s="7"/>
      <c r="Q76" s="7"/>
      <c r="R76" s="7"/>
      <c r="S76" s="7"/>
      <c r="T76" s="7"/>
      <c r="U76" s="7"/>
      <c r="V76" s="3"/>
      <c r="W76" s="3"/>
      <c r="X76" s="3"/>
      <c r="Y76" s="3"/>
    </row>
    <row r="77" spans="1:25" ht="15.75" customHeight="1">
      <c r="A77" s="103"/>
      <c r="B77" s="104"/>
      <c r="C77" s="99"/>
      <c r="D77" s="105"/>
      <c r="E77" s="83">
        <f t="shared" si="2"/>
        <v>1</v>
      </c>
      <c r="F77" s="11">
        <f t="shared" si="2"/>
        <v>3</v>
      </c>
      <c r="G77" s="11">
        <f t="shared" si="2"/>
        <v>7</v>
      </c>
      <c r="H77" s="11">
        <f t="shared" si="2"/>
        <v>15</v>
      </c>
      <c r="I77" s="11">
        <f t="shared" si="2"/>
        <v>31</v>
      </c>
      <c r="J77" s="11">
        <f t="shared" si="2"/>
        <v>63</v>
      </c>
      <c r="K77" s="11">
        <f t="shared" si="2"/>
        <v>0</v>
      </c>
      <c r="L77" s="11">
        <f t="shared" si="2"/>
        <v>0</v>
      </c>
      <c r="M77" s="11">
        <f t="shared" si="2"/>
        <v>0</v>
      </c>
      <c r="N77" s="17"/>
      <c r="O77" s="7"/>
      <c r="P77" s="7"/>
      <c r="Q77" s="7"/>
      <c r="R77" s="7"/>
      <c r="S77" s="7"/>
      <c r="T77" s="7"/>
      <c r="U77" s="7"/>
      <c r="V77" s="3"/>
      <c r="W77" s="3"/>
      <c r="X77" s="3"/>
      <c r="Y77" s="3"/>
    </row>
    <row r="78" spans="1:25" ht="15.75" customHeight="1">
      <c r="A78" s="103"/>
      <c r="B78" s="104"/>
      <c r="C78" s="99"/>
      <c r="D78" s="105"/>
      <c r="E78" s="83">
        <f t="shared" ref="E78:M114" si="3">$D78+E$6</f>
        <v>1</v>
      </c>
      <c r="F78" s="11">
        <f t="shared" si="3"/>
        <v>3</v>
      </c>
      <c r="G78" s="11">
        <f t="shared" si="3"/>
        <v>7</v>
      </c>
      <c r="H78" s="11">
        <f t="shared" si="3"/>
        <v>15</v>
      </c>
      <c r="I78" s="11">
        <f t="shared" si="3"/>
        <v>31</v>
      </c>
      <c r="J78" s="11">
        <f t="shared" si="3"/>
        <v>63</v>
      </c>
      <c r="K78" s="11">
        <f t="shared" si="3"/>
        <v>0</v>
      </c>
      <c r="L78" s="11">
        <f t="shared" si="3"/>
        <v>0</v>
      </c>
      <c r="M78" s="11">
        <f t="shared" si="3"/>
        <v>0</v>
      </c>
      <c r="N78" s="17"/>
      <c r="O78" s="7"/>
      <c r="P78" s="7"/>
      <c r="Q78" s="7"/>
      <c r="R78" s="7"/>
      <c r="S78" s="7"/>
      <c r="T78" s="7"/>
      <c r="U78" s="7"/>
      <c r="V78" s="3"/>
      <c r="W78" s="3"/>
      <c r="X78" s="3"/>
      <c r="Y78" s="3"/>
    </row>
    <row r="79" spans="1:25" ht="15.75" customHeight="1">
      <c r="A79" s="103"/>
      <c r="B79" s="104"/>
      <c r="C79" s="99"/>
      <c r="D79" s="105"/>
      <c r="E79" s="83">
        <f t="shared" si="3"/>
        <v>1</v>
      </c>
      <c r="F79" s="11">
        <f t="shared" si="3"/>
        <v>3</v>
      </c>
      <c r="G79" s="11">
        <f t="shared" si="3"/>
        <v>7</v>
      </c>
      <c r="H79" s="11">
        <f t="shared" si="3"/>
        <v>15</v>
      </c>
      <c r="I79" s="11">
        <f t="shared" si="3"/>
        <v>31</v>
      </c>
      <c r="J79" s="11">
        <f t="shared" si="3"/>
        <v>63</v>
      </c>
      <c r="K79" s="11">
        <f t="shared" si="3"/>
        <v>0</v>
      </c>
      <c r="L79" s="11">
        <f t="shared" si="3"/>
        <v>0</v>
      </c>
      <c r="M79" s="11">
        <f t="shared" si="3"/>
        <v>0</v>
      </c>
      <c r="N79" s="17"/>
      <c r="O79" s="7"/>
      <c r="P79" s="7"/>
      <c r="Q79" s="7"/>
      <c r="R79" s="7"/>
      <c r="S79" s="7"/>
      <c r="T79" s="7"/>
      <c r="U79" s="7"/>
      <c r="V79" s="3"/>
      <c r="W79" s="3"/>
      <c r="X79" s="3"/>
      <c r="Y79" s="3"/>
    </row>
    <row r="80" spans="1:25" ht="15.75" customHeight="1">
      <c r="A80" s="103"/>
      <c r="B80" s="104"/>
      <c r="C80" s="99"/>
      <c r="D80" s="105"/>
      <c r="E80" s="83">
        <f t="shared" si="3"/>
        <v>1</v>
      </c>
      <c r="F80" s="11">
        <f t="shared" si="3"/>
        <v>3</v>
      </c>
      <c r="G80" s="11">
        <f t="shared" si="3"/>
        <v>7</v>
      </c>
      <c r="H80" s="11">
        <f t="shared" si="3"/>
        <v>15</v>
      </c>
      <c r="I80" s="11">
        <f t="shared" si="3"/>
        <v>31</v>
      </c>
      <c r="J80" s="11">
        <f t="shared" si="3"/>
        <v>63</v>
      </c>
      <c r="K80" s="11">
        <f t="shared" si="3"/>
        <v>0</v>
      </c>
      <c r="L80" s="11">
        <f t="shared" si="3"/>
        <v>0</v>
      </c>
      <c r="M80" s="11">
        <f t="shared" si="3"/>
        <v>0</v>
      </c>
      <c r="N80" s="17"/>
      <c r="O80" s="7"/>
      <c r="P80" s="7"/>
      <c r="Q80" s="7"/>
      <c r="R80" s="7"/>
      <c r="S80" s="7"/>
      <c r="T80" s="7"/>
      <c r="U80" s="7"/>
      <c r="V80" s="3"/>
      <c r="W80" s="3"/>
      <c r="X80" s="3"/>
      <c r="Y80" s="3"/>
    </row>
    <row r="81" spans="1:25" ht="15.75" customHeight="1">
      <c r="A81" s="103"/>
      <c r="B81" s="104"/>
      <c r="C81" s="99"/>
      <c r="D81" s="105"/>
      <c r="E81" s="83">
        <f t="shared" si="3"/>
        <v>1</v>
      </c>
      <c r="F81" s="11">
        <f t="shared" si="3"/>
        <v>3</v>
      </c>
      <c r="G81" s="11">
        <f t="shared" si="3"/>
        <v>7</v>
      </c>
      <c r="H81" s="11">
        <f t="shared" si="3"/>
        <v>15</v>
      </c>
      <c r="I81" s="11">
        <f t="shared" si="3"/>
        <v>31</v>
      </c>
      <c r="J81" s="11">
        <f t="shared" si="3"/>
        <v>63</v>
      </c>
      <c r="K81" s="11">
        <f t="shared" si="3"/>
        <v>0</v>
      </c>
      <c r="L81" s="11">
        <f t="shared" si="3"/>
        <v>0</v>
      </c>
      <c r="M81" s="11">
        <f t="shared" si="3"/>
        <v>0</v>
      </c>
      <c r="N81" s="17"/>
      <c r="O81" s="7"/>
      <c r="P81" s="7"/>
      <c r="Q81" s="7"/>
      <c r="R81" s="7"/>
      <c r="S81" s="7"/>
      <c r="T81" s="7"/>
      <c r="U81" s="7"/>
      <c r="V81" s="3"/>
      <c r="W81" s="3"/>
      <c r="X81" s="3"/>
      <c r="Y81" s="3"/>
    </row>
    <row r="82" spans="1:25" ht="15.75" customHeight="1">
      <c r="A82" s="103"/>
      <c r="B82" s="104"/>
      <c r="C82" s="99"/>
      <c r="D82" s="105"/>
      <c r="E82" s="83">
        <f t="shared" si="3"/>
        <v>1</v>
      </c>
      <c r="F82" s="11">
        <f t="shared" si="3"/>
        <v>3</v>
      </c>
      <c r="G82" s="11">
        <f t="shared" si="3"/>
        <v>7</v>
      </c>
      <c r="H82" s="11">
        <f t="shared" si="3"/>
        <v>15</v>
      </c>
      <c r="I82" s="11">
        <f t="shared" si="3"/>
        <v>31</v>
      </c>
      <c r="J82" s="11">
        <f t="shared" si="3"/>
        <v>63</v>
      </c>
      <c r="K82" s="11">
        <f t="shared" si="3"/>
        <v>0</v>
      </c>
      <c r="L82" s="11">
        <f t="shared" si="3"/>
        <v>0</v>
      </c>
      <c r="M82" s="11">
        <f t="shared" si="3"/>
        <v>0</v>
      </c>
      <c r="N82" s="17"/>
      <c r="O82" s="7"/>
      <c r="P82" s="7"/>
      <c r="Q82" s="7"/>
      <c r="R82" s="7"/>
      <c r="S82" s="7"/>
      <c r="T82" s="7"/>
      <c r="U82" s="7"/>
      <c r="V82" s="3"/>
      <c r="W82" s="3"/>
      <c r="X82" s="3"/>
      <c r="Y82" s="3"/>
    </row>
    <row r="83" spans="1:25" ht="15.75" customHeight="1">
      <c r="A83" s="103"/>
      <c r="B83" s="104"/>
      <c r="C83" s="99"/>
      <c r="D83" s="105"/>
      <c r="E83" s="83">
        <f t="shared" si="3"/>
        <v>1</v>
      </c>
      <c r="F83" s="11">
        <f t="shared" si="3"/>
        <v>3</v>
      </c>
      <c r="G83" s="11">
        <f t="shared" si="3"/>
        <v>7</v>
      </c>
      <c r="H83" s="11">
        <f t="shared" si="3"/>
        <v>15</v>
      </c>
      <c r="I83" s="11">
        <f t="shared" si="3"/>
        <v>31</v>
      </c>
      <c r="J83" s="11">
        <f t="shared" si="3"/>
        <v>63</v>
      </c>
      <c r="K83" s="11">
        <f t="shared" si="3"/>
        <v>0</v>
      </c>
      <c r="L83" s="11">
        <f t="shared" si="3"/>
        <v>0</v>
      </c>
      <c r="M83" s="11">
        <f t="shared" si="3"/>
        <v>0</v>
      </c>
      <c r="N83" s="17"/>
      <c r="O83" s="7"/>
      <c r="P83" s="7"/>
      <c r="Q83" s="7"/>
      <c r="R83" s="7"/>
      <c r="S83" s="7"/>
      <c r="T83" s="7"/>
      <c r="U83" s="7"/>
      <c r="V83" s="3"/>
      <c r="W83" s="3"/>
      <c r="X83" s="3"/>
      <c r="Y83" s="3"/>
    </row>
    <row r="84" spans="1:25" ht="15.75" customHeight="1">
      <c r="A84" s="103"/>
      <c r="B84" s="104"/>
      <c r="C84" s="99"/>
      <c r="D84" s="105"/>
      <c r="E84" s="83">
        <f t="shared" si="3"/>
        <v>1</v>
      </c>
      <c r="F84" s="11">
        <f t="shared" si="3"/>
        <v>3</v>
      </c>
      <c r="G84" s="11">
        <f t="shared" si="3"/>
        <v>7</v>
      </c>
      <c r="H84" s="11">
        <f t="shared" si="3"/>
        <v>15</v>
      </c>
      <c r="I84" s="11">
        <f t="shared" si="3"/>
        <v>31</v>
      </c>
      <c r="J84" s="11">
        <f t="shared" si="3"/>
        <v>63</v>
      </c>
      <c r="K84" s="11">
        <f t="shared" si="3"/>
        <v>0</v>
      </c>
      <c r="L84" s="11">
        <f t="shared" si="3"/>
        <v>0</v>
      </c>
      <c r="M84" s="11">
        <f t="shared" si="3"/>
        <v>0</v>
      </c>
      <c r="N84" s="17"/>
      <c r="O84" s="7"/>
      <c r="P84" s="7"/>
      <c r="Q84" s="7"/>
      <c r="R84" s="7"/>
      <c r="S84" s="7"/>
      <c r="T84" s="7"/>
      <c r="U84" s="7"/>
      <c r="V84" s="3"/>
      <c r="W84" s="3"/>
      <c r="X84" s="3"/>
      <c r="Y84" s="3"/>
    </row>
    <row r="85" spans="1:25" ht="15.75" customHeight="1">
      <c r="A85" s="103"/>
      <c r="B85" s="104"/>
      <c r="C85" s="99"/>
      <c r="D85" s="105"/>
      <c r="E85" s="83">
        <f t="shared" si="3"/>
        <v>1</v>
      </c>
      <c r="F85" s="11">
        <f t="shared" si="3"/>
        <v>3</v>
      </c>
      <c r="G85" s="11">
        <f t="shared" si="3"/>
        <v>7</v>
      </c>
      <c r="H85" s="11">
        <f t="shared" si="3"/>
        <v>15</v>
      </c>
      <c r="I85" s="11">
        <f t="shared" si="3"/>
        <v>31</v>
      </c>
      <c r="J85" s="11">
        <f t="shared" si="3"/>
        <v>63</v>
      </c>
      <c r="K85" s="11">
        <f t="shared" si="3"/>
        <v>0</v>
      </c>
      <c r="L85" s="11">
        <f t="shared" si="3"/>
        <v>0</v>
      </c>
      <c r="M85" s="11">
        <f t="shared" si="3"/>
        <v>0</v>
      </c>
      <c r="N85" s="17"/>
      <c r="O85" s="7"/>
      <c r="P85" s="7"/>
      <c r="Q85" s="7"/>
      <c r="R85" s="7"/>
      <c r="S85" s="7"/>
      <c r="T85" s="7"/>
      <c r="U85" s="7"/>
      <c r="V85" s="3"/>
      <c r="W85" s="3"/>
      <c r="X85" s="3"/>
      <c r="Y85" s="3"/>
    </row>
    <row r="86" spans="1:25" ht="15.75" customHeight="1">
      <c r="A86" s="103"/>
      <c r="B86" s="104"/>
      <c r="C86" s="99"/>
      <c r="D86" s="105"/>
      <c r="E86" s="83">
        <f t="shared" si="3"/>
        <v>1</v>
      </c>
      <c r="F86" s="11">
        <f t="shared" si="3"/>
        <v>3</v>
      </c>
      <c r="G86" s="11">
        <f t="shared" si="3"/>
        <v>7</v>
      </c>
      <c r="H86" s="11">
        <f t="shared" si="3"/>
        <v>15</v>
      </c>
      <c r="I86" s="11">
        <f t="shared" si="3"/>
        <v>31</v>
      </c>
      <c r="J86" s="11">
        <f t="shared" si="3"/>
        <v>63</v>
      </c>
      <c r="K86" s="11">
        <f t="shared" si="3"/>
        <v>0</v>
      </c>
      <c r="L86" s="11">
        <f t="shared" si="3"/>
        <v>0</v>
      </c>
      <c r="M86" s="11">
        <f t="shared" si="3"/>
        <v>0</v>
      </c>
      <c r="N86" s="17"/>
      <c r="O86" s="7"/>
      <c r="P86" s="7"/>
      <c r="Q86" s="7"/>
      <c r="R86" s="7"/>
      <c r="S86" s="7"/>
      <c r="T86" s="7"/>
      <c r="U86" s="7"/>
      <c r="V86" s="3"/>
      <c r="W86" s="3"/>
      <c r="X86" s="3"/>
      <c r="Y86" s="3"/>
    </row>
    <row r="87" spans="1:25" ht="15.75" customHeight="1">
      <c r="A87" s="103"/>
      <c r="B87" s="104"/>
      <c r="C87" s="99"/>
      <c r="D87" s="105"/>
      <c r="E87" s="83">
        <f t="shared" si="3"/>
        <v>1</v>
      </c>
      <c r="F87" s="11">
        <f t="shared" si="3"/>
        <v>3</v>
      </c>
      <c r="G87" s="11">
        <f t="shared" si="3"/>
        <v>7</v>
      </c>
      <c r="H87" s="11">
        <f t="shared" si="3"/>
        <v>15</v>
      </c>
      <c r="I87" s="11">
        <f t="shared" si="3"/>
        <v>31</v>
      </c>
      <c r="J87" s="11">
        <f t="shared" si="3"/>
        <v>63</v>
      </c>
      <c r="K87" s="11">
        <f t="shared" si="3"/>
        <v>0</v>
      </c>
      <c r="L87" s="11">
        <f t="shared" si="3"/>
        <v>0</v>
      </c>
      <c r="M87" s="11">
        <f t="shared" si="3"/>
        <v>0</v>
      </c>
      <c r="N87" s="17"/>
      <c r="O87" s="7"/>
      <c r="P87" s="7"/>
      <c r="Q87" s="7"/>
      <c r="R87" s="7"/>
      <c r="S87" s="7"/>
      <c r="T87" s="7"/>
      <c r="U87" s="7"/>
      <c r="V87" s="3"/>
      <c r="W87" s="3"/>
      <c r="X87" s="3"/>
      <c r="Y87" s="3"/>
    </row>
    <row r="88" spans="1:25" ht="15.75" customHeight="1">
      <c r="A88" s="103"/>
      <c r="B88" s="104"/>
      <c r="C88" s="99"/>
      <c r="D88" s="105"/>
      <c r="E88" s="83">
        <f t="shared" si="3"/>
        <v>1</v>
      </c>
      <c r="F88" s="11">
        <f t="shared" si="3"/>
        <v>3</v>
      </c>
      <c r="G88" s="11">
        <f t="shared" si="3"/>
        <v>7</v>
      </c>
      <c r="H88" s="11">
        <f t="shared" si="3"/>
        <v>15</v>
      </c>
      <c r="I88" s="11">
        <f t="shared" si="3"/>
        <v>31</v>
      </c>
      <c r="J88" s="11">
        <f t="shared" si="3"/>
        <v>63</v>
      </c>
      <c r="K88" s="11">
        <f t="shared" si="3"/>
        <v>0</v>
      </c>
      <c r="L88" s="11">
        <f t="shared" si="3"/>
        <v>0</v>
      </c>
      <c r="M88" s="11">
        <f t="shared" si="3"/>
        <v>0</v>
      </c>
      <c r="N88" s="17"/>
      <c r="O88" s="7"/>
      <c r="P88" s="7"/>
      <c r="Q88" s="7"/>
      <c r="R88" s="7"/>
      <c r="S88" s="7"/>
      <c r="T88" s="7"/>
      <c r="U88" s="7"/>
      <c r="V88" s="3"/>
      <c r="W88" s="3"/>
      <c r="X88" s="3"/>
      <c r="Y88" s="3"/>
    </row>
    <row r="89" spans="1:25" ht="15.75" customHeight="1">
      <c r="A89" s="103"/>
      <c r="B89" s="104"/>
      <c r="C89" s="99"/>
      <c r="D89" s="105"/>
      <c r="E89" s="83">
        <f t="shared" si="3"/>
        <v>1</v>
      </c>
      <c r="F89" s="11">
        <f t="shared" si="3"/>
        <v>3</v>
      </c>
      <c r="G89" s="11">
        <f t="shared" si="3"/>
        <v>7</v>
      </c>
      <c r="H89" s="11">
        <f t="shared" si="3"/>
        <v>15</v>
      </c>
      <c r="I89" s="11">
        <f t="shared" si="3"/>
        <v>31</v>
      </c>
      <c r="J89" s="11">
        <f t="shared" si="3"/>
        <v>63</v>
      </c>
      <c r="K89" s="11">
        <f t="shared" si="3"/>
        <v>0</v>
      </c>
      <c r="L89" s="11">
        <f t="shared" si="3"/>
        <v>0</v>
      </c>
      <c r="M89" s="11">
        <f t="shared" si="3"/>
        <v>0</v>
      </c>
      <c r="N89" s="17"/>
      <c r="O89" s="7"/>
      <c r="P89" s="7"/>
      <c r="Q89" s="7"/>
      <c r="R89" s="7"/>
      <c r="S89" s="7"/>
      <c r="T89" s="7"/>
      <c r="U89" s="7"/>
      <c r="V89" s="3"/>
      <c r="W89" s="3"/>
      <c r="X89" s="3"/>
      <c r="Y89" s="3"/>
    </row>
    <row r="90" spans="1:25" ht="15.75" customHeight="1">
      <c r="A90" s="103"/>
      <c r="B90" s="104"/>
      <c r="C90" s="99"/>
      <c r="D90" s="105"/>
      <c r="E90" s="83">
        <f t="shared" si="3"/>
        <v>1</v>
      </c>
      <c r="F90" s="11">
        <f t="shared" si="3"/>
        <v>3</v>
      </c>
      <c r="G90" s="11">
        <f t="shared" si="3"/>
        <v>7</v>
      </c>
      <c r="H90" s="11">
        <f t="shared" si="3"/>
        <v>15</v>
      </c>
      <c r="I90" s="11">
        <f t="shared" si="3"/>
        <v>31</v>
      </c>
      <c r="J90" s="11">
        <f t="shared" si="3"/>
        <v>63</v>
      </c>
      <c r="K90" s="11">
        <f t="shared" si="3"/>
        <v>0</v>
      </c>
      <c r="L90" s="11">
        <f t="shared" si="3"/>
        <v>0</v>
      </c>
      <c r="M90" s="11">
        <f t="shared" si="3"/>
        <v>0</v>
      </c>
      <c r="N90" s="17"/>
      <c r="O90" s="7"/>
      <c r="P90" s="7"/>
      <c r="Q90" s="7"/>
      <c r="R90" s="7"/>
      <c r="S90" s="7"/>
      <c r="T90" s="7"/>
      <c r="U90" s="7"/>
      <c r="V90" s="3"/>
      <c r="W90" s="3"/>
      <c r="X90" s="3"/>
      <c r="Y90" s="3"/>
    </row>
    <row r="91" spans="1:25" ht="15.75" customHeight="1">
      <c r="A91" s="103"/>
      <c r="B91" s="104"/>
      <c r="C91" s="99"/>
      <c r="D91" s="105"/>
      <c r="E91" s="83">
        <f t="shared" si="3"/>
        <v>1</v>
      </c>
      <c r="F91" s="11">
        <f t="shared" si="3"/>
        <v>3</v>
      </c>
      <c r="G91" s="11">
        <f t="shared" si="3"/>
        <v>7</v>
      </c>
      <c r="H91" s="11">
        <f t="shared" si="3"/>
        <v>15</v>
      </c>
      <c r="I91" s="11">
        <f t="shared" si="3"/>
        <v>31</v>
      </c>
      <c r="J91" s="11">
        <f t="shared" si="3"/>
        <v>63</v>
      </c>
      <c r="K91" s="11">
        <f t="shared" si="3"/>
        <v>0</v>
      </c>
      <c r="L91" s="11">
        <f t="shared" si="3"/>
        <v>0</v>
      </c>
      <c r="M91" s="11">
        <f t="shared" si="3"/>
        <v>0</v>
      </c>
      <c r="N91" s="17"/>
      <c r="O91" s="7"/>
      <c r="P91" s="7"/>
      <c r="Q91" s="7"/>
      <c r="R91" s="7"/>
      <c r="S91" s="7"/>
      <c r="T91" s="7"/>
      <c r="U91" s="7"/>
      <c r="V91" s="3"/>
      <c r="W91" s="3"/>
      <c r="X91" s="3"/>
      <c r="Y91" s="3"/>
    </row>
    <row r="92" spans="1:25" ht="15.75" customHeight="1">
      <c r="A92" s="103"/>
      <c r="B92" s="104"/>
      <c r="C92" s="99"/>
      <c r="D92" s="105"/>
      <c r="E92" s="83">
        <f t="shared" si="3"/>
        <v>1</v>
      </c>
      <c r="F92" s="11">
        <f t="shared" si="3"/>
        <v>3</v>
      </c>
      <c r="G92" s="11">
        <f t="shared" si="3"/>
        <v>7</v>
      </c>
      <c r="H92" s="11">
        <f t="shared" si="3"/>
        <v>15</v>
      </c>
      <c r="I92" s="11">
        <f t="shared" si="3"/>
        <v>31</v>
      </c>
      <c r="J92" s="11">
        <f t="shared" si="3"/>
        <v>63</v>
      </c>
      <c r="K92" s="11">
        <f t="shared" si="3"/>
        <v>0</v>
      </c>
      <c r="L92" s="11">
        <f t="shared" si="3"/>
        <v>0</v>
      </c>
      <c r="M92" s="11">
        <f t="shared" si="3"/>
        <v>0</v>
      </c>
      <c r="N92" s="17"/>
      <c r="O92" s="7"/>
      <c r="P92" s="7"/>
      <c r="Q92" s="7"/>
      <c r="R92" s="7"/>
      <c r="S92" s="7"/>
      <c r="T92" s="7"/>
      <c r="U92" s="7"/>
      <c r="V92" s="3"/>
      <c r="W92" s="3"/>
      <c r="X92" s="3"/>
      <c r="Y92" s="3"/>
    </row>
    <row r="93" spans="1:25" ht="15.75" customHeight="1">
      <c r="A93" s="103"/>
      <c r="B93" s="104"/>
      <c r="C93" s="99"/>
      <c r="D93" s="105"/>
      <c r="E93" s="83">
        <f t="shared" si="3"/>
        <v>1</v>
      </c>
      <c r="F93" s="11">
        <f t="shared" si="3"/>
        <v>3</v>
      </c>
      <c r="G93" s="11">
        <f t="shared" si="3"/>
        <v>7</v>
      </c>
      <c r="H93" s="11">
        <f t="shared" si="3"/>
        <v>15</v>
      </c>
      <c r="I93" s="11">
        <f t="shared" si="3"/>
        <v>31</v>
      </c>
      <c r="J93" s="11">
        <f t="shared" si="3"/>
        <v>63</v>
      </c>
      <c r="K93" s="11">
        <f t="shared" si="3"/>
        <v>0</v>
      </c>
      <c r="L93" s="11">
        <f t="shared" si="3"/>
        <v>0</v>
      </c>
      <c r="M93" s="11">
        <f t="shared" si="3"/>
        <v>0</v>
      </c>
      <c r="N93" s="17"/>
      <c r="O93" s="7"/>
      <c r="P93" s="7"/>
      <c r="Q93" s="7"/>
      <c r="R93" s="7"/>
      <c r="S93" s="7"/>
      <c r="T93" s="7"/>
      <c r="U93" s="7"/>
      <c r="V93" s="3"/>
      <c r="W93" s="3"/>
      <c r="X93" s="3"/>
      <c r="Y93" s="3"/>
    </row>
    <row r="94" spans="1:25" ht="15.75" customHeight="1">
      <c r="A94" s="103"/>
      <c r="B94" s="104"/>
      <c r="C94" s="99"/>
      <c r="D94" s="105"/>
      <c r="E94" s="83">
        <f t="shared" si="3"/>
        <v>1</v>
      </c>
      <c r="F94" s="11">
        <f t="shared" si="3"/>
        <v>3</v>
      </c>
      <c r="G94" s="11">
        <f t="shared" si="3"/>
        <v>7</v>
      </c>
      <c r="H94" s="11">
        <f t="shared" si="3"/>
        <v>15</v>
      </c>
      <c r="I94" s="11">
        <f t="shared" si="3"/>
        <v>31</v>
      </c>
      <c r="J94" s="11">
        <f t="shared" si="3"/>
        <v>63</v>
      </c>
      <c r="K94" s="11">
        <f t="shared" si="3"/>
        <v>0</v>
      </c>
      <c r="L94" s="11">
        <f t="shared" si="3"/>
        <v>0</v>
      </c>
      <c r="M94" s="11">
        <f t="shared" si="3"/>
        <v>0</v>
      </c>
      <c r="N94" s="17"/>
      <c r="O94" s="7"/>
      <c r="P94" s="7"/>
      <c r="Q94" s="7"/>
      <c r="R94" s="7"/>
      <c r="S94" s="7"/>
      <c r="T94" s="7"/>
      <c r="U94" s="7"/>
      <c r="V94" s="3"/>
      <c r="W94" s="3"/>
      <c r="X94" s="3"/>
      <c r="Y94" s="3"/>
    </row>
    <row r="95" spans="1:25" ht="15.75" customHeight="1">
      <c r="A95" s="103"/>
      <c r="B95" s="104"/>
      <c r="C95" s="99"/>
      <c r="D95" s="105"/>
      <c r="E95" s="83">
        <f t="shared" si="3"/>
        <v>1</v>
      </c>
      <c r="F95" s="11">
        <f t="shared" si="3"/>
        <v>3</v>
      </c>
      <c r="G95" s="11">
        <f t="shared" si="3"/>
        <v>7</v>
      </c>
      <c r="H95" s="11">
        <f t="shared" si="3"/>
        <v>15</v>
      </c>
      <c r="I95" s="11">
        <f t="shared" si="3"/>
        <v>31</v>
      </c>
      <c r="J95" s="11">
        <f t="shared" si="3"/>
        <v>63</v>
      </c>
      <c r="K95" s="11">
        <f t="shared" si="3"/>
        <v>0</v>
      </c>
      <c r="L95" s="11">
        <f t="shared" si="3"/>
        <v>0</v>
      </c>
      <c r="M95" s="11">
        <f t="shared" si="3"/>
        <v>0</v>
      </c>
      <c r="N95" s="17"/>
      <c r="O95" s="7"/>
      <c r="P95" s="7"/>
      <c r="Q95" s="7"/>
      <c r="R95" s="7"/>
      <c r="S95" s="7"/>
      <c r="T95" s="7"/>
      <c r="U95" s="7"/>
      <c r="V95" s="3"/>
      <c r="W95" s="3"/>
      <c r="X95" s="3"/>
      <c r="Y95" s="3"/>
    </row>
    <row r="96" spans="1:25" ht="15.75" customHeight="1">
      <c r="A96" s="103"/>
      <c r="B96" s="104"/>
      <c r="C96" s="99"/>
      <c r="D96" s="105"/>
      <c r="E96" s="83">
        <f t="shared" si="3"/>
        <v>1</v>
      </c>
      <c r="F96" s="11">
        <f t="shared" si="3"/>
        <v>3</v>
      </c>
      <c r="G96" s="11">
        <f t="shared" si="3"/>
        <v>7</v>
      </c>
      <c r="H96" s="11">
        <f t="shared" si="3"/>
        <v>15</v>
      </c>
      <c r="I96" s="11">
        <f t="shared" si="3"/>
        <v>31</v>
      </c>
      <c r="J96" s="11">
        <f t="shared" si="3"/>
        <v>63</v>
      </c>
      <c r="K96" s="11">
        <f t="shared" si="3"/>
        <v>0</v>
      </c>
      <c r="L96" s="11">
        <f t="shared" si="3"/>
        <v>0</v>
      </c>
      <c r="M96" s="11">
        <f t="shared" si="3"/>
        <v>0</v>
      </c>
      <c r="N96" s="17"/>
      <c r="O96" s="7"/>
      <c r="P96" s="7"/>
      <c r="Q96" s="7"/>
      <c r="R96" s="7"/>
      <c r="S96" s="7"/>
      <c r="T96" s="7"/>
      <c r="U96" s="7"/>
      <c r="V96" s="3"/>
      <c r="W96" s="3"/>
      <c r="X96" s="3"/>
      <c r="Y96" s="3"/>
    </row>
    <row r="97" spans="1:25" ht="15.75" customHeight="1">
      <c r="A97" s="103"/>
      <c r="B97" s="104"/>
      <c r="C97" s="99"/>
      <c r="D97" s="105"/>
      <c r="E97" s="83">
        <f t="shared" si="3"/>
        <v>1</v>
      </c>
      <c r="F97" s="11">
        <f t="shared" si="3"/>
        <v>3</v>
      </c>
      <c r="G97" s="11">
        <f t="shared" si="3"/>
        <v>7</v>
      </c>
      <c r="H97" s="11">
        <f t="shared" si="3"/>
        <v>15</v>
      </c>
      <c r="I97" s="11">
        <f t="shared" si="3"/>
        <v>31</v>
      </c>
      <c r="J97" s="11">
        <f t="shared" si="3"/>
        <v>63</v>
      </c>
      <c r="K97" s="11">
        <f t="shared" si="3"/>
        <v>0</v>
      </c>
      <c r="L97" s="11">
        <f t="shared" si="3"/>
        <v>0</v>
      </c>
      <c r="M97" s="11">
        <f t="shared" si="3"/>
        <v>0</v>
      </c>
      <c r="N97" s="17"/>
      <c r="O97" s="7"/>
      <c r="P97" s="7"/>
      <c r="Q97" s="7"/>
      <c r="R97" s="7"/>
      <c r="S97" s="7"/>
      <c r="T97" s="7"/>
      <c r="U97" s="7"/>
      <c r="V97" s="3"/>
      <c r="W97" s="3"/>
      <c r="X97" s="3"/>
      <c r="Y97" s="3"/>
    </row>
    <row r="98" spans="1:25" ht="15.75" customHeight="1">
      <c r="A98" s="103"/>
      <c r="B98" s="104"/>
      <c r="C98" s="99"/>
      <c r="D98" s="105"/>
      <c r="E98" s="83">
        <f t="shared" si="3"/>
        <v>1</v>
      </c>
      <c r="F98" s="11">
        <f t="shared" si="3"/>
        <v>3</v>
      </c>
      <c r="G98" s="11">
        <f t="shared" si="3"/>
        <v>7</v>
      </c>
      <c r="H98" s="11">
        <f t="shared" si="3"/>
        <v>15</v>
      </c>
      <c r="I98" s="11">
        <f t="shared" si="3"/>
        <v>31</v>
      </c>
      <c r="J98" s="11">
        <f t="shared" si="3"/>
        <v>63</v>
      </c>
      <c r="K98" s="11">
        <f t="shared" si="3"/>
        <v>0</v>
      </c>
      <c r="L98" s="11">
        <f t="shared" si="3"/>
        <v>0</v>
      </c>
      <c r="M98" s="11">
        <f t="shared" si="3"/>
        <v>0</v>
      </c>
      <c r="N98" s="17"/>
      <c r="O98" s="7"/>
      <c r="P98" s="7"/>
      <c r="Q98" s="7"/>
      <c r="R98" s="7"/>
      <c r="S98" s="7"/>
      <c r="T98" s="7"/>
      <c r="U98" s="7"/>
      <c r="V98" s="3"/>
      <c r="W98" s="3"/>
      <c r="X98" s="3"/>
      <c r="Y98" s="3"/>
    </row>
    <row r="99" spans="1:25" ht="15.75" customHeight="1">
      <c r="A99" s="103"/>
      <c r="B99" s="104"/>
      <c r="C99" s="99"/>
      <c r="D99" s="105"/>
      <c r="E99" s="83">
        <f t="shared" si="3"/>
        <v>1</v>
      </c>
      <c r="F99" s="11">
        <f t="shared" si="3"/>
        <v>3</v>
      </c>
      <c r="G99" s="11">
        <f t="shared" si="3"/>
        <v>7</v>
      </c>
      <c r="H99" s="11">
        <f t="shared" si="3"/>
        <v>15</v>
      </c>
      <c r="I99" s="11">
        <f t="shared" si="3"/>
        <v>31</v>
      </c>
      <c r="J99" s="11">
        <f t="shared" si="3"/>
        <v>63</v>
      </c>
      <c r="K99" s="11">
        <f t="shared" si="3"/>
        <v>0</v>
      </c>
      <c r="L99" s="11">
        <f t="shared" si="3"/>
        <v>0</v>
      </c>
      <c r="M99" s="11">
        <f t="shared" si="3"/>
        <v>0</v>
      </c>
      <c r="N99" s="17"/>
      <c r="O99" s="7"/>
      <c r="P99" s="7"/>
      <c r="Q99" s="7"/>
      <c r="R99" s="7"/>
      <c r="S99" s="7"/>
      <c r="T99" s="7"/>
      <c r="U99" s="7"/>
      <c r="V99" s="3"/>
      <c r="W99" s="3"/>
      <c r="X99" s="3"/>
      <c r="Y99" s="3"/>
    </row>
    <row r="100" spans="1:25" ht="15.75" customHeight="1">
      <c r="A100" s="103"/>
      <c r="B100" s="104"/>
      <c r="C100" s="99"/>
      <c r="D100" s="105"/>
      <c r="E100" s="83">
        <f t="shared" si="3"/>
        <v>1</v>
      </c>
      <c r="F100" s="11">
        <f t="shared" si="3"/>
        <v>3</v>
      </c>
      <c r="G100" s="11">
        <f t="shared" si="3"/>
        <v>7</v>
      </c>
      <c r="H100" s="11">
        <f t="shared" si="3"/>
        <v>15</v>
      </c>
      <c r="I100" s="11">
        <f t="shared" si="3"/>
        <v>31</v>
      </c>
      <c r="J100" s="11">
        <f t="shared" si="3"/>
        <v>63</v>
      </c>
      <c r="K100" s="11">
        <f t="shared" si="3"/>
        <v>0</v>
      </c>
      <c r="L100" s="11">
        <f t="shared" si="3"/>
        <v>0</v>
      </c>
      <c r="M100" s="11">
        <f t="shared" si="3"/>
        <v>0</v>
      </c>
      <c r="N100" s="17"/>
      <c r="O100" s="7"/>
      <c r="P100" s="7"/>
      <c r="Q100" s="7"/>
      <c r="R100" s="7"/>
      <c r="S100" s="7"/>
      <c r="T100" s="7"/>
      <c r="U100" s="7"/>
      <c r="V100" s="3"/>
      <c r="W100" s="3"/>
      <c r="X100" s="3"/>
      <c r="Y100" s="3"/>
    </row>
    <row r="101" spans="1:25" ht="15.75" customHeight="1">
      <c r="A101" s="103"/>
      <c r="B101" s="104"/>
      <c r="C101" s="99"/>
      <c r="D101" s="105"/>
      <c r="E101" s="83">
        <f t="shared" si="3"/>
        <v>1</v>
      </c>
      <c r="F101" s="11">
        <f t="shared" si="3"/>
        <v>3</v>
      </c>
      <c r="G101" s="11">
        <f t="shared" si="3"/>
        <v>7</v>
      </c>
      <c r="H101" s="11">
        <f t="shared" si="3"/>
        <v>15</v>
      </c>
      <c r="I101" s="11">
        <f t="shared" si="3"/>
        <v>31</v>
      </c>
      <c r="J101" s="11">
        <f t="shared" si="3"/>
        <v>63</v>
      </c>
      <c r="K101" s="11">
        <f t="shared" si="3"/>
        <v>0</v>
      </c>
      <c r="L101" s="11">
        <f t="shared" si="3"/>
        <v>0</v>
      </c>
      <c r="M101" s="11">
        <f t="shared" si="3"/>
        <v>0</v>
      </c>
      <c r="N101" s="17"/>
      <c r="O101" s="7"/>
      <c r="P101" s="7"/>
      <c r="Q101" s="7"/>
      <c r="R101" s="7"/>
      <c r="S101" s="7"/>
      <c r="T101" s="7"/>
      <c r="U101" s="7"/>
      <c r="V101" s="3"/>
      <c r="W101" s="3"/>
      <c r="X101" s="3"/>
      <c r="Y101" s="3"/>
    </row>
    <row r="102" spans="1:25" ht="15.75" customHeight="1">
      <c r="A102" s="103"/>
      <c r="B102" s="104"/>
      <c r="C102" s="99"/>
      <c r="D102" s="105"/>
      <c r="E102" s="83">
        <f t="shared" si="3"/>
        <v>1</v>
      </c>
      <c r="F102" s="11">
        <f t="shared" si="3"/>
        <v>3</v>
      </c>
      <c r="G102" s="11">
        <f t="shared" si="3"/>
        <v>7</v>
      </c>
      <c r="H102" s="11">
        <f t="shared" si="3"/>
        <v>15</v>
      </c>
      <c r="I102" s="11">
        <f t="shared" si="3"/>
        <v>31</v>
      </c>
      <c r="J102" s="11">
        <f t="shared" si="3"/>
        <v>63</v>
      </c>
      <c r="K102" s="11">
        <f t="shared" si="3"/>
        <v>0</v>
      </c>
      <c r="L102" s="11">
        <f t="shared" si="3"/>
        <v>0</v>
      </c>
      <c r="M102" s="11">
        <f t="shared" si="3"/>
        <v>0</v>
      </c>
      <c r="N102" s="17"/>
      <c r="O102" s="7"/>
      <c r="P102" s="7"/>
      <c r="Q102" s="7"/>
      <c r="R102" s="7"/>
      <c r="S102" s="7"/>
      <c r="T102" s="7"/>
      <c r="U102" s="7"/>
      <c r="V102" s="3"/>
      <c r="W102" s="3"/>
      <c r="X102" s="3"/>
      <c r="Y102" s="3"/>
    </row>
    <row r="103" spans="1:25" ht="15.75" customHeight="1">
      <c r="A103" s="103"/>
      <c r="B103" s="104"/>
      <c r="C103" s="99"/>
      <c r="D103" s="105"/>
      <c r="E103" s="83">
        <f t="shared" si="3"/>
        <v>1</v>
      </c>
      <c r="F103" s="11">
        <f t="shared" si="3"/>
        <v>3</v>
      </c>
      <c r="G103" s="11">
        <f t="shared" si="3"/>
        <v>7</v>
      </c>
      <c r="H103" s="11">
        <f t="shared" si="3"/>
        <v>15</v>
      </c>
      <c r="I103" s="11">
        <f t="shared" si="3"/>
        <v>31</v>
      </c>
      <c r="J103" s="11">
        <f t="shared" si="3"/>
        <v>63</v>
      </c>
      <c r="K103" s="11">
        <f t="shared" si="3"/>
        <v>0</v>
      </c>
      <c r="L103" s="11">
        <f t="shared" si="3"/>
        <v>0</v>
      </c>
      <c r="M103" s="11">
        <f t="shared" si="3"/>
        <v>0</v>
      </c>
      <c r="N103" s="17"/>
      <c r="O103" s="7"/>
      <c r="P103" s="7"/>
      <c r="Q103" s="7"/>
      <c r="R103" s="7"/>
      <c r="S103" s="7"/>
      <c r="T103" s="7"/>
      <c r="U103" s="7"/>
      <c r="V103" s="3"/>
      <c r="W103" s="3"/>
      <c r="X103" s="3"/>
      <c r="Y103" s="3"/>
    </row>
    <row r="104" spans="1:25" ht="15.75" customHeight="1">
      <c r="A104" s="103"/>
      <c r="B104" s="104"/>
      <c r="C104" s="99"/>
      <c r="D104" s="105"/>
      <c r="E104" s="83">
        <f t="shared" si="3"/>
        <v>1</v>
      </c>
      <c r="F104" s="11">
        <f t="shared" si="3"/>
        <v>3</v>
      </c>
      <c r="G104" s="11">
        <f t="shared" si="3"/>
        <v>7</v>
      </c>
      <c r="H104" s="11">
        <f t="shared" si="3"/>
        <v>15</v>
      </c>
      <c r="I104" s="11">
        <f t="shared" si="3"/>
        <v>31</v>
      </c>
      <c r="J104" s="11">
        <f t="shared" si="3"/>
        <v>63</v>
      </c>
      <c r="K104" s="11">
        <f t="shared" si="3"/>
        <v>0</v>
      </c>
      <c r="L104" s="11">
        <f t="shared" si="3"/>
        <v>0</v>
      </c>
      <c r="M104" s="11">
        <f t="shared" si="3"/>
        <v>0</v>
      </c>
      <c r="N104" s="17"/>
      <c r="O104" s="7"/>
      <c r="P104" s="7"/>
      <c r="Q104" s="7"/>
      <c r="R104" s="7"/>
      <c r="S104" s="7"/>
      <c r="T104" s="7"/>
      <c r="U104" s="7"/>
      <c r="V104" s="3"/>
      <c r="W104" s="3"/>
      <c r="X104" s="3"/>
      <c r="Y104" s="3"/>
    </row>
    <row r="105" spans="1:25" ht="15.75" customHeight="1">
      <c r="A105" s="103"/>
      <c r="B105" s="104"/>
      <c r="C105" s="99"/>
      <c r="D105" s="105"/>
      <c r="E105" s="83">
        <f t="shared" si="3"/>
        <v>1</v>
      </c>
      <c r="F105" s="11">
        <f t="shared" si="3"/>
        <v>3</v>
      </c>
      <c r="G105" s="11">
        <f t="shared" si="3"/>
        <v>7</v>
      </c>
      <c r="H105" s="11">
        <f t="shared" si="3"/>
        <v>15</v>
      </c>
      <c r="I105" s="11">
        <f t="shared" si="3"/>
        <v>31</v>
      </c>
      <c r="J105" s="11">
        <f t="shared" si="3"/>
        <v>63</v>
      </c>
      <c r="K105" s="11">
        <f t="shared" si="3"/>
        <v>0</v>
      </c>
      <c r="L105" s="11">
        <f t="shared" si="3"/>
        <v>0</v>
      </c>
      <c r="M105" s="11">
        <f t="shared" si="3"/>
        <v>0</v>
      </c>
      <c r="N105" s="17"/>
      <c r="O105" s="7"/>
      <c r="P105" s="7"/>
      <c r="Q105" s="7"/>
      <c r="R105" s="7"/>
      <c r="S105" s="7"/>
      <c r="T105" s="7"/>
      <c r="U105" s="7"/>
      <c r="V105" s="3"/>
      <c r="W105" s="3"/>
      <c r="X105" s="3"/>
      <c r="Y105" s="3"/>
    </row>
    <row r="106" spans="1:25" ht="15.75" customHeight="1">
      <c r="A106" s="103"/>
      <c r="B106" s="104"/>
      <c r="C106" s="99"/>
      <c r="D106" s="105"/>
      <c r="E106" s="83">
        <f t="shared" si="3"/>
        <v>1</v>
      </c>
      <c r="F106" s="11">
        <f t="shared" si="3"/>
        <v>3</v>
      </c>
      <c r="G106" s="11">
        <f t="shared" si="3"/>
        <v>7</v>
      </c>
      <c r="H106" s="11">
        <f t="shared" ref="E106:N142" si="4">$D106+H$6</f>
        <v>15</v>
      </c>
      <c r="I106" s="11">
        <f t="shared" si="4"/>
        <v>31</v>
      </c>
      <c r="J106" s="11">
        <f t="shared" si="4"/>
        <v>63</v>
      </c>
      <c r="K106" s="11">
        <f t="shared" si="4"/>
        <v>0</v>
      </c>
      <c r="L106" s="11">
        <f t="shared" si="4"/>
        <v>0</v>
      </c>
      <c r="M106" s="11">
        <f t="shared" si="4"/>
        <v>0</v>
      </c>
      <c r="N106" s="17"/>
      <c r="O106" s="7"/>
      <c r="P106" s="7"/>
      <c r="Q106" s="7"/>
      <c r="R106" s="7"/>
      <c r="S106" s="7"/>
      <c r="T106" s="7"/>
      <c r="U106" s="7"/>
      <c r="V106" s="3"/>
      <c r="W106" s="3"/>
      <c r="X106" s="3"/>
      <c r="Y106" s="3"/>
    </row>
    <row r="107" spans="1:25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7"/>
      <c r="P107" s="7"/>
      <c r="Q107" s="7"/>
      <c r="R107" s="7"/>
      <c r="S107" s="7"/>
      <c r="T107" s="7"/>
      <c r="U107" s="7"/>
      <c r="V107" s="3"/>
      <c r="W107" s="3"/>
      <c r="X107" s="3"/>
      <c r="Y107" s="3"/>
    </row>
    <row r="108" spans="1:25" ht="15.75" customHeight="1">
      <c r="A108" s="104"/>
      <c r="B108" s="106"/>
      <c r="C108" s="107"/>
      <c r="D108" s="105"/>
      <c r="E108" s="83">
        <f t="shared" si="4"/>
        <v>1</v>
      </c>
      <c r="F108" s="11">
        <f t="shared" si="4"/>
        <v>3</v>
      </c>
      <c r="G108" s="11">
        <f t="shared" si="4"/>
        <v>7</v>
      </c>
      <c r="H108" s="11">
        <f t="shared" si="4"/>
        <v>15</v>
      </c>
      <c r="I108" s="11">
        <f t="shared" si="4"/>
        <v>31</v>
      </c>
      <c r="J108" s="11">
        <f t="shared" si="4"/>
        <v>63</v>
      </c>
      <c r="K108" s="11">
        <f t="shared" si="4"/>
        <v>0</v>
      </c>
      <c r="L108" s="11">
        <f t="shared" si="4"/>
        <v>0</v>
      </c>
      <c r="M108" s="11">
        <f t="shared" si="4"/>
        <v>0</v>
      </c>
      <c r="N108" s="17"/>
      <c r="O108" s="7"/>
      <c r="P108" s="7"/>
      <c r="Q108" s="7"/>
      <c r="R108" s="7"/>
      <c r="S108" s="7"/>
      <c r="T108" s="7"/>
      <c r="U108" s="7"/>
      <c r="V108" s="3"/>
      <c r="W108" s="3"/>
      <c r="X108" s="3"/>
      <c r="Y108" s="3"/>
    </row>
    <row r="109" spans="1:25" ht="15.75" customHeight="1">
      <c r="A109" s="104"/>
      <c r="B109" s="106"/>
      <c r="C109" s="107"/>
      <c r="D109" s="105"/>
      <c r="E109" s="83">
        <f t="shared" si="4"/>
        <v>1</v>
      </c>
      <c r="F109" s="11">
        <f t="shared" si="4"/>
        <v>3</v>
      </c>
      <c r="G109" s="11">
        <f t="shared" si="4"/>
        <v>7</v>
      </c>
      <c r="H109" s="11">
        <f t="shared" si="4"/>
        <v>15</v>
      </c>
      <c r="I109" s="11">
        <f t="shared" si="4"/>
        <v>31</v>
      </c>
      <c r="J109" s="11">
        <f t="shared" si="4"/>
        <v>63</v>
      </c>
      <c r="K109" s="11">
        <f t="shared" si="4"/>
        <v>0</v>
      </c>
      <c r="L109" s="11">
        <f t="shared" si="4"/>
        <v>0</v>
      </c>
      <c r="M109" s="11">
        <f t="shared" si="4"/>
        <v>0</v>
      </c>
      <c r="N109" s="17"/>
      <c r="O109" s="7"/>
      <c r="P109" s="7"/>
      <c r="Q109" s="7"/>
      <c r="R109" s="7"/>
      <c r="S109" s="7"/>
      <c r="T109" s="7"/>
      <c r="U109" s="7"/>
      <c r="V109" s="3"/>
      <c r="W109" s="3"/>
      <c r="X109" s="3"/>
      <c r="Y109" s="3"/>
    </row>
    <row r="110" spans="1:25" ht="15.75" customHeight="1">
      <c r="A110" s="104"/>
      <c r="B110" s="106"/>
      <c r="C110" s="107"/>
      <c r="D110" s="105"/>
      <c r="E110" s="83">
        <f t="shared" si="4"/>
        <v>1</v>
      </c>
      <c r="F110" s="11">
        <f t="shared" si="4"/>
        <v>3</v>
      </c>
      <c r="G110" s="11">
        <f t="shared" si="4"/>
        <v>7</v>
      </c>
      <c r="H110" s="11">
        <f t="shared" si="4"/>
        <v>15</v>
      </c>
      <c r="I110" s="11">
        <f t="shared" si="4"/>
        <v>31</v>
      </c>
      <c r="J110" s="11">
        <f t="shared" si="4"/>
        <v>63</v>
      </c>
      <c r="K110" s="11">
        <f t="shared" si="4"/>
        <v>0</v>
      </c>
      <c r="L110" s="11">
        <f t="shared" si="4"/>
        <v>0</v>
      </c>
      <c r="M110" s="11">
        <f t="shared" si="4"/>
        <v>0</v>
      </c>
      <c r="N110" s="17"/>
      <c r="O110" s="7"/>
      <c r="P110" s="7"/>
      <c r="Q110" s="7"/>
      <c r="R110" s="7"/>
      <c r="S110" s="7"/>
      <c r="T110" s="7"/>
      <c r="U110" s="7"/>
      <c r="V110" s="3"/>
      <c r="W110" s="3"/>
      <c r="X110" s="3"/>
      <c r="Y110" s="3"/>
    </row>
    <row r="111" spans="1:25" ht="15.75" customHeight="1">
      <c r="A111" s="104"/>
      <c r="B111" s="106"/>
      <c r="C111" s="107"/>
      <c r="D111" s="105"/>
      <c r="E111" s="83">
        <f t="shared" si="4"/>
        <v>1</v>
      </c>
      <c r="F111" s="11">
        <f t="shared" si="4"/>
        <v>3</v>
      </c>
      <c r="G111" s="11">
        <f t="shared" si="4"/>
        <v>7</v>
      </c>
      <c r="H111" s="11">
        <f t="shared" si="4"/>
        <v>15</v>
      </c>
      <c r="I111" s="11">
        <f t="shared" si="4"/>
        <v>31</v>
      </c>
      <c r="J111" s="11">
        <f t="shared" si="4"/>
        <v>63</v>
      </c>
      <c r="K111" s="11">
        <f t="shared" si="4"/>
        <v>0</v>
      </c>
      <c r="L111" s="11">
        <f t="shared" si="4"/>
        <v>0</v>
      </c>
      <c r="M111" s="11">
        <f t="shared" si="4"/>
        <v>0</v>
      </c>
      <c r="N111" s="17"/>
      <c r="O111" s="7"/>
      <c r="P111" s="7"/>
      <c r="Q111" s="7"/>
      <c r="R111" s="7"/>
      <c r="S111" s="7"/>
      <c r="T111" s="7"/>
      <c r="U111" s="7"/>
      <c r="V111" s="3"/>
      <c r="W111" s="3"/>
      <c r="X111" s="3"/>
      <c r="Y111" s="3"/>
    </row>
    <row r="112" spans="1:25" ht="15.75" customHeight="1">
      <c r="A112" s="104"/>
      <c r="B112" s="106"/>
      <c r="C112" s="107"/>
      <c r="D112" s="105"/>
      <c r="E112" s="83">
        <f t="shared" si="4"/>
        <v>1</v>
      </c>
      <c r="F112" s="11">
        <f t="shared" si="4"/>
        <v>3</v>
      </c>
      <c r="G112" s="11">
        <f t="shared" si="4"/>
        <v>7</v>
      </c>
      <c r="H112" s="11">
        <f t="shared" si="4"/>
        <v>15</v>
      </c>
      <c r="I112" s="11">
        <f t="shared" si="4"/>
        <v>31</v>
      </c>
      <c r="J112" s="11">
        <f t="shared" si="4"/>
        <v>63</v>
      </c>
      <c r="K112" s="11">
        <f t="shared" si="4"/>
        <v>0</v>
      </c>
      <c r="L112" s="11">
        <f t="shared" si="4"/>
        <v>0</v>
      </c>
      <c r="M112" s="11">
        <f t="shared" si="4"/>
        <v>0</v>
      </c>
      <c r="N112" s="17"/>
      <c r="O112" s="7"/>
      <c r="P112" s="7"/>
      <c r="Q112" s="7"/>
      <c r="R112" s="7"/>
      <c r="S112" s="7"/>
      <c r="T112" s="7"/>
      <c r="U112" s="7"/>
      <c r="V112" s="3"/>
      <c r="W112" s="3"/>
      <c r="X112" s="3"/>
      <c r="Y112" s="3"/>
    </row>
    <row r="113" spans="1:25" ht="15.75" customHeight="1">
      <c r="A113" s="104"/>
      <c r="B113" s="106"/>
      <c r="C113" s="107"/>
      <c r="D113" s="105"/>
      <c r="E113" s="83">
        <f t="shared" si="4"/>
        <v>1</v>
      </c>
      <c r="F113" s="11">
        <f t="shared" si="4"/>
        <v>3</v>
      </c>
      <c r="G113" s="11">
        <f t="shared" si="4"/>
        <v>7</v>
      </c>
      <c r="H113" s="11">
        <f t="shared" si="4"/>
        <v>15</v>
      </c>
      <c r="I113" s="11">
        <f t="shared" si="4"/>
        <v>31</v>
      </c>
      <c r="J113" s="11">
        <f t="shared" si="4"/>
        <v>63</v>
      </c>
      <c r="K113" s="11">
        <f t="shared" si="4"/>
        <v>0</v>
      </c>
      <c r="L113" s="11">
        <f t="shared" si="4"/>
        <v>0</v>
      </c>
      <c r="M113" s="11">
        <f t="shared" si="4"/>
        <v>0</v>
      </c>
      <c r="N113" s="17"/>
      <c r="O113" s="7"/>
      <c r="P113" s="7"/>
      <c r="Q113" s="7"/>
      <c r="R113" s="7"/>
      <c r="S113" s="7"/>
      <c r="T113" s="7"/>
      <c r="U113" s="7"/>
      <c r="V113" s="3"/>
      <c r="W113" s="3"/>
      <c r="X113" s="3"/>
      <c r="Y113" s="3"/>
    </row>
    <row r="114" spans="1:25" ht="15.75" customHeight="1">
      <c r="A114" s="104"/>
      <c r="B114" s="106"/>
      <c r="C114" s="107"/>
      <c r="D114" s="105"/>
      <c r="E114" s="83">
        <f t="shared" si="4"/>
        <v>1</v>
      </c>
      <c r="F114" s="11">
        <f t="shared" si="4"/>
        <v>3</v>
      </c>
      <c r="G114" s="11">
        <f t="shared" si="4"/>
        <v>7</v>
      </c>
      <c r="H114" s="11">
        <f t="shared" si="4"/>
        <v>15</v>
      </c>
      <c r="I114" s="11">
        <f t="shared" si="4"/>
        <v>31</v>
      </c>
      <c r="J114" s="11">
        <f t="shared" si="4"/>
        <v>63</v>
      </c>
      <c r="K114" s="11">
        <f t="shared" si="4"/>
        <v>0</v>
      </c>
      <c r="L114" s="11">
        <f t="shared" si="4"/>
        <v>0</v>
      </c>
      <c r="M114" s="11">
        <f t="shared" si="4"/>
        <v>0</v>
      </c>
      <c r="N114" s="17"/>
      <c r="O114" s="7"/>
      <c r="P114" s="7"/>
      <c r="Q114" s="7"/>
      <c r="R114" s="7"/>
      <c r="S114" s="7"/>
      <c r="T114" s="7"/>
      <c r="U114" s="7"/>
      <c r="V114" s="3"/>
      <c r="W114" s="3"/>
      <c r="X114" s="3"/>
      <c r="Y114" s="3"/>
    </row>
    <row r="115" spans="1:25" ht="15.75" customHeight="1">
      <c r="A115" s="104"/>
      <c r="B115" s="106"/>
      <c r="C115" s="107"/>
      <c r="D115" s="105"/>
      <c r="E115" s="83">
        <f t="shared" si="4"/>
        <v>1</v>
      </c>
      <c r="F115" s="11">
        <f t="shared" si="4"/>
        <v>3</v>
      </c>
      <c r="G115" s="11">
        <f t="shared" si="4"/>
        <v>7</v>
      </c>
      <c r="H115" s="11">
        <f t="shared" si="4"/>
        <v>15</v>
      </c>
      <c r="I115" s="11">
        <f t="shared" si="4"/>
        <v>31</v>
      </c>
      <c r="J115" s="11">
        <f t="shared" si="4"/>
        <v>63</v>
      </c>
      <c r="K115" s="11">
        <f t="shared" si="4"/>
        <v>0</v>
      </c>
      <c r="L115" s="11">
        <f t="shared" si="4"/>
        <v>0</v>
      </c>
      <c r="M115" s="11">
        <f t="shared" si="4"/>
        <v>0</v>
      </c>
      <c r="N115" s="17"/>
      <c r="O115" s="7"/>
      <c r="P115" s="7"/>
      <c r="Q115" s="7"/>
      <c r="R115" s="7"/>
      <c r="S115" s="7"/>
      <c r="T115" s="7"/>
      <c r="U115" s="7"/>
      <c r="V115" s="3"/>
      <c r="W115" s="3"/>
      <c r="X115" s="3"/>
      <c r="Y115" s="3"/>
    </row>
    <row r="116" spans="1:25" ht="15.75" customHeight="1">
      <c r="A116" s="104"/>
      <c r="B116" s="106"/>
      <c r="C116" s="107"/>
      <c r="D116" s="105"/>
      <c r="E116" s="83">
        <f t="shared" si="4"/>
        <v>1</v>
      </c>
      <c r="F116" s="11">
        <f t="shared" si="4"/>
        <v>3</v>
      </c>
      <c r="G116" s="11">
        <f t="shared" si="4"/>
        <v>7</v>
      </c>
      <c r="H116" s="11">
        <f t="shared" si="4"/>
        <v>15</v>
      </c>
      <c r="I116" s="11">
        <f t="shared" si="4"/>
        <v>31</v>
      </c>
      <c r="J116" s="11">
        <f t="shared" si="4"/>
        <v>63</v>
      </c>
      <c r="K116" s="11">
        <f t="shared" si="4"/>
        <v>0</v>
      </c>
      <c r="L116" s="11">
        <f t="shared" si="4"/>
        <v>0</v>
      </c>
      <c r="M116" s="11">
        <f t="shared" si="4"/>
        <v>0</v>
      </c>
      <c r="N116" s="17"/>
      <c r="O116" s="7"/>
      <c r="P116" s="7"/>
      <c r="Q116" s="7"/>
      <c r="R116" s="7"/>
      <c r="S116" s="7"/>
      <c r="T116" s="7"/>
      <c r="U116" s="7"/>
      <c r="V116" s="3"/>
      <c r="W116" s="3"/>
      <c r="X116" s="3"/>
      <c r="Y116" s="3"/>
    </row>
    <row r="117" spans="1:25" ht="15.75" customHeight="1">
      <c r="A117" s="104"/>
      <c r="B117" s="106"/>
      <c r="C117" s="107"/>
      <c r="D117" s="105"/>
      <c r="E117" s="83">
        <f t="shared" si="4"/>
        <v>1</v>
      </c>
      <c r="F117" s="11">
        <f t="shared" si="4"/>
        <v>3</v>
      </c>
      <c r="G117" s="11">
        <f t="shared" si="4"/>
        <v>7</v>
      </c>
      <c r="H117" s="11">
        <f t="shared" si="4"/>
        <v>15</v>
      </c>
      <c r="I117" s="11">
        <f t="shared" si="4"/>
        <v>31</v>
      </c>
      <c r="J117" s="11">
        <f t="shared" si="4"/>
        <v>63</v>
      </c>
      <c r="K117" s="11">
        <f t="shared" si="4"/>
        <v>0</v>
      </c>
      <c r="L117" s="11">
        <f t="shared" si="4"/>
        <v>0</v>
      </c>
      <c r="M117" s="11">
        <f t="shared" si="4"/>
        <v>0</v>
      </c>
      <c r="N117" s="17"/>
      <c r="O117" s="7"/>
      <c r="P117" s="7"/>
      <c r="Q117" s="7"/>
      <c r="R117" s="7"/>
      <c r="S117" s="7"/>
      <c r="T117" s="7"/>
      <c r="U117" s="7"/>
      <c r="V117" s="3"/>
      <c r="W117" s="3"/>
      <c r="X117" s="3"/>
      <c r="Y117" s="3"/>
    </row>
    <row r="118" spans="1:25" ht="15.75" customHeight="1">
      <c r="A118" s="104"/>
      <c r="B118" s="106"/>
      <c r="C118" s="107"/>
      <c r="D118" s="105"/>
      <c r="E118" s="83">
        <f t="shared" si="4"/>
        <v>1</v>
      </c>
      <c r="F118" s="11">
        <f t="shared" si="4"/>
        <v>3</v>
      </c>
      <c r="G118" s="11">
        <f t="shared" si="4"/>
        <v>7</v>
      </c>
      <c r="H118" s="11">
        <f t="shared" si="4"/>
        <v>15</v>
      </c>
      <c r="I118" s="11">
        <f t="shared" si="4"/>
        <v>31</v>
      </c>
      <c r="J118" s="11">
        <f t="shared" si="4"/>
        <v>63</v>
      </c>
      <c r="K118" s="11">
        <f t="shared" si="4"/>
        <v>0</v>
      </c>
      <c r="L118" s="11">
        <f t="shared" si="4"/>
        <v>0</v>
      </c>
      <c r="M118" s="11">
        <f t="shared" si="4"/>
        <v>0</v>
      </c>
      <c r="N118" s="17"/>
      <c r="O118" s="7"/>
      <c r="P118" s="7"/>
      <c r="Q118" s="7"/>
      <c r="R118" s="7"/>
      <c r="S118" s="7"/>
      <c r="T118" s="7"/>
      <c r="U118" s="7"/>
      <c r="V118" s="3"/>
      <c r="W118" s="3"/>
      <c r="X118" s="3"/>
      <c r="Y118" s="3"/>
    </row>
    <row r="119" spans="1:25" ht="15.75" customHeight="1">
      <c r="A119" s="104"/>
      <c r="B119" s="106"/>
      <c r="C119" s="107"/>
      <c r="D119" s="105"/>
      <c r="E119" s="83">
        <f t="shared" si="4"/>
        <v>1</v>
      </c>
      <c r="F119" s="11">
        <f t="shared" si="4"/>
        <v>3</v>
      </c>
      <c r="G119" s="11">
        <f t="shared" si="4"/>
        <v>7</v>
      </c>
      <c r="H119" s="11">
        <f t="shared" si="4"/>
        <v>15</v>
      </c>
      <c r="I119" s="11">
        <f t="shared" si="4"/>
        <v>31</v>
      </c>
      <c r="J119" s="11">
        <f t="shared" si="4"/>
        <v>63</v>
      </c>
      <c r="K119" s="11">
        <f t="shared" si="4"/>
        <v>0</v>
      </c>
      <c r="L119" s="11">
        <f t="shared" si="4"/>
        <v>0</v>
      </c>
      <c r="M119" s="11">
        <f t="shared" si="4"/>
        <v>0</v>
      </c>
      <c r="N119" s="17"/>
      <c r="O119" s="7"/>
      <c r="P119" s="7"/>
      <c r="Q119" s="7"/>
      <c r="R119" s="7"/>
      <c r="S119" s="7"/>
      <c r="T119" s="7"/>
      <c r="U119" s="7"/>
      <c r="V119" s="3"/>
      <c r="W119" s="3"/>
      <c r="X119" s="3"/>
      <c r="Y119" s="3"/>
    </row>
    <row r="120" spans="1:25" ht="15.75" customHeight="1">
      <c r="A120" s="108"/>
      <c r="B120" s="108"/>
      <c r="C120" s="108"/>
      <c r="D120" s="109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3"/>
      <c r="W120" s="3"/>
      <c r="X120" s="3"/>
      <c r="Y120" s="3"/>
    </row>
    <row r="121" spans="1:25" ht="15.75" customHeight="1">
      <c r="A121" s="108"/>
      <c r="B121" s="108"/>
      <c r="C121" s="108"/>
      <c r="D121" s="109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3"/>
      <c r="W121" s="3"/>
      <c r="X121" s="3"/>
      <c r="Y121" s="3"/>
    </row>
    <row r="122" spans="1:25" ht="15.75" customHeight="1">
      <c r="A122" s="108"/>
      <c r="B122" s="108"/>
      <c r="C122" s="108"/>
      <c r="D122" s="109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3"/>
      <c r="W122" s="3"/>
      <c r="X122" s="3"/>
      <c r="Y122" s="3"/>
    </row>
    <row r="123" spans="1:25" ht="15.75" customHeight="1">
      <c r="A123" s="108"/>
      <c r="B123" s="108"/>
      <c r="C123" s="108"/>
      <c r="D123" s="109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3"/>
      <c r="W123" s="3"/>
      <c r="X123" s="3"/>
      <c r="Y123" s="3"/>
    </row>
    <row r="124" spans="1:25" ht="15.75" customHeight="1">
      <c r="A124" s="108"/>
      <c r="B124" s="108"/>
      <c r="C124" s="108"/>
      <c r="D124" s="109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3"/>
      <c r="W124" s="3"/>
      <c r="X124" s="3"/>
      <c r="Y124" s="3"/>
    </row>
    <row r="125" spans="1:25" ht="15.75" customHeight="1">
      <c r="A125" s="108"/>
      <c r="B125" s="108"/>
      <c r="C125" s="108"/>
      <c r="D125" s="109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3"/>
      <c r="W125" s="3"/>
      <c r="X125" s="3"/>
      <c r="Y125" s="3"/>
    </row>
    <row r="126" spans="1:25" ht="15.75" customHeight="1">
      <c r="A126" s="108"/>
      <c r="B126" s="108"/>
      <c r="C126" s="108"/>
      <c r="D126" s="109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"/>
      <c r="W126" s="3"/>
      <c r="X126" s="3"/>
      <c r="Y126" s="3"/>
    </row>
    <row r="127" spans="1:25" ht="15.75" customHeight="1">
      <c r="A127" s="108"/>
      <c r="B127" s="108"/>
      <c r="C127" s="108"/>
      <c r="D127" s="109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3"/>
      <c r="W127" s="3"/>
      <c r="X127" s="3"/>
      <c r="Y127" s="3"/>
    </row>
    <row r="128" spans="1:25" ht="15.75" customHeight="1">
      <c r="A128" s="108"/>
      <c r="B128" s="108"/>
      <c r="C128" s="108"/>
      <c r="D128" s="109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"/>
      <c r="W128" s="3"/>
      <c r="X128" s="3"/>
      <c r="Y128" s="3"/>
    </row>
    <row r="129" spans="1:25" ht="15.75" customHeight="1">
      <c r="A129" s="108"/>
      <c r="B129" s="108"/>
      <c r="C129" s="108"/>
      <c r="D129" s="109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"/>
      <c r="W129" s="3"/>
      <c r="X129" s="3"/>
      <c r="Y129" s="3"/>
    </row>
    <row r="130" spans="1:25" ht="15.75" customHeight="1">
      <c r="A130" s="108"/>
      <c r="B130" s="108"/>
      <c r="C130" s="108"/>
      <c r="D130" s="109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"/>
      <c r="W130" s="3"/>
      <c r="X130" s="3"/>
      <c r="Y130" s="3"/>
    </row>
    <row r="131" spans="1:25" ht="15.75" customHeight="1">
      <c r="A131" s="108"/>
      <c r="B131" s="108"/>
      <c r="C131" s="108"/>
      <c r="D131" s="109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3"/>
      <c r="W131" s="3"/>
      <c r="X131" s="3"/>
      <c r="Y131" s="3"/>
    </row>
    <row r="132" spans="1:25" ht="15.75" customHeight="1">
      <c r="A132" s="108"/>
      <c r="B132" s="108"/>
      <c r="C132" s="108"/>
      <c r="D132" s="109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3"/>
      <c r="W132" s="3"/>
      <c r="X132" s="3"/>
      <c r="Y132" s="3"/>
    </row>
    <row r="133" spans="1:25" ht="15.75" customHeight="1">
      <c r="A133" s="108"/>
      <c r="B133" s="108"/>
      <c r="C133" s="108"/>
      <c r="D133" s="109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3"/>
      <c r="W133" s="3"/>
      <c r="X133" s="3"/>
      <c r="Y133" s="3"/>
    </row>
    <row r="134" spans="1:25" ht="15.75" customHeight="1">
      <c r="A134" s="108"/>
      <c r="B134" s="108"/>
      <c r="C134" s="108"/>
      <c r="D134" s="109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3"/>
      <c r="W134" s="3"/>
      <c r="X134" s="3"/>
      <c r="Y134" s="3"/>
    </row>
    <row r="135" spans="1:25" ht="15.75" customHeight="1">
      <c r="A135" s="108"/>
      <c r="B135" s="108"/>
      <c r="C135" s="108"/>
      <c r="D135" s="109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3"/>
      <c r="W135" s="3"/>
      <c r="X135" s="3"/>
      <c r="Y135" s="3"/>
    </row>
    <row r="136" spans="1:25" ht="15.75" customHeight="1">
      <c r="A136" s="108"/>
      <c r="B136" s="108"/>
      <c r="C136" s="108"/>
      <c r="D136" s="109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3"/>
      <c r="W136" s="3"/>
      <c r="X136" s="3"/>
      <c r="Y136" s="3"/>
    </row>
    <row r="137" spans="1:25" ht="15.75" customHeight="1">
      <c r="A137" s="108"/>
      <c r="B137" s="108"/>
      <c r="C137" s="108"/>
      <c r="D137" s="109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3"/>
      <c r="W137" s="3"/>
      <c r="X137" s="3"/>
      <c r="Y137" s="3"/>
    </row>
    <row r="138" spans="1:25" ht="15.75" customHeight="1">
      <c r="A138" s="108"/>
      <c r="B138" s="108"/>
      <c r="C138" s="108"/>
      <c r="D138" s="109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3"/>
      <c r="W138" s="3"/>
      <c r="X138" s="3"/>
      <c r="Y138" s="3"/>
    </row>
    <row r="139" spans="1:25" ht="15.75" customHeight="1">
      <c r="A139" s="108"/>
      <c r="B139" s="108"/>
      <c r="C139" s="108"/>
      <c r="D139" s="109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3"/>
      <c r="W139" s="3"/>
      <c r="X139" s="3"/>
      <c r="Y139" s="3"/>
    </row>
    <row r="140" spans="1:25" ht="15.75" customHeight="1">
      <c r="A140" s="108"/>
      <c r="B140" s="108"/>
      <c r="C140" s="108"/>
      <c r="D140" s="109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3"/>
      <c r="W140" s="3"/>
      <c r="X140" s="3"/>
      <c r="Y140" s="3"/>
    </row>
    <row r="141" spans="1:25" ht="15.75" customHeight="1">
      <c r="A141" s="108"/>
      <c r="B141" s="108"/>
      <c r="C141" s="108"/>
      <c r="D141" s="109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3"/>
      <c r="W141" s="3"/>
      <c r="X141" s="3"/>
      <c r="Y141" s="3"/>
    </row>
    <row r="142" spans="1:25" ht="15.75" customHeight="1">
      <c r="A142" s="108"/>
      <c r="B142" s="108"/>
      <c r="C142" s="108"/>
      <c r="D142" s="109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3"/>
      <c r="W142" s="3"/>
      <c r="X142" s="3"/>
      <c r="Y142" s="3"/>
    </row>
    <row r="143" spans="1:25" ht="15.75" customHeight="1">
      <c r="A143" s="108"/>
      <c r="B143" s="108"/>
      <c r="C143" s="108"/>
      <c r="D143" s="109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3"/>
      <c r="W143" s="3"/>
      <c r="X143" s="3"/>
      <c r="Y143" s="3"/>
    </row>
    <row r="144" spans="1:25" ht="15.75" customHeight="1">
      <c r="A144" s="108"/>
      <c r="B144" s="108"/>
      <c r="C144" s="108"/>
      <c r="D144" s="109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3"/>
      <c r="W144" s="3"/>
      <c r="X144" s="3"/>
      <c r="Y144" s="3"/>
    </row>
    <row r="145" spans="1:25" ht="15.75" customHeight="1">
      <c r="A145" s="108"/>
      <c r="B145" s="108"/>
      <c r="C145" s="108"/>
      <c r="D145" s="109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3"/>
      <c r="W145" s="3"/>
      <c r="X145" s="3"/>
      <c r="Y145" s="3"/>
    </row>
    <row r="146" spans="1:25" ht="15.75" customHeight="1">
      <c r="A146" s="108"/>
      <c r="B146" s="108"/>
      <c r="C146" s="108"/>
      <c r="D146" s="109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3"/>
      <c r="W146" s="3"/>
      <c r="X146" s="3"/>
      <c r="Y146" s="3"/>
    </row>
    <row r="147" spans="1:25" ht="15.75" customHeight="1">
      <c r="A147" s="108"/>
      <c r="B147" s="108"/>
      <c r="C147" s="108"/>
      <c r="D147" s="109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3"/>
      <c r="W147" s="3"/>
      <c r="X147" s="3"/>
      <c r="Y147" s="3"/>
    </row>
    <row r="148" spans="1:25" ht="15.75" customHeight="1">
      <c r="A148" s="7"/>
      <c r="B148" s="7"/>
      <c r="C148" s="7"/>
      <c r="D148" s="18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3"/>
      <c r="W148" s="3"/>
      <c r="X148" s="3"/>
      <c r="Y148" s="3"/>
    </row>
    <row r="149" spans="1:25" ht="15.75" customHeight="1">
      <c r="A149" s="7"/>
      <c r="B149" s="7"/>
      <c r="C149" s="7"/>
      <c r="D149" s="18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3"/>
      <c r="W149" s="3"/>
      <c r="X149" s="3"/>
      <c r="Y149" s="3"/>
    </row>
    <row r="150" spans="1:25" ht="15.75" customHeight="1">
      <c r="A150" s="7"/>
      <c r="B150" s="7"/>
      <c r="C150" s="7"/>
      <c r="D150" s="18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3"/>
      <c r="W150" s="3"/>
      <c r="X150" s="3"/>
      <c r="Y150" s="3"/>
    </row>
    <row r="151" spans="1:25" ht="15.75" customHeight="1">
      <c r="A151" s="7"/>
      <c r="B151" s="7"/>
      <c r="C151" s="7"/>
      <c r="D151" s="18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3"/>
      <c r="W151" s="3"/>
      <c r="X151" s="3"/>
      <c r="Y151" s="3"/>
    </row>
    <row r="152" spans="1:25" ht="15.75" customHeight="1">
      <c r="A152" s="7"/>
      <c r="B152" s="7"/>
      <c r="C152" s="7"/>
      <c r="D152" s="18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3"/>
      <c r="W152" s="3"/>
      <c r="X152" s="3"/>
      <c r="Y152" s="3"/>
    </row>
    <row r="153" spans="1:25" ht="15.75" customHeight="1">
      <c r="A153" s="7"/>
      <c r="B153" s="7"/>
      <c r="C153" s="7"/>
      <c r="D153" s="18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3"/>
      <c r="W153" s="3"/>
      <c r="X153" s="3"/>
      <c r="Y153" s="3"/>
    </row>
    <row r="154" spans="1:25" ht="15.75" customHeight="1">
      <c r="A154" s="7"/>
      <c r="B154" s="7"/>
      <c r="C154" s="7"/>
      <c r="D154" s="18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3"/>
      <c r="W154" s="3"/>
      <c r="X154" s="3"/>
      <c r="Y154" s="3"/>
    </row>
    <row r="155" spans="1:25" ht="15.75" customHeight="1">
      <c r="A155" s="7"/>
      <c r="B155" s="7"/>
      <c r="C155" s="7"/>
      <c r="D155" s="18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3"/>
      <c r="W155" s="3"/>
      <c r="X155" s="3"/>
      <c r="Y155" s="3"/>
    </row>
    <row r="156" spans="1:25" ht="15.75" customHeight="1">
      <c r="A156" s="7"/>
      <c r="B156" s="7"/>
      <c r="C156" s="7"/>
      <c r="D156" s="18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3"/>
      <c r="W156" s="3"/>
      <c r="X156" s="3"/>
      <c r="Y156" s="3"/>
    </row>
    <row r="157" spans="1:25" ht="15.75" customHeight="1">
      <c r="A157" s="7"/>
      <c r="B157" s="7"/>
      <c r="C157" s="7"/>
      <c r="D157" s="18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3"/>
      <c r="W157" s="3"/>
      <c r="X157" s="3"/>
      <c r="Y157" s="3"/>
    </row>
    <row r="158" spans="1:25" ht="15.75" customHeight="1">
      <c r="A158" s="7"/>
      <c r="B158" s="7"/>
      <c r="C158" s="7"/>
      <c r="D158" s="18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"/>
      <c r="W158" s="3"/>
      <c r="X158" s="3"/>
      <c r="Y158" s="3"/>
    </row>
    <row r="159" spans="1:25" ht="15.75" customHeight="1">
      <c r="A159" s="7"/>
      <c r="B159" s="7"/>
      <c r="C159" s="7"/>
      <c r="D159" s="18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3"/>
      <c r="W159" s="3"/>
      <c r="X159" s="3"/>
      <c r="Y159" s="3"/>
    </row>
    <row r="160" spans="1:25" ht="15.75" customHeight="1">
      <c r="A160" s="7"/>
      <c r="B160" s="7"/>
      <c r="C160" s="7"/>
      <c r="D160" s="18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3"/>
      <c r="W160" s="3"/>
      <c r="X160" s="3"/>
      <c r="Y160" s="3"/>
    </row>
    <row r="161" spans="1:25" ht="15.75" customHeight="1">
      <c r="A161" s="7"/>
      <c r="B161" s="7"/>
      <c r="C161" s="7"/>
      <c r="D161" s="18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3"/>
      <c r="W161" s="3"/>
      <c r="X161" s="3"/>
      <c r="Y161" s="3"/>
    </row>
    <row r="162" spans="1:25" ht="15.75" customHeight="1">
      <c r="A162" s="7"/>
      <c r="B162" s="7"/>
      <c r="C162" s="7"/>
      <c r="D162" s="18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"/>
      <c r="W162" s="3"/>
      <c r="X162" s="3"/>
      <c r="Y162" s="3"/>
    </row>
    <row r="163" spans="1:25" ht="15.75" customHeight="1">
      <c r="A163" s="7"/>
      <c r="B163" s="7"/>
      <c r="C163" s="7"/>
      <c r="D163" s="18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3"/>
      <c r="W163" s="3"/>
      <c r="X163" s="3"/>
      <c r="Y163" s="3"/>
    </row>
    <row r="164" spans="1:25" ht="15.75" customHeight="1">
      <c r="A164" s="7"/>
      <c r="B164" s="7"/>
      <c r="C164" s="7"/>
      <c r="D164" s="18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3"/>
      <c r="W164" s="3"/>
      <c r="X164" s="3"/>
      <c r="Y164" s="3"/>
    </row>
    <row r="165" spans="1:25" ht="15.75" customHeight="1">
      <c r="A165" s="7"/>
      <c r="B165" s="7"/>
      <c r="C165" s="7"/>
      <c r="D165" s="18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</row>
    <row r="166" spans="1:25" ht="15.75" customHeight="1">
      <c r="A166" s="7"/>
      <c r="B166" s="7"/>
      <c r="C166" s="7"/>
      <c r="D166" s="18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3"/>
      <c r="W166" s="3"/>
      <c r="X166" s="3"/>
      <c r="Y166" s="3"/>
    </row>
    <row r="167" spans="1:25" ht="15.75" customHeight="1">
      <c r="A167" s="7"/>
      <c r="B167" s="7"/>
      <c r="C167" s="7"/>
      <c r="D167" s="18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3"/>
      <c r="W167" s="3"/>
      <c r="X167" s="3"/>
      <c r="Y167" s="3"/>
    </row>
    <row r="168" spans="1:25" ht="15.75" customHeight="1">
      <c r="A168" s="7"/>
      <c r="B168" s="7"/>
      <c r="C168" s="7"/>
      <c r="D168" s="18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3"/>
      <c r="W168" s="3"/>
      <c r="X168" s="3"/>
      <c r="Y168" s="3"/>
    </row>
    <row r="169" spans="1:25" ht="15.75" customHeight="1">
      <c r="A169" s="7"/>
      <c r="B169" s="7"/>
      <c r="C169" s="7"/>
      <c r="D169" s="18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3"/>
      <c r="W169" s="3"/>
      <c r="X169" s="3"/>
      <c r="Y169" s="3"/>
    </row>
    <row r="170" spans="1:25" ht="15.75" customHeight="1">
      <c r="A170" s="7"/>
      <c r="B170" s="7"/>
      <c r="C170" s="7"/>
      <c r="D170" s="18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3"/>
      <c r="W170" s="3"/>
      <c r="X170" s="3"/>
      <c r="Y170" s="3"/>
    </row>
    <row r="171" spans="1:25" ht="15.75" customHeight="1">
      <c r="A171" s="7"/>
      <c r="B171" s="7"/>
      <c r="C171" s="7"/>
      <c r="D171" s="18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3"/>
      <c r="W171" s="3"/>
      <c r="X171" s="3"/>
      <c r="Y171" s="3"/>
    </row>
    <row r="172" spans="1:25" ht="15.75" customHeight="1">
      <c r="A172" s="7"/>
      <c r="B172" s="7"/>
      <c r="C172" s="7"/>
      <c r="D172" s="18"/>
      <c r="E172" s="1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3"/>
      <c r="W172" s="3"/>
      <c r="X172" s="3"/>
      <c r="Y172" s="3"/>
    </row>
    <row r="173" spans="1:25" ht="15.75" customHeight="1">
      <c r="A173" s="20"/>
      <c r="B173" s="20"/>
      <c r="C173" s="7"/>
      <c r="D173" s="21"/>
      <c r="E173" s="19"/>
      <c r="F173" s="20"/>
      <c r="G173" s="20"/>
      <c r="H173" s="20"/>
      <c r="I173" s="20"/>
      <c r="J173" s="2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20"/>
      <c r="B174" s="20"/>
      <c r="C174" s="20"/>
      <c r="D174" s="21"/>
      <c r="E174" s="19"/>
      <c r="F174" s="20"/>
      <c r="G174" s="20"/>
      <c r="H174" s="20"/>
      <c r="I174" s="20"/>
      <c r="J174" s="2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20"/>
      <c r="B175" s="20"/>
      <c r="C175" s="20"/>
      <c r="D175" s="21"/>
      <c r="E175" s="19"/>
      <c r="F175" s="20"/>
      <c r="G175" s="20"/>
      <c r="H175" s="20"/>
      <c r="I175" s="20"/>
      <c r="J175" s="2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20"/>
      <c r="B176" s="20"/>
      <c r="C176" s="20"/>
      <c r="D176" s="21"/>
      <c r="E176" s="19"/>
      <c r="F176" s="20"/>
      <c r="G176" s="20"/>
      <c r="H176" s="20"/>
      <c r="I176" s="20"/>
      <c r="J176" s="2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20"/>
      <c r="B177" s="20"/>
      <c r="C177" s="20"/>
      <c r="D177" s="21"/>
      <c r="E177" s="19"/>
      <c r="F177" s="20"/>
      <c r="G177" s="20"/>
      <c r="H177" s="20"/>
      <c r="I177" s="20"/>
      <c r="J177" s="2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20"/>
      <c r="B178" s="20"/>
      <c r="C178" s="20"/>
      <c r="D178" s="21"/>
      <c r="E178" s="19"/>
      <c r="F178" s="20"/>
      <c r="G178" s="20"/>
      <c r="H178" s="20"/>
      <c r="I178" s="20"/>
      <c r="J178" s="2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20"/>
      <c r="B179" s="20"/>
      <c r="C179" s="20"/>
      <c r="D179" s="21"/>
      <c r="E179" s="19"/>
      <c r="F179" s="20"/>
      <c r="G179" s="20"/>
      <c r="H179" s="20"/>
      <c r="I179" s="20"/>
      <c r="J179" s="2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20"/>
      <c r="B180" s="20"/>
      <c r="C180" s="20"/>
      <c r="D180" s="21"/>
      <c r="E180" s="19"/>
      <c r="F180" s="20"/>
      <c r="G180" s="20"/>
      <c r="H180" s="20"/>
      <c r="I180" s="20"/>
      <c r="J180" s="2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20"/>
      <c r="B181" s="20"/>
      <c r="C181" s="20"/>
      <c r="D181" s="21"/>
      <c r="E181" s="22"/>
      <c r="F181" s="20"/>
      <c r="G181" s="20"/>
      <c r="H181" s="20"/>
      <c r="I181" s="20"/>
      <c r="J181" s="2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20"/>
      <c r="B182" s="20"/>
      <c r="C182" s="20"/>
      <c r="D182" s="21"/>
      <c r="E182" s="22"/>
      <c r="F182" s="20"/>
      <c r="G182" s="20"/>
      <c r="H182" s="20"/>
      <c r="I182" s="20"/>
      <c r="J182" s="2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20"/>
      <c r="B183" s="20"/>
      <c r="C183" s="20"/>
      <c r="D183" s="21"/>
      <c r="E183" s="22"/>
      <c r="F183" s="20"/>
      <c r="G183" s="20"/>
      <c r="H183" s="20"/>
      <c r="I183" s="20"/>
      <c r="J183" s="2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20"/>
      <c r="B184" s="20"/>
      <c r="C184" s="20"/>
      <c r="D184" s="21"/>
      <c r="E184" s="22"/>
      <c r="F184" s="20"/>
      <c r="G184" s="20"/>
      <c r="H184" s="20"/>
      <c r="I184" s="20"/>
      <c r="J184" s="2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20"/>
      <c r="B185" s="20"/>
      <c r="C185" s="20"/>
      <c r="D185" s="21"/>
      <c r="E185" s="22"/>
      <c r="F185" s="20"/>
      <c r="G185" s="20"/>
      <c r="H185" s="20"/>
      <c r="I185" s="20"/>
      <c r="J185" s="2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20"/>
      <c r="B186" s="20"/>
      <c r="C186" s="20"/>
      <c r="D186" s="21"/>
      <c r="E186" s="22"/>
      <c r="F186" s="20"/>
      <c r="G186" s="20"/>
      <c r="H186" s="20"/>
      <c r="I186" s="20"/>
      <c r="J186" s="2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20"/>
      <c r="B187" s="20"/>
      <c r="C187" s="20"/>
      <c r="D187" s="21"/>
      <c r="E187" s="22"/>
      <c r="F187" s="20"/>
      <c r="G187" s="20"/>
      <c r="H187" s="20"/>
      <c r="I187" s="20"/>
      <c r="J187" s="2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20"/>
      <c r="B188" s="20"/>
      <c r="C188" s="20"/>
      <c r="D188" s="21"/>
      <c r="E188" s="22"/>
      <c r="F188" s="20"/>
      <c r="G188" s="20"/>
      <c r="H188" s="20"/>
      <c r="I188" s="20"/>
      <c r="J188" s="2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20"/>
      <c r="B189" s="20"/>
      <c r="C189" s="20"/>
      <c r="D189" s="21"/>
      <c r="E189" s="22"/>
      <c r="F189" s="20"/>
      <c r="G189" s="20"/>
      <c r="H189" s="20"/>
      <c r="I189" s="20"/>
      <c r="J189" s="2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20"/>
      <c r="B190" s="20"/>
      <c r="C190" s="20"/>
      <c r="D190" s="21"/>
      <c r="E190" s="22"/>
      <c r="F190" s="20"/>
      <c r="G190" s="20"/>
      <c r="H190" s="20"/>
      <c r="I190" s="20"/>
      <c r="J190" s="2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20"/>
      <c r="B191" s="20"/>
      <c r="C191" s="20"/>
      <c r="D191" s="21"/>
      <c r="E191" s="22"/>
      <c r="F191" s="20"/>
      <c r="G191" s="20"/>
      <c r="H191" s="20"/>
      <c r="I191" s="20"/>
      <c r="J191" s="2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20"/>
      <c r="B192" s="20"/>
      <c r="C192" s="20"/>
      <c r="D192" s="21"/>
      <c r="E192" s="22"/>
      <c r="F192" s="20"/>
      <c r="G192" s="20"/>
      <c r="H192" s="20"/>
      <c r="I192" s="20"/>
      <c r="J192" s="2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20"/>
      <c r="B193" s="20"/>
      <c r="C193" s="20"/>
      <c r="D193" s="21"/>
      <c r="E193" s="22"/>
      <c r="F193" s="20"/>
      <c r="G193" s="20"/>
      <c r="H193" s="20"/>
      <c r="I193" s="20"/>
      <c r="J193" s="2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20"/>
      <c r="B194" s="20"/>
      <c r="C194" s="20"/>
      <c r="D194" s="21"/>
      <c r="E194" s="22"/>
      <c r="F194" s="20"/>
      <c r="G194" s="20"/>
      <c r="H194" s="20"/>
      <c r="I194" s="20"/>
      <c r="J194" s="2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20"/>
      <c r="B195" s="20"/>
      <c r="C195" s="20"/>
      <c r="D195" s="21"/>
      <c r="E195" s="22"/>
      <c r="F195" s="20"/>
      <c r="G195" s="20"/>
      <c r="H195" s="20"/>
      <c r="I195" s="20"/>
      <c r="J195" s="2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20"/>
      <c r="B196" s="20"/>
      <c r="C196" s="20"/>
      <c r="D196" s="21"/>
      <c r="E196" s="22"/>
      <c r="F196" s="20"/>
      <c r="G196" s="20"/>
      <c r="H196" s="20"/>
      <c r="I196" s="20"/>
      <c r="J196" s="2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20"/>
      <c r="B197" s="20"/>
      <c r="C197" s="20"/>
      <c r="D197" s="21"/>
      <c r="E197" s="22"/>
      <c r="F197" s="20"/>
      <c r="G197" s="20"/>
      <c r="H197" s="20"/>
      <c r="I197" s="20"/>
      <c r="J197" s="2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20"/>
      <c r="B198" s="20"/>
      <c r="C198" s="20"/>
      <c r="D198" s="21"/>
      <c r="E198" s="22"/>
      <c r="F198" s="20"/>
      <c r="G198" s="20"/>
      <c r="H198" s="20"/>
      <c r="I198" s="20"/>
      <c r="J198" s="2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20"/>
      <c r="B199" s="20"/>
      <c r="C199" s="20"/>
      <c r="D199" s="21"/>
      <c r="E199" s="22"/>
      <c r="F199" s="20"/>
      <c r="G199" s="20"/>
      <c r="H199" s="20"/>
      <c r="I199" s="20"/>
      <c r="J199" s="2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20"/>
      <c r="B200" s="20"/>
      <c r="C200" s="20"/>
      <c r="D200" s="21"/>
      <c r="E200" s="22"/>
      <c r="F200" s="20"/>
      <c r="G200" s="20"/>
      <c r="H200" s="20"/>
      <c r="I200" s="20"/>
      <c r="J200" s="2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20"/>
      <c r="B201" s="20"/>
      <c r="C201" s="20"/>
      <c r="D201" s="21"/>
      <c r="E201" s="22"/>
      <c r="F201" s="20"/>
      <c r="G201" s="20"/>
      <c r="H201" s="20"/>
      <c r="I201" s="20"/>
      <c r="J201" s="2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20"/>
      <c r="B202" s="20"/>
      <c r="C202" s="20"/>
      <c r="D202" s="21"/>
      <c r="E202" s="22"/>
      <c r="F202" s="20"/>
      <c r="G202" s="20"/>
      <c r="H202" s="20"/>
      <c r="I202" s="20"/>
      <c r="J202" s="2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20"/>
      <c r="B203" s="20"/>
      <c r="C203" s="20"/>
      <c r="D203" s="21"/>
      <c r="E203" s="22"/>
      <c r="F203" s="20"/>
      <c r="G203" s="20"/>
      <c r="H203" s="20"/>
      <c r="I203" s="20"/>
      <c r="J203" s="2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20"/>
      <c r="B204" s="20"/>
      <c r="C204" s="20"/>
      <c r="D204" s="21"/>
      <c r="E204" s="22"/>
      <c r="F204" s="20"/>
      <c r="G204" s="20"/>
      <c r="H204" s="20"/>
      <c r="I204" s="20"/>
      <c r="J204" s="2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20"/>
      <c r="B205" s="20"/>
      <c r="C205" s="20"/>
      <c r="D205" s="21"/>
      <c r="E205" s="22"/>
      <c r="F205" s="20"/>
      <c r="G205" s="20"/>
      <c r="H205" s="20"/>
      <c r="I205" s="20"/>
      <c r="J205" s="2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20"/>
      <c r="B206" s="20"/>
      <c r="C206" s="20"/>
      <c r="D206" s="21"/>
      <c r="E206" s="22"/>
      <c r="F206" s="20"/>
      <c r="G206" s="20"/>
      <c r="H206" s="20"/>
      <c r="I206" s="20"/>
      <c r="J206" s="2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20"/>
      <c r="B207" s="20"/>
      <c r="C207" s="20"/>
      <c r="D207" s="21"/>
      <c r="E207" s="22"/>
      <c r="F207" s="20"/>
      <c r="G207" s="20"/>
      <c r="H207" s="20"/>
      <c r="I207" s="20"/>
      <c r="J207" s="2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20"/>
      <c r="B208" s="20"/>
      <c r="C208" s="20"/>
      <c r="D208" s="21"/>
      <c r="E208" s="22"/>
      <c r="F208" s="20"/>
      <c r="G208" s="20"/>
      <c r="H208" s="20"/>
      <c r="I208" s="20"/>
      <c r="J208" s="2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20"/>
      <c r="B209" s="20"/>
      <c r="C209" s="20"/>
      <c r="D209" s="21"/>
      <c r="E209" s="22"/>
      <c r="F209" s="20"/>
      <c r="G209" s="20"/>
      <c r="H209" s="20"/>
      <c r="I209" s="20"/>
      <c r="J209" s="2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20"/>
      <c r="B210" s="20"/>
      <c r="C210" s="20"/>
      <c r="D210" s="21"/>
      <c r="E210" s="22"/>
      <c r="F210" s="20"/>
      <c r="G210" s="20"/>
      <c r="H210" s="20"/>
      <c r="I210" s="20"/>
      <c r="J210" s="2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20"/>
      <c r="B211" s="20"/>
      <c r="C211" s="20"/>
      <c r="D211" s="21"/>
      <c r="E211" s="22"/>
      <c r="F211" s="20"/>
      <c r="G211" s="20"/>
      <c r="H211" s="20"/>
      <c r="I211" s="20"/>
      <c r="J211" s="2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20"/>
      <c r="B212" s="20"/>
      <c r="C212" s="20"/>
      <c r="D212" s="21"/>
      <c r="E212" s="22"/>
      <c r="F212" s="20"/>
      <c r="G212" s="20"/>
      <c r="H212" s="20"/>
      <c r="I212" s="20"/>
      <c r="J212" s="2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20"/>
      <c r="B213" s="20"/>
      <c r="C213" s="20"/>
      <c r="D213" s="21"/>
      <c r="E213" s="22"/>
      <c r="F213" s="20"/>
      <c r="G213" s="20"/>
      <c r="H213" s="20"/>
      <c r="I213" s="20"/>
      <c r="J213" s="2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20"/>
      <c r="B214" s="20"/>
      <c r="C214" s="20"/>
      <c r="D214" s="21"/>
      <c r="E214" s="22"/>
      <c r="F214" s="20"/>
      <c r="G214" s="20"/>
      <c r="H214" s="20"/>
      <c r="I214" s="20"/>
      <c r="J214" s="2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20"/>
      <c r="B215" s="20"/>
      <c r="C215" s="20"/>
      <c r="D215" s="21"/>
      <c r="E215" s="22"/>
      <c r="F215" s="20"/>
      <c r="G215" s="20"/>
      <c r="H215" s="20"/>
      <c r="I215" s="20"/>
      <c r="J215" s="2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20"/>
      <c r="B216" s="20"/>
      <c r="C216" s="20"/>
      <c r="D216" s="21"/>
      <c r="E216" s="22"/>
      <c r="F216" s="20"/>
      <c r="G216" s="20"/>
      <c r="H216" s="20"/>
      <c r="I216" s="20"/>
      <c r="J216" s="2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20"/>
      <c r="B217" s="20"/>
      <c r="C217" s="20"/>
      <c r="D217" s="21"/>
      <c r="E217" s="22"/>
      <c r="F217" s="20"/>
      <c r="G217" s="20"/>
      <c r="H217" s="20"/>
      <c r="I217" s="20"/>
      <c r="J217" s="2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20"/>
      <c r="B218" s="20"/>
      <c r="C218" s="20"/>
      <c r="D218" s="21"/>
      <c r="E218" s="22"/>
      <c r="F218" s="20"/>
      <c r="G218" s="20"/>
      <c r="H218" s="20"/>
      <c r="I218" s="20"/>
      <c r="J218" s="2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20"/>
      <c r="B219" s="20"/>
      <c r="C219" s="20"/>
      <c r="D219" s="21"/>
      <c r="E219" s="22"/>
      <c r="F219" s="20"/>
      <c r="G219" s="20"/>
      <c r="H219" s="20"/>
      <c r="I219" s="20"/>
      <c r="J219" s="2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20"/>
      <c r="B220" s="20"/>
      <c r="C220" s="20"/>
      <c r="D220" s="21"/>
      <c r="E220" s="22"/>
      <c r="F220" s="20"/>
      <c r="G220" s="20"/>
      <c r="H220" s="20"/>
      <c r="I220" s="20"/>
      <c r="J220" s="2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20"/>
      <c r="B221" s="20"/>
      <c r="C221" s="20"/>
      <c r="D221" s="21"/>
      <c r="E221" s="22"/>
      <c r="F221" s="20"/>
      <c r="G221" s="20"/>
      <c r="H221" s="20"/>
      <c r="I221" s="20"/>
      <c r="J221" s="2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20"/>
      <c r="B222" s="20"/>
      <c r="C222" s="20"/>
      <c r="D222" s="21"/>
      <c r="E222" s="22"/>
      <c r="F222" s="20"/>
      <c r="G222" s="20"/>
      <c r="H222" s="20"/>
      <c r="I222" s="20"/>
      <c r="J222" s="2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20"/>
      <c r="B223" s="20"/>
      <c r="C223" s="20"/>
      <c r="D223" s="21"/>
      <c r="E223" s="22"/>
      <c r="F223" s="20"/>
      <c r="G223" s="20"/>
      <c r="H223" s="20"/>
      <c r="I223" s="20"/>
      <c r="J223" s="2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20"/>
      <c r="B224" s="20"/>
      <c r="C224" s="20"/>
      <c r="D224" s="21"/>
      <c r="E224" s="22"/>
      <c r="F224" s="20"/>
      <c r="G224" s="20"/>
      <c r="H224" s="20"/>
      <c r="I224" s="20"/>
      <c r="J224" s="2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20"/>
      <c r="B225" s="20"/>
      <c r="C225" s="20"/>
      <c r="D225" s="21"/>
      <c r="E225" s="22"/>
      <c r="F225" s="20"/>
      <c r="G225" s="20"/>
      <c r="H225" s="20"/>
      <c r="I225" s="20"/>
      <c r="J225" s="2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20"/>
      <c r="B226" s="20"/>
      <c r="C226" s="20"/>
      <c r="D226" s="21"/>
      <c r="E226" s="22"/>
      <c r="F226" s="20"/>
      <c r="G226" s="20"/>
      <c r="H226" s="20"/>
      <c r="I226" s="20"/>
      <c r="J226" s="2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20"/>
      <c r="B227" s="20"/>
      <c r="C227" s="20"/>
      <c r="D227" s="21"/>
      <c r="E227" s="22"/>
      <c r="F227" s="20"/>
      <c r="G227" s="20"/>
      <c r="H227" s="20"/>
      <c r="I227" s="20"/>
      <c r="J227" s="2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20"/>
      <c r="B228" s="20"/>
      <c r="C228" s="20"/>
      <c r="D228" s="21"/>
      <c r="E228" s="22"/>
      <c r="F228" s="20"/>
      <c r="G228" s="20"/>
      <c r="H228" s="20"/>
      <c r="I228" s="20"/>
      <c r="J228" s="2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20"/>
      <c r="B229" s="20"/>
      <c r="C229" s="20"/>
      <c r="D229" s="21"/>
      <c r="E229" s="22"/>
      <c r="F229" s="20"/>
      <c r="G229" s="20"/>
      <c r="H229" s="20"/>
      <c r="I229" s="20"/>
      <c r="J229" s="2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20"/>
      <c r="B230" s="20"/>
      <c r="C230" s="20"/>
      <c r="D230" s="21"/>
      <c r="E230" s="22"/>
      <c r="F230" s="20"/>
      <c r="G230" s="20"/>
      <c r="H230" s="20"/>
      <c r="I230" s="20"/>
      <c r="J230" s="2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20"/>
      <c r="B231" s="20"/>
      <c r="C231" s="20"/>
      <c r="D231" s="21"/>
      <c r="E231" s="22"/>
      <c r="F231" s="20"/>
      <c r="G231" s="20"/>
      <c r="H231" s="20"/>
      <c r="I231" s="20"/>
      <c r="J231" s="2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20"/>
      <c r="B232" s="20"/>
      <c r="C232" s="20"/>
      <c r="D232" s="21"/>
      <c r="E232" s="22"/>
      <c r="F232" s="20"/>
      <c r="G232" s="20"/>
      <c r="H232" s="20"/>
      <c r="I232" s="20"/>
      <c r="J232" s="2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20"/>
      <c r="B233" s="20"/>
      <c r="C233" s="20"/>
      <c r="D233" s="21"/>
      <c r="E233" s="22"/>
      <c r="F233" s="20"/>
      <c r="G233" s="20"/>
      <c r="H233" s="20"/>
      <c r="I233" s="20"/>
      <c r="J233" s="2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20"/>
      <c r="B234" s="20"/>
      <c r="C234" s="20"/>
      <c r="D234" s="21"/>
      <c r="E234" s="22"/>
      <c r="F234" s="20"/>
      <c r="G234" s="20"/>
      <c r="H234" s="20"/>
      <c r="I234" s="20"/>
      <c r="J234" s="2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20"/>
      <c r="B235" s="20"/>
      <c r="C235" s="20"/>
      <c r="D235" s="21"/>
      <c r="E235" s="22"/>
      <c r="F235" s="20"/>
      <c r="G235" s="20"/>
      <c r="H235" s="20"/>
      <c r="I235" s="20"/>
      <c r="J235" s="2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20"/>
      <c r="B236" s="20"/>
      <c r="C236" s="20"/>
      <c r="D236" s="21"/>
      <c r="E236" s="22"/>
      <c r="F236" s="20"/>
      <c r="G236" s="20"/>
      <c r="H236" s="20"/>
      <c r="I236" s="20"/>
      <c r="J236" s="2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20"/>
      <c r="B237" s="20"/>
      <c r="C237" s="20"/>
      <c r="D237" s="21"/>
      <c r="E237" s="22"/>
      <c r="F237" s="20"/>
      <c r="G237" s="20"/>
      <c r="H237" s="20"/>
      <c r="I237" s="20"/>
      <c r="J237" s="2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20"/>
      <c r="B238" s="20"/>
      <c r="C238" s="20"/>
      <c r="D238" s="21"/>
      <c r="E238" s="22"/>
      <c r="F238" s="20"/>
      <c r="G238" s="20"/>
      <c r="H238" s="20"/>
      <c r="I238" s="20"/>
      <c r="J238" s="2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20"/>
      <c r="B239" s="20"/>
      <c r="C239" s="20"/>
      <c r="D239" s="21"/>
      <c r="E239" s="22"/>
      <c r="F239" s="20"/>
      <c r="G239" s="20"/>
      <c r="H239" s="20"/>
      <c r="I239" s="20"/>
      <c r="J239" s="2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20"/>
      <c r="B240" s="20"/>
      <c r="C240" s="20"/>
      <c r="D240" s="21"/>
      <c r="E240" s="22"/>
      <c r="F240" s="20"/>
      <c r="G240" s="20"/>
      <c r="H240" s="20"/>
      <c r="I240" s="20"/>
      <c r="J240" s="2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20"/>
      <c r="B241" s="20"/>
      <c r="C241" s="20"/>
      <c r="D241" s="21"/>
      <c r="E241" s="22"/>
      <c r="F241" s="20"/>
      <c r="G241" s="20"/>
      <c r="H241" s="20"/>
      <c r="I241" s="20"/>
      <c r="J241" s="2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20"/>
      <c r="B242" s="20"/>
      <c r="C242" s="20"/>
      <c r="D242" s="21"/>
      <c r="E242" s="22"/>
      <c r="F242" s="20"/>
      <c r="G242" s="20"/>
      <c r="H242" s="20"/>
      <c r="I242" s="20"/>
      <c r="J242" s="2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20"/>
      <c r="B243" s="20"/>
      <c r="C243" s="20"/>
      <c r="D243" s="21"/>
      <c r="E243" s="22"/>
      <c r="F243" s="20"/>
      <c r="G243" s="20"/>
      <c r="H243" s="20"/>
      <c r="I243" s="20"/>
      <c r="J243" s="2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20"/>
      <c r="B244" s="20"/>
      <c r="C244" s="20"/>
      <c r="D244" s="21"/>
      <c r="E244" s="22"/>
      <c r="F244" s="20"/>
      <c r="G244" s="20"/>
      <c r="H244" s="20"/>
      <c r="I244" s="20"/>
      <c r="J244" s="2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20"/>
      <c r="B245" s="20"/>
      <c r="C245" s="20"/>
      <c r="D245" s="21"/>
      <c r="E245" s="22"/>
      <c r="F245" s="20"/>
      <c r="G245" s="20"/>
      <c r="H245" s="20"/>
      <c r="I245" s="20"/>
      <c r="J245" s="2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20"/>
      <c r="B246" s="20"/>
      <c r="C246" s="20"/>
      <c r="D246" s="21"/>
      <c r="E246" s="22"/>
      <c r="F246" s="20"/>
      <c r="G246" s="20"/>
      <c r="H246" s="20"/>
      <c r="I246" s="20"/>
      <c r="J246" s="2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20"/>
      <c r="B247" s="20"/>
      <c r="C247" s="20"/>
      <c r="D247" s="21"/>
      <c r="E247" s="22"/>
      <c r="F247" s="20"/>
      <c r="G247" s="20"/>
      <c r="H247" s="20"/>
      <c r="I247" s="20"/>
      <c r="J247" s="2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20"/>
      <c r="B248" s="20"/>
      <c r="C248" s="20"/>
      <c r="D248" s="21"/>
      <c r="E248" s="22"/>
      <c r="F248" s="20"/>
      <c r="G248" s="20"/>
      <c r="H248" s="20"/>
      <c r="I248" s="20"/>
      <c r="J248" s="2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20"/>
      <c r="B249" s="20"/>
      <c r="C249" s="20"/>
      <c r="D249" s="21"/>
      <c r="E249" s="22"/>
      <c r="F249" s="20"/>
      <c r="G249" s="20"/>
      <c r="H249" s="20"/>
      <c r="I249" s="20"/>
      <c r="J249" s="2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20"/>
      <c r="B250" s="20"/>
      <c r="C250" s="20"/>
      <c r="D250" s="21"/>
      <c r="E250" s="22"/>
      <c r="F250" s="20"/>
      <c r="G250" s="20"/>
      <c r="H250" s="20"/>
      <c r="I250" s="20"/>
      <c r="J250" s="2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20"/>
      <c r="B251" s="20"/>
      <c r="C251" s="20"/>
      <c r="D251" s="21"/>
      <c r="E251" s="22"/>
      <c r="F251" s="20"/>
      <c r="G251" s="20"/>
      <c r="H251" s="20"/>
      <c r="I251" s="20"/>
      <c r="J251" s="2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20"/>
      <c r="B252" s="20"/>
      <c r="C252" s="20"/>
      <c r="D252" s="21"/>
      <c r="E252" s="22"/>
      <c r="F252" s="20"/>
      <c r="G252" s="20"/>
      <c r="H252" s="20"/>
      <c r="I252" s="20"/>
      <c r="J252" s="2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20"/>
      <c r="B253" s="20"/>
      <c r="C253" s="20"/>
      <c r="D253" s="21"/>
      <c r="E253" s="22"/>
      <c r="F253" s="20"/>
      <c r="G253" s="20"/>
      <c r="H253" s="20"/>
      <c r="I253" s="20"/>
      <c r="J253" s="2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20"/>
      <c r="B254" s="20"/>
      <c r="C254" s="20"/>
      <c r="D254" s="21"/>
      <c r="E254" s="22"/>
      <c r="F254" s="20"/>
      <c r="G254" s="20"/>
      <c r="H254" s="20"/>
      <c r="I254" s="20"/>
      <c r="J254" s="2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20"/>
      <c r="B255" s="20"/>
      <c r="C255" s="20"/>
      <c r="D255" s="21"/>
      <c r="E255" s="22"/>
      <c r="F255" s="20"/>
      <c r="G255" s="20"/>
      <c r="H255" s="20"/>
      <c r="I255" s="20"/>
      <c r="J255" s="2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20"/>
      <c r="B256" s="20"/>
      <c r="C256" s="20"/>
      <c r="D256" s="21"/>
      <c r="E256" s="22"/>
      <c r="F256" s="20"/>
      <c r="G256" s="20"/>
      <c r="H256" s="20"/>
      <c r="I256" s="20"/>
      <c r="J256" s="2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20"/>
      <c r="B257" s="20"/>
      <c r="C257" s="20"/>
      <c r="D257" s="21"/>
      <c r="E257" s="22"/>
      <c r="F257" s="20"/>
      <c r="G257" s="20"/>
      <c r="H257" s="20"/>
      <c r="I257" s="20"/>
      <c r="J257" s="2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20"/>
      <c r="B258" s="20"/>
      <c r="C258" s="20"/>
      <c r="D258" s="21"/>
      <c r="E258" s="22"/>
      <c r="F258" s="20"/>
      <c r="G258" s="20"/>
      <c r="H258" s="20"/>
      <c r="I258" s="20"/>
      <c r="J258" s="2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20"/>
      <c r="B259" s="20"/>
      <c r="C259" s="20"/>
      <c r="D259" s="21"/>
      <c r="E259" s="22"/>
      <c r="F259" s="20"/>
      <c r="G259" s="20"/>
      <c r="H259" s="20"/>
      <c r="I259" s="20"/>
      <c r="J259" s="2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20"/>
      <c r="B260" s="20"/>
      <c r="C260" s="20"/>
      <c r="D260" s="21"/>
      <c r="E260" s="22"/>
      <c r="F260" s="20"/>
      <c r="G260" s="20"/>
      <c r="H260" s="20"/>
      <c r="I260" s="20"/>
      <c r="J260" s="2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20"/>
      <c r="B261" s="20"/>
      <c r="C261" s="20"/>
      <c r="D261" s="21"/>
      <c r="E261" s="22"/>
      <c r="F261" s="20"/>
      <c r="G261" s="20"/>
      <c r="H261" s="20"/>
      <c r="I261" s="20"/>
      <c r="J261" s="2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</sheetData>
  <mergeCells count="2">
    <mergeCell ref="A2:N2"/>
    <mergeCell ref="A3:N3"/>
  </mergeCells>
  <hyperlinks>
    <hyperlink ref="C1" r:id="rId1" xr:uid="{45BE07DC-2BD2-452D-AE3C-2AADEF2E078E}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59"/>
  <sheetViews>
    <sheetView zoomScale="40" zoomScaleNormal="40" workbookViewId="0">
      <selection activeCell="D115" sqref="D115"/>
    </sheetView>
  </sheetViews>
  <sheetFormatPr defaultColWidth="12.7265625" defaultRowHeight="15" customHeight="1"/>
  <cols>
    <col min="1" max="1" width="28.7265625" customWidth="1"/>
    <col min="2" max="2" width="32.7265625" customWidth="1"/>
    <col min="3" max="3" width="67.7265625" customWidth="1"/>
    <col min="4" max="10" width="14.54296875" customWidth="1"/>
    <col min="11" max="14" width="1.453125" customWidth="1"/>
  </cols>
  <sheetData>
    <row r="1" spans="1:25" ht="23.2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5.5" customHeight="1">
      <c r="A2" s="112" t="s">
        <v>89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4" customHeight="1">
      <c r="A3" s="110" t="s">
        <v>88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0.75" customHeight="1">
      <c r="A4" s="4"/>
      <c r="B4" s="4"/>
      <c r="C4" s="4"/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7"/>
      <c r="P4" s="7"/>
      <c r="Q4" s="7"/>
      <c r="R4" s="7"/>
      <c r="S4" s="7"/>
      <c r="T4" s="7"/>
      <c r="U4" s="7"/>
      <c r="V4" s="3"/>
      <c r="W4" s="3"/>
      <c r="X4" s="3"/>
      <c r="Y4" s="3"/>
    </row>
    <row r="5" spans="1:25" ht="30.75" customHeight="1">
      <c r="A5" s="8" t="s">
        <v>2</v>
      </c>
      <c r="B5" s="8" t="s">
        <v>3</v>
      </c>
      <c r="C5" s="8" t="s">
        <v>4</v>
      </c>
      <c r="D5" s="9">
        <v>0</v>
      </c>
      <c r="E5" s="9">
        <v>1</v>
      </c>
      <c r="F5" s="9">
        <v>3</v>
      </c>
      <c r="G5" s="9">
        <v>7</v>
      </c>
      <c r="H5" s="9">
        <v>15</v>
      </c>
      <c r="I5" s="9">
        <v>31</v>
      </c>
      <c r="J5" s="9">
        <v>63</v>
      </c>
      <c r="K5" s="9"/>
      <c r="L5" s="9"/>
      <c r="M5" s="8"/>
      <c r="N5" s="6"/>
      <c r="O5" s="7"/>
      <c r="P5" s="7"/>
      <c r="Q5" s="7"/>
      <c r="R5" s="7"/>
      <c r="S5" s="7"/>
      <c r="T5" s="7"/>
      <c r="U5" s="7"/>
      <c r="V5" s="3"/>
      <c r="W5" s="3"/>
      <c r="X5" s="3"/>
      <c r="Y5" s="3"/>
    </row>
    <row r="6" spans="1:25" ht="15.75" customHeight="1">
      <c r="A6" s="84"/>
      <c r="B6" s="85"/>
      <c r="C6" s="86"/>
      <c r="D6" s="81"/>
      <c r="E6" s="11">
        <f t="shared" ref="E6:M21" si="0">$D6+E$5</f>
        <v>1</v>
      </c>
      <c r="F6" s="11">
        <f t="shared" si="0"/>
        <v>3</v>
      </c>
      <c r="G6" s="11">
        <f t="shared" ref="G6:H26" si="1">$D6+G$5</f>
        <v>7</v>
      </c>
      <c r="H6" s="11">
        <f t="shared" si="1"/>
        <v>15</v>
      </c>
      <c r="I6" s="11">
        <f t="shared" si="0"/>
        <v>31</v>
      </c>
      <c r="J6" s="11">
        <f t="shared" si="0"/>
        <v>63</v>
      </c>
      <c r="K6" s="11">
        <f t="shared" si="0"/>
        <v>0</v>
      </c>
      <c r="L6" s="11">
        <f t="shared" si="0"/>
        <v>0</v>
      </c>
      <c r="M6" s="11">
        <f t="shared" si="0"/>
        <v>0</v>
      </c>
      <c r="N6" s="82"/>
      <c r="O6" s="7"/>
      <c r="P6" s="7"/>
      <c r="Q6" s="7"/>
      <c r="R6" s="7"/>
      <c r="S6" s="7"/>
      <c r="T6" s="7"/>
      <c r="U6" s="7"/>
      <c r="V6" s="3"/>
      <c r="W6" s="3"/>
      <c r="X6" s="3"/>
      <c r="Y6" s="3"/>
    </row>
    <row r="7" spans="1:25" ht="15.75" customHeight="1">
      <c r="A7" s="84"/>
      <c r="B7" s="85"/>
      <c r="C7" s="86"/>
      <c r="D7" s="81"/>
      <c r="E7" s="11">
        <f t="shared" si="0"/>
        <v>1</v>
      </c>
      <c r="F7" s="11">
        <f t="shared" si="0"/>
        <v>3</v>
      </c>
      <c r="G7" s="11">
        <f t="shared" si="1"/>
        <v>7</v>
      </c>
      <c r="H7" s="11">
        <f t="shared" si="1"/>
        <v>15</v>
      </c>
      <c r="I7" s="11">
        <f t="shared" si="0"/>
        <v>31</v>
      </c>
      <c r="J7" s="11">
        <f t="shared" si="0"/>
        <v>63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82"/>
      <c r="O7" s="7"/>
      <c r="P7" s="7"/>
      <c r="Q7" s="7"/>
      <c r="R7" s="7"/>
      <c r="S7" s="7"/>
      <c r="T7" s="7"/>
      <c r="U7" s="7"/>
      <c r="V7" s="3"/>
      <c r="W7" s="3"/>
      <c r="X7" s="3"/>
      <c r="Y7" s="3"/>
    </row>
    <row r="8" spans="1:25" ht="15.75" customHeight="1">
      <c r="A8" s="84"/>
      <c r="B8" s="85"/>
      <c r="C8" s="86"/>
      <c r="D8" s="10"/>
      <c r="E8" s="11">
        <f t="shared" si="0"/>
        <v>1</v>
      </c>
      <c r="F8" s="11">
        <f t="shared" si="0"/>
        <v>3</v>
      </c>
      <c r="G8" s="11">
        <f t="shared" si="1"/>
        <v>7</v>
      </c>
      <c r="H8" s="11">
        <f t="shared" si="1"/>
        <v>15</v>
      </c>
      <c r="I8" s="11">
        <f t="shared" si="0"/>
        <v>31</v>
      </c>
      <c r="J8" s="11">
        <f t="shared" si="0"/>
        <v>63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2"/>
      <c r="O8" s="7"/>
      <c r="P8" s="7"/>
      <c r="Q8" s="7"/>
      <c r="R8" s="7"/>
      <c r="S8" s="7"/>
      <c r="T8" s="7"/>
      <c r="U8" s="7"/>
      <c r="V8" s="3"/>
      <c r="W8" s="3"/>
      <c r="X8" s="3"/>
      <c r="Y8" s="3"/>
    </row>
    <row r="9" spans="1:25" ht="15.75" customHeight="1">
      <c r="A9" s="84"/>
      <c r="B9" s="85"/>
      <c r="C9" s="86"/>
      <c r="D9" s="10"/>
      <c r="E9" s="11">
        <f t="shared" si="0"/>
        <v>1</v>
      </c>
      <c r="F9" s="11">
        <f t="shared" si="0"/>
        <v>3</v>
      </c>
      <c r="G9" s="11">
        <f t="shared" si="1"/>
        <v>7</v>
      </c>
      <c r="H9" s="11">
        <f t="shared" si="1"/>
        <v>15</v>
      </c>
      <c r="I9" s="11">
        <f t="shared" si="0"/>
        <v>31</v>
      </c>
      <c r="J9" s="11">
        <f t="shared" si="0"/>
        <v>63</v>
      </c>
      <c r="K9" s="11">
        <f t="shared" si="0"/>
        <v>0</v>
      </c>
      <c r="L9" s="11">
        <f t="shared" si="0"/>
        <v>0</v>
      </c>
      <c r="M9" s="11">
        <f t="shared" si="0"/>
        <v>0</v>
      </c>
      <c r="N9" s="12"/>
      <c r="O9" s="7"/>
      <c r="P9" s="7"/>
      <c r="Q9" s="7"/>
      <c r="R9" s="7"/>
      <c r="S9" s="7"/>
      <c r="T9" s="7"/>
      <c r="U9" s="7"/>
      <c r="V9" s="3"/>
      <c r="W9" s="3"/>
      <c r="X9" s="3"/>
      <c r="Y9" s="3"/>
    </row>
    <row r="10" spans="1:25" ht="15.75" customHeight="1">
      <c r="A10" s="84"/>
      <c r="B10" s="85"/>
      <c r="C10" s="86"/>
      <c r="D10" s="10"/>
      <c r="E10" s="11">
        <f t="shared" si="0"/>
        <v>1</v>
      </c>
      <c r="F10" s="11">
        <f t="shared" si="0"/>
        <v>3</v>
      </c>
      <c r="G10" s="11">
        <f t="shared" si="1"/>
        <v>7</v>
      </c>
      <c r="H10" s="11">
        <f t="shared" si="1"/>
        <v>15</v>
      </c>
      <c r="I10" s="11">
        <f t="shared" si="0"/>
        <v>31</v>
      </c>
      <c r="J10" s="11">
        <f t="shared" si="0"/>
        <v>63</v>
      </c>
      <c r="K10" s="11">
        <f t="shared" si="0"/>
        <v>0</v>
      </c>
      <c r="L10" s="11">
        <f t="shared" si="0"/>
        <v>0</v>
      </c>
      <c r="M10" s="11">
        <f t="shared" si="0"/>
        <v>0</v>
      </c>
      <c r="N10" s="12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</row>
    <row r="11" spans="1:25" ht="15.75" customHeight="1">
      <c r="A11" s="84"/>
      <c r="B11" s="85"/>
      <c r="C11" s="86"/>
      <c r="D11" s="10"/>
      <c r="E11" s="11">
        <f t="shared" si="0"/>
        <v>1</v>
      </c>
      <c r="F11" s="11">
        <f t="shared" si="0"/>
        <v>3</v>
      </c>
      <c r="G11" s="11">
        <f t="shared" si="1"/>
        <v>7</v>
      </c>
      <c r="H11" s="11">
        <f t="shared" si="1"/>
        <v>15</v>
      </c>
      <c r="I11" s="11">
        <f t="shared" si="0"/>
        <v>31</v>
      </c>
      <c r="J11" s="11">
        <f t="shared" si="0"/>
        <v>63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2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</row>
    <row r="12" spans="1:25" ht="15.75" customHeight="1">
      <c r="A12" s="84"/>
      <c r="B12" s="85"/>
      <c r="C12" s="86"/>
      <c r="D12" s="10"/>
      <c r="E12" s="11">
        <f t="shared" si="0"/>
        <v>1</v>
      </c>
      <c r="F12" s="11">
        <f t="shared" si="0"/>
        <v>3</v>
      </c>
      <c r="G12" s="11">
        <f t="shared" si="1"/>
        <v>7</v>
      </c>
      <c r="H12" s="11">
        <f t="shared" si="1"/>
        <v>15</v>
      </c>
      <c r="I12" s="11">
        <f t="shared" si="0"/>
        <v>31</v>
      </c>
      <c r="J12" s="11">
        <f t="shared" si="0"/>
        <v>63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2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</row>
    <row r="13" spans="1:25" ht="15.75" customHeight="1">
      <c r="A13" s="84"/>
      <c r="B13" s="85"/>
      <c r="C13" s="86"/>
      <c r="D13" s="10"/>
      <c r="E13" s="11">
        <f t="shared" si="0"/>
        <v>1</v>
      </c>
      <c r="F13" s="11">
        <f t="shared" si="0"/>
        <v>3</v>
      </c>
      <c r="G13" s="11">
        <f t="shared" si="1"/>
        <v>7</v>
      </c>
      <c r="H13" s="11">
        <f t="shared" si="1"/>
        <v>15</v>
      </c>
      <c r="I13" s="11">
        <f t="shared" si="0"/>
        <v>31</v>
      </c>
      <c r="J13" s="11">
        <f t="shared" si="0"/>
        <v>63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2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</row>
    <row r="14" spans="1:25" ht="15" customHeight="1">
      <c r="A14" s="84"/>
      <c r="B14" s="85"/>
      <c r="C14" s="86"/>
      <c r="D14" s="10"/>
      <c r="E14" s="11">
        <f t="shared" si="0"/>
        <v>1</v>
      </c>
      <c r="F14" s="11">
        <f t="shared" si="0"/>
        <v>3</v>
      </c>
      <c r="G14" s="11">
        <f t="shared" si="1"/>
        <v>7</v>
      </c>
      <c r="H14" s="11">
        <f t="shared" si="1"/>
        <v>15</v>
      </c>
      <c r="I14" s="11">
        <f t="shared" si="0"/>
        <v>31</v>
      </c>
      <c r="J14" s="11">
        <f t="shared" si="0"/>
        <v>63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2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</row>
    <row r="15" spans="1:25" ht="15.75" customHeight="1">
      <c r="A15" s="84"/>
      <c r="B15" s="85"/>
      <c r="C15" s="86"/>
      <c r="D15" s="10"/>
      <c r="E15" s="11">
        <f t="shared" si="0"/>
        <v>1</v>
      </c>
      <c r="F15" s="11">
        <f t="shared" si="0"/>
        <v>3</v>
      </c>
      <c r="G15" s="11">
        <f t="shared" si="1"/>
        <v>7</v>
      </c>
      <c r="H15" s="11">
        <f t="shared" si="1"/>
        <v>15</v>
      </c>
      <c r="I15" s="11">
        <f t="shared" si="0"/>
        <v>31</v>
      </c>
      <c r="J15" s="11">
        <f t="shared" si="0"/>
        <v>63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2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</row>
    <row r="16" spans="1:25" ht="15.75" customHeight="1">
      <c r="A16" s="84"/>
      <c r="B16" s="87"/>
      <c r="C16" s="86"/>
      <c r="D16" s="10"/>
      <c r="E16" s="11">
        <f t="shared" si="0"/>
        <v>1</v>
      </c>
      <c r="F16" s="11">
        <f t="shared" si="0"/>
        <v>3</v>
      </c>
      <c r="G16" s="11">
        <f t="shared" si="1"/>
        <v>7</v>
      </c>
      <c r="H16" s="11">
        <f t="shared" si="1"/>
        <v>15</v>
      </c>
      <c r="I16" s="11">
        <f t="shared" si="0"/>
        <v>31</v>
      </c>
      <c r="J16" s="11">
        <f t="shared" si="0"/>
        <v>63</v>
      </c>
      <c r="K16" s="11">
        <f t="shared" si="0"/>
        <v>0</v>
      </c>
      <c r="L16" s="11">
        <f t="shared" si="0"/>
        <v>0</v>
      </c>
      <c r="M16" s="11">
        <f t="shared" si="0"/>
        <v>0</v>
      </c>
      <c r="N16" s="12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</row>
    <row r="17" spans="1:25" ht="15.75" customHeight="1">
      <c r="A17" s="84"/>
      <c r="B17" s="87"/>
      <c r="C17" s="86"/>
      <c r="D17" s="10"/>
      <c r="E17" s="11">
        <f t="shared" si="0"/>
        <v>1</v>
      </c>
      <c r="F17" s="11">
        <f t="shared" si="0"/>
        <v>3</v>
      </c>
      <c r="G17" s="11">
        <f t="shared" si="1"/>
        <v>7</v>
      </c>
      <c r="H17" s="11">
        <f t="shared" si="1"/>
        <v>15</v>
      </c>
      <c r="I17" s="11">
        <f t="shared" si="0"/>
        <v>31</v>
      </c>
      <c r="J17" s="11">
        <f t="shared" si="0"/>
        <v>63</v>
      </c>
      <c r="K17" s="11">
        <f t="shared" si="0"/>
        <v>0</v>
      </c>
      <c r="L17" s="11">
        <f t="shared" si="0"/>
        <v>0</v>
      </c>
      <c r="M17" s="11">
        <f t="shared" si="0"/>
        <v>0</v>
      </c>
      <c r="N17" s="12"/>
      <c r="O17" s="7"/>
      <c r="P17" s="7"/>
      <c r="Q17" s="7"/>
      <c r="R17" s="7"/>
      <c r="S17" s="7"/>
      <c r="T17" s="7"/>
      <c r="U17" s="7"/>
      <c r="V17" s="13"/>
      <c r="W17" s="13"/>
      <c r="X17" s="13"/>
      <c r="Y17" s="13"/>
    </row>
    <row r="18" spans="1:25" ht="15.75" customHeight="1">
      <c r="A18" s="84"/>
      <c r="B18" s="87"/>
      <c r="C18" s="86"/>
      <c r="D18" s="10"/>
      <c r="E18" s="11">
        <f t="shared" si="0"/>
        <v>1</v>
      </c>
      <c r="F18" s="11">
        <f t="shared" si="0"/>
        <v>3</v>
      </c>
      <c r="G18" s="11">
        <f t="shared" si="1"/>
        <v>7</v>
      </c>
      <c r="H18" s="11">
        <f t="shared" si="1"/>
        <v>15</v>
      </c>
      <c r="I18" s="11">
        <f t="shared" si="0"/>
        <v>31</v>
      </c>
      <c r="J18" s="11">
        <f t="shared" si="0"/>
        <v>63</v>
      </c>
      <c r="K18" s="11">
        <f t="shared" si="0"/>
        <v>0</v>
      </c>
      <c r="L18" s="11">
        <f t="shared" si="0"/>
        <v>0</v>
      </c>
      <c r="M18" s="11">
        <f t="shared" si="0"/>
        <v>0</v>
      </c>
      <c r="N18" s="12"/>
      <c r="O18" s="7"/>
      <c r="P18" s="7"/>
      <c r="Q18" s="7"/>
      <c r="R18" s="7"/>
      <c r="S18" s="7"/>
      <c r="T18" s="7"/>
      <c r="U18" s="7"/>
      <c r="V18" s="3"/>
      <c r="W18" s="3"/>
      <c r="X18" s="3"/>
      <c r="Y18" s="3"/>
    </row>
    <row r="19" spans="1:25" ht="15.75" customHeight="1">
      <c r="A19" s="84"/>
      <c r="B19" s="87"/>
      <c r="C19" s="86"/>
      <c r="D19" s="14"/>
      <c r="E19" s="11">
        <f t="shared" si="0"/>
        <v>1</v>
      </c>
      <c r="F19" s="11">
        <f t="shared" si="0"/>
        <v>3</v>
      </c>
      <c r="G19" s="11">
        <f t="shared" si="1"/>
        <v>7</v>
      </c>
      <c r="H19" s="11">
        <f t="shared" si="1"/>
        <v>15</v>
      </c>
      <c r="I19" s="11">
        <f t="shared" si="0"/>
        <v>31</v>
      </c>
      <c r="J19" s="11">
        <f t="shared" si="0"/>
        <v>63</v>
      </c>
      <c r="K19" s="11">
        <f t="shared" si="0"/>
        <v>0</v>
      </c>
      <c r="L19" s="11">
        <f t="shared" si="0"/>
        <v>0</v>
      </c>
      <c r="M19" s="11">
        <f t="shared" si="0"/>
        <v>0</v>
      </c>
      <c r="N19" s="12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</row>
    <row r="20" spans="1:25" ht="15.75" customHeight="1">
      <c r="A20" s="84"/>
      <c r="B20" s="87"/>
      <c r="C20" s="86"/>
      <c r="D20" s="15"/>
      <c r="E20" s="11">
        <f t="shared" si="0"/>
        <v>1</v>
      </c>
      <c r="F20" s="11">
        <f t="shared" si="0"/>
        <v>3</v>
      </c>
      <c r="G20" s="11">
        <f t="shared" si="1"/>
        <v>7</v>
      </c>
      <c r="H20" s="11">
        <f t="shared" si="1"/>
        <v>15</v>
      </c>
      <c r="I20" s="11">
        <f t="shared" si="0"/>
        <v>31</v>
      </c>
      <c r="J20" s="11">
        <f t="shared" si="0"/>
        <v>63</v>
      </c>
      <c r="K20" s="11">
        <f t="shared" si="0"/>
        <v>0</v>
      </c>
      <c r="L20" s="11">
        <f t="shared" si="0"/>
        <v>0</v>
      </c>
      <c r="M20" s="11">
        <f t="shared" si="0"/>
        <v>0</v>
      </c>
      <c r="N20" s="12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</row>
    <row r="21" spans="1:25" ht="15.75" customHeight="1">
      <c r="A21" s="84"/>
      <c r="B21" s="87"/>
      <c r="C21" s="86"/>
      <c r="D21" s="15"/>
      <c r="E21" s="11">
        <f t="shared" si="0"/>
        <v>1</v>
      </c>
      <c r="F21" s="11">
        <f t="shared" si="0"/>
        <v>3</v>
      </c>
      <c r="G21" s="11">
        <f t="shared" si="1"/>
        <v>7</v>
      </c>
      <c r="H21" s="11">
        <f t="shared" si="1"/>
        <v>15</v>
      </c>
      <c r="I21" s="11">
        <f t="shared" si="0"/>
        <v>31</v>
      </c>
      <c r="J21" s="11">
        <f t="shared" si="0"/>
        <v>63</v>
      </c>
      <c r="K21" s="11">
        <f t="shared" si="0"/>
        <v>0</v>
      </c>
      <c r="L21" s="11">
        <f t="shared" si="0"/>
        <v>0</v>
      </c>
      <c r="M21" s="11">
        <f t="shared" si="0"/>
        <v>0</v>
      </c>
      <c r="N21" s="12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</row>
    <row r="22" spans="1:25" ht="15.75" customHeight="1">
      <c r="A22" s="84"/>
      <c r="B22" s="87"/>
      <c r="C22" s="86"/>
      <c r="D22" s="15"/>
      <c r="E22" s="11">
        <f t="shared" ref="E22:M58" si="2">$D22+E$5</f>
        <v>1</v>
      </c>
      <c r="F22" s="11">
        <f t="shared" si="2"/>
        <v>3</v>
      </c>
      <c r="G22" s="11">
        <f t="shared" si="1"/>
        <v>7</v>
      </c>
      <c r="H22" s="11">
        <f t="shared" si="1"/>
        <v>15</v>
      </c>
      <c r="I22" s="11">
        <f t="shared" si="2"/>
        <v>31</v>
      </c>
      <c r="J22" s="11">
        <f t="shared" si="2"/>
        <v>63</v>
      </c>
      <c r="K22" s="11">
        <f t="shared" si="2"/>
        <v>0</v>
      </c>
      <c r="L22" s="11">
        <f t="shared" si="2"/>
        <v>0</v>
      </c>
      <c r="M22" s="11">
        <f t="shared" si="2"/>
        <v>0</v>
      </c>
      <c r="N22" s="12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</row>
    <row r="23" spans="1:25" ht="15.75" customHeight="1">
      <c r="A23" s="84"/>
      <c r="B23" s="87"/>
      <c r="C23" s="86"/>
      <c r="D23" s="15"/>
      <c r="E23" s="11">
        <f t="shared" si="2"/>
        <v>1</v>
      </c>
      <c r="F23" s="11">
        <f t="shared" si="2"/>
        <v>3</v>
      </c>
      <c r="G23" s="11">
        <f t="shared" si="1"/>
        <v>7</v>
      </c>
      <c r="H23" s="11">
        <f t="shared" si="1"/>
        <v>15</v>
      </c>
      <c r="I23" s="11">
        <f t="shared" si="2"/>
        <v>31</v>
      </c>
      <c r="J23" s="11">
        <f t="shared" si="2"/>
        <v>63</v>
      </c>
      <c r="K23" s="11">
        <f t="shared" si="2"/>
        <v>0</v>
      </c>
      <c r="L23" s="11">
        <f t="shared" si="2"/>
        <v>0</v>
      </c>
      <c r="M23" s="11">
        <f t="shared" si="2"/>
        <v>0</v>
      </c>
      <c r="N23" s="12"/>
      <c r="O23" s="7"/>
      <c r="P23" s="7"/>
      <c r="Q23" s="7"/>
      <c r="R23" s="7"/>
      <c r="S23" s="7"/>
      <c r="T23" s="7"/>
      <c r="U23" s="7"/>
      <c r="V23" s="13"/>
      <c r="W23" s="13"/>
      <c r="X23" s="13"/>
      <c r="Y23" s="13"/>
    </row>
    <row r="24" spans="1:25" ht="15.75" customHeight="1">
      <c r="A24" s="84"/>
      <c r="B24" s="87"/>
      <c r="C24" s="86"/>
      <c r="D24" s="15"/>
      <c r="E24" s="11">
        <f t="shared" si="2"/>
        <v>1</v>
      </c>
      <c r="F24" s="11">
        <f t="shared" si="2"/>
        <v>3</v>
      </c>
      <c r="G24" s="11">
        <f t="shared" si="1"/>
        <v>7</v>
      </c>
      <c r="H24" s="11">
        <f t="shared" si="1"/>
        <v>15</v>
      </c>
      <c r="I24" s="11">
        <f t="shared" si="2"/>
        <v>31</v>
      </c>
      <c r="J24" s="11">
        <f t="shared" si="2"/>
        <v>63</v>
      </c>
      <c r="K24" s="11">
        <f t="shared" si="2"/>
        <v>0</v>
      </c>
      <c r="L24" s="11">
        <f t="shared" si="2"/>
        <v>0</v>
      </c>
      <c r="M24" s="11">
        <f t="shared" si="2"/>
        <v>0</v>
      </c>
      <c r="N24" s="12"/>
      <c r="O24" s="7"/>
      <c r="P24" s="7"/>
      <c r="Q24" s="7"/>
      <c r="R24" s="7"/>
      <c r="S24" s="7"/>
      <c r="T24" s="7"/>
      <c r="U24" s="7"/>
      <c r="V24" s="3"/>
      <c r="W24" s="3"/>
      <c r="X24" s="3"/>
      <c r="Y24" s="3"/>
    </row>
    <row r="25" spans="1:25" ht="15.75" customHeight="1">
      <c r="A25" s="84"/>
      <c r="B25" s="87"/>
      <c r="C25" s="86"/>
      <c r="D25" s="14"/>
      <c r="E25" s="11">
        <f t="shared" si="2"/>
        <v>1</v>
      </c>
      <c r="F25" s="11">
        <f t="shared" si="2"/>
        <v>3</v>
      </c>
      <c r="G25" s="11">
        <f t="shared" si="1"/>
        <v>7</v>
      </c>
      <c r="H25" s="11">
        <f t="shared" si="1"/>
        <v>15</v>
      </c>
      <c r="I25" s="11">
        <f t="shared" si="2"/>
        <v>31</v>
      </c>
      <c r="J25" s="11">
        <f t="shared" si="2"/>
        <v>63</v>
      </c>
      <c r="K25" s="11">
        <f t="shared" si="2"/>
        <v>0</v>
      </c>
      <c r="L25" s="11">
        <f t="shared" si="2"/>
        <v>0</v>
      </c>
      <c r="M25" s="11">
        <f t="shared" si="2"/>
        <v>0</v>
      </c>
      <c r="N25" s="12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</row>
    <row r="26" spans="1:25" ht="15.75" customHeight="1">
      <c r="A26" s="84"/>
      <c r="B26" s="87"/>
      <c r="C26" s="86"/>
      <c r="D26" s="15"/>
      <c r="E26" s="11">
        <f t="shared" si="2"/>
        <v>1</v>
      </c>
      <c r="F26" s="11">
        <f t="shared" si="2"/>
        <v>3</v>
      </c>
      <c r="G26" s="11">
        <f t="shared" si="1"/>
        <v>7</v>
      </c>
      <c r="H26" s="11">
        <f t="shared" si="1"/>
        <v>15</v>
      </c>
      <c r="I26" s="11">
        <f t="shared" si="2"/>
        <v>31</v>
      </c>
      <c r="J26" s="11">
        <f t="shared" si="2"/>
        <v>63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2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</row>
    <row r="27" spans="1:25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</row>
    <row r="28" spans="1:25" ht="15.75" customHeight="1">
      <c r="A28" s="88"/>
      <c r="B28" s="89"/>
      <c r="C28" s="90"/>
      <c r="D28" s="91"/>
      <c r="E28" s="11">
        <f t="shared" si="2"/>
        <v>1</v>
      </c>
      <c r="F28" s="11">
        <f t="shared" si="2"/>
        <v>3</v>
      </c>
      <c r="G28" s="11">
        <f t="shared" ref="G28:H44" si="3">$D28+G$5</f>
        <v>7</v>
      </c>
      <c r="H28" s="11">
        <f t="shared" si="3"/>
        <v>15</v>
      </c>
      <c r="I28" s="11">
        <f t="shared" si="2"/>
        <v>31</v>
      </c>
      <c r="J28" s="11">
        <f t="shared" si="2"/>
        <v>63</v>
      </c>
      <c r="K28" s="11">
        <f t="shared" si="2"/>
        <v>0</v>
      </c>
      <c r="L28" s="11">
        <f t="shared" si="2"/>
        <v>0</v>
      </c>
      <c r="M28" s="11">
        <f t="shared" si="2"/>
        <v>0</v>
      </c>
      <c r="N28" s="17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</row>
    <row r="29" spans="1:25" ht="15.75" customHeight="1">
      <c r="A29" s="88"/>
      <c r="B29" s="89"/>
      <c r="C29" s="90"/>
      <c r="D29" s="91"/>
      <c r="E29" s="11">
        <f t="shared" si="2"/>
        <v>1</v>
      </c>
      <c r="F29" s="11">
        <f t="shared" si="2"/>
        <v>3</v>
      </c>
      <c r="G29" s="11">
        <f t="shared" si="3"/>
        <v>7</v>
      </c>
      <c r="H29" s="11">
        <f t="shared" si="3"/>
        <v>15</v>
      </c>
      <c r="I29" s="11">
        <f t="shared" si="2"/>
        <v>31</v>
      </c>
      <c r="J29" s="11">
        <f t="shared" si="2"/>
        <v>63</v>
      </c>
      <c r="K29" s="11">
        <f t="shared" si="2"/>
        <v>0</v>
      </c>
      <c r="L29" s="11">
        <f t="shared" si="2"/>
        <v>0</v>
      </c>
      <c r="M29" s="11">
        <f t="shared" si="2"/>
        <v>0</v>
      </c>
      <c r="N29" s="1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</row>
    <row r="30" spans="1:25" ht="15.75" customHeight="1">
      <c r="A30" s="88"/>
      <c r="B30" s="89"/>
      <c r="C30" s="90"/>
      <c r="D30" s="92"/>
      <c r="E30" s="11">
        <f t="shared" si="2"/>
        <v>1</v>
      </c>
      <c r="F30" s="11">
        <f t="shared" si="2"/>
        <v>3</v>
      </c>
      <c r="G30" s="11">
        <f t="shared" si="3"/>
        <v>7</v>
      </c>
      <c r="H30" s="11">
        <f t="shared" si="3"/>
        <v>15</v>
      </c>
      <c r="I30" s="11">
        <f t="shared" si="2"/>
        <v>31</v>
      </c>
      <c r="J30" s="11">
        <f t="shared" si="2"/>
        <v>63</v>
      </c>
      <c r="K30" s="11">
        <f t="shared" si="2"/>
        <v>0</v>
      </c>
      <c r="L30" s="11">
        <f t="shared" ref="L30:M44" si="4">$D30+L$5</f>
        <v>0</v>
      </c>
      <c r="M30" s="11">
        <f t="shared" si="4"/>
        <v>0</v>
      </c>
      <c r="N30" s="17"/>
      <c r="O30" s="7"/>
      <c r="P30" s="7"/>
      <c r="Q30" s="7"/>
      <c r="R30" s="7"/>
      <c r="S30" s="7"/>
      <c r="T30" s="7"/>
      <c r="U30" s="7"/>
      <c r="V30" s="13"/>
      <c r="W30" s="13"/>
      <c r="X30" s="13"/>
      <c r="Y30" s="13"/>
    </row>
    <row r="31" spans="1:25" ht="15.75" customHeight="1">
      <c r="A31" s="88"/>
      <c r="B31" s="89"/>
      <c r="C31" s="90"/>
      <c r="D31" s="92"/>
      <c r="E31" s="11">
        <f t="shared" si="2"/>
        <v>1</v>
      </c>
      <c r="F31" s="11">
        <f t="shared" si="2"/>
        <v>3</v>
      </c>
      <c r="G31" s="11">
        <f t="shared" si="3"/>
        <v>7</v>
      </c>
      <c r="H31" s="11">
        <f t="shared" si="3"/>
        <v>15</v>
      </c>
      <c r="I31" s="11">
        <f t="shared" si="2"/>
        <v>31</v>
      </c>
      <c r="J31" s="11">
        <f t="shared" si="2"/>
        <v>63</v>
      </c>
      <c r="K31" s="11">
        <f t="shared" si="2"/>
        <v>0</v>
      </c>
      <c r="L31" s="11">
        <f t="shared" si="4"/>
        <v>0</v>
      </c>
      <c r="M31" s="11">
        <f t="shared" si="4"/>
        <v>0</v>
      </c>
      <c r="N31" s="17"/>
      <c r="O31" s="7"/>
      <c r="P31" s="7"/>
      <c r="Q31" s="7"/>
      <c r="R31" s="7"/>
      <c r="S31" s="7"/>
      <c r="T31" s="7"/>
      <c r="U31" s="7"/>
      <c r="V31" s="13"/>
      <c r="W31" s="13"/>
      <c r="X31" s="13"/>
      <c r="Y31" s="13"/>
    </row>
    <row r="32" spans="1:25" ht="15.75" customHeight="1">
      <c r="A32" s="88"/>
      <c r="B32" s="89"/>
      <c r="C32" s="93"/>
      <c r="D32" s="92"/>
      <c r="E32" s="11">
        <f t="shared" si="2"/>
        <v>1</v>
      </c>
      <c r="F32" s="11">
        <f t="shared" si="2"/>
        <v>3</v>
      </c>
      <c r="G32" s="11">
        <f t="shared" si="3"/>
        <v>7</v>
      </c>
      <c r="H32" s="11">
        <f t="shared" si="3"/>
        <v>15</v>
      </c>
      <c r="I32" s="11">
        <f t="shared" si="2"/>
        <v>31</v>
      </c>
      <c r="J32" s="11">
        <f t="shared" si="2"/>
        <v>63</v>
      </c>
      <c r="K32" s="11">
        <f t="shared" si="2"/>
        <v>0</v>
      </c>
      <c r="L32" s="11">
        <f t="shared" si="4"/>
        <v>0</v>
      </c>
      <c r="M32" s="11">
        <f t="shared" si="4"/>
        <v>0</v>
      </c>
      <c r="N32" s="17"/>
      <c r="O32" s="7"/>
      <c r="P32" s="7"/>
      <c r="Q32" s="7"/>
      <c r="R32" s="7"/>
      <c r="S32" s="7"/>
      <c r="T32" s="7"/>
      <c r="U32" s="7"/>
      <c r="V32" s="3"/>
      <c r="W32" s="3"/>
      <c r="X32" s="3"/>
      <c r="Y32" s="3"/>
    </row>
    <row r="33" spans="1:25" ht="15.75" customHeight="1">
      <c r="A33" s="88"/>
      <c r="B33" s="89"/>
      <c r="C33" s="93"/>
      <c r="D33" s="92"/>
      <c r="E33" s="11">
        <f t="shared" si="2"/>
        <v>1</v>
      </c>
      <c r="F33" s="11">
        <f t="shared" si="2"/>
        <v>3</v>
      </c>
      <c r="G33" s="11">
        <f t="shared" si="3"/>
        <v>7</v>
      </c>
      <c r="H33" s="11">
        <f t="shared" si="3"/>
        <v>15</v>
      </c>
      <c r="I33" s="11">
        <f t="shared" si="2"/>
        <v>31</v>
      </c>
      <c r="J33" s="11">
        <f t="shared" si="2"/>
        <v>63</v>
      </c>
      <c r="K33" s="11">
        <f t="shared" si="2"/>
        <v>0</v>
      </c>
      <c r="L33" s="11">
        <f t="shared" si="4"/>
        <v>0</v>
      </c>
      <c r="M33" s="11">
        <f t="shared" si="4"/>
        <v>0</v>
      </c>
      <c r="N33" s="1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</row>
    <row r="34" spans="1:25" ht="15.75" customHeight="1">
      <c r="A34" s="88"/>
      <c r="B34" s="89"/>
      <c r="C34" s="93"/>
      <c r="D34" s="92"/>
      <c r="E34" s="11">
        <f t="shared" si="2"/>
        <v>1</v>
      </c>
      <c r="F34" s="11">
        <f t="shared" si="2"/>
        <v>3</v>
      </c>
      <c r="G34" s="11">
        <f t="shared" si="3"/>
        <v>7</v>
      </c>
      <c r="H34" s="11">
        <f t="shared" si="3"/>
        <v>15</v>
      </c>
      <c r="I34" s="11">
        <f t="shared" si="2"/>
        <v>31</v>
      </c>
      <c r="J34" s="11">
        <f t="shared" si="2"/>
        <v>63</v>
      </c>
      <c r="K34" s="11">
        <f t="shared" si="2"/>
        <v>0</v>
      </c>
      <c r="L34" s="11">
        <f t="shared" si="4"/>
        <v>0</v>
      </c>
      <c r="M34" s="11">
        <f t="shared" si="4"/>
        <v>0</v>
      </c>
      <c r="N34" s="17"/>
      <c r="O34" s="7"/>
      <c r="P34" s="7"/>
      <c r="Q34" s="7"/>
      <c r="R34" s="7"/>
      <c r="S34" s="7"/>
      <c r="T34" s="7"/>
      <c r="U34" s="7"/>
      <c r="V34" s="13"/>
      <c r="W34" s="13"/>
      <c r="X34" s="13"/>
      <c r="Y34" s="13"/>
    </row>
    <row r="35" spans="1:25" ht="15.75" customHeight="1">
      <c r="A35" s="88"/>
      <c r="B35" s="89"/>
      <c r="C35" s="93"/>
      <c r="D35" s="94"/>
      <c r="E35" s="11">
        <f t="shared" si="2"/>
        <v>1</v>
      </c>
      <c r="F35" s="11">
        <f t="shared" si="2"/>
        <v>3</v>
      </c>
      <c r="G35" s="11">
        <f t="shared" si="3"/>
        <v>7</v>
      </c>
      <c r="H35" s="11">
        <f t="shared" si="3"/>
        <v>15</v>
      </c>
      <c r="I35" s="11">
        <f t="shared" si="2"/>
        <v>31</v>
      </c>
      <c r="J35" s="11">
        <f t="shared" si="2"/>
        <v>63</v>
      </c>
      <c r="K35" s="11">
        <f t="shared" si="2"/>
        <v>0</v>
      </c>
      <c r="L35" s="11">
        <f t="shared" si="4"/>
        <v>0</v>
      </c>
      <c r="M35" s="11">
        <f t="shared" si="4"/>
        <v>0</v>
      </c>
      <c r="N35" s="17"/>
      <c r="O35" s="7"/>
      <c r="P35" s="7"/>
      <c r="Q35" s="7"/>
      <c r="R35" s="7"/>
      <c r="S35" s="7"/>
      <c r="T35" s="7"/>
      <c r="U35" s="7"/>
      <c r="V35" s="13"/>
      <c r="W35" s="13"/>
      <c r="X35" s="13"/>
      <c r="Y35" s="13"/>
    </row>
    <row r="36" spans="1:25" ht="15.75" customHeight="1">
      <c r="A36" s="88"/>
      <c r="B36" s="89"/>
      <c r="C36" s="93"/>
      <c r="D36" s="94"/>
      <c r="E36" s="11">
        <f t="shared" si="2"/>
        <v>1</v>
      </c>
      <c r="F36" s="11">
        <f t="shared" si="2"/>
        <v>3</v>
      </c>
      <c r="G36" s="11">
        <f t="shared" si="3"/>
        <v>7</v>
      </c>
      <c r="H36" s="11">
        <f t="shared" si="3"/>
        <v>15</v>
      </c>
      <c r="I36" s="11">
        <f t="shared" si="2"/>
        <v>31</v>
      </c>
      <c r="J36" s="11">
        <f t="shared" si="2"/>
        <v>63</v>
      </c>
      <c r="K36" s="11">
        <f t="shared" si="2"/>
        <v>0</v>
      </c>
      <c r="L36" s="11">
        <f t="shared" si="4"/>
        <v>0</v>
      </c>
      <c r="M36" s="11">
        <f t="shared" si="4"/>
        <v>0</v>
      </c>
      <c r="N36" s="17"/>
      <c r="O36" s="7"/>
      <c r="P36" s="7"/>
      <c r="Q36" s="7"/>
      <c r="R36" s="7"/>
      <c r="S36" s="7"/>
      <c r="T36" s="7"/>
      <c r="U36" s="7"/>
      <c r="V36" s="3"/>
      <c r="W36" s="3"/>
      <c r="X36" s="3"/>
      <c r="Y36" s="3"/>
    </row>
    <row r="37" spans="1:25" ht="15.75" customHeight="1">
      <c r="A37" s="88"/>
      <c r="B37" s="89"/>
      <c r="C37" s="93"/>
      <c r="D37" s="94"/>
      <c r="E37" s="11">
        <f t="shared" si="2"/>
        <v>1</v>
      </c>
      <c r="F37" s="11">
        <f t="shared" si="2"/>
        <v>3</v>
      </c>
      <c r="G37" s="11">
        <f t="shared" si="3"/>
        <v>7</v>
      </c>
      <c r="H37" s="11">
        <f t="shared" si="3"/>
        <v>15</v>
      </c>
      <c r="I37" s="11">
        <f t="shared" si="2"/>
        <v>31</v>
      </c>
      <c r="J37" s="11">
        <f t="shared" si="2"/>
        <v>63</v>
      </c>
      <c r="K37" s="11">
        <f t="shared" si="2"/>
        <v>0</v>
      </c>
      <c r="L37" s="11">
        <f t="shared" si="4"/>
        <v>0</v>
      </c>
      <c r="M37" s="11">
        <f t="shared" si="4"/>
        <v>0</v>
      </c>
      <c r="N37" s="17"/>
      <c r="O37" s="7"/>
      <c r="P37" s="7"/>
      <c r="Q37" s="7"/>
      <c r="R37" s="7"/>
      <c r="S37" s="7"/>
      <c r="T37" s="7"/>
      <c r="U37" s="7"/>
      <c r="V37" s="3"/>
      <c r="W37" s="3"/>
      <c r="X37" s="3"/>
      <c r="Y37" s="3"/>
    </row>
    <row r="38" spans="1:25" ht="15.75" customHeight="1">
      <c r="A38" s="88"/>
      <c r="B38" s="89"/>
      <c r="C38" s="93"/>
      <c r="D38" s="94"/>
      <c r="E38" s="11">
        <f t="shared" si="2"/>
        <v>1</v>
      </c>
      <c r="F38" s="11">
        <f t="shared" si="2"/>
        <v>3</v>
      </c>
      <c r="G38" s="11">
        <f t="shared" si="3"/>
        <v>7</v>
      </c>
      <c r="H38" s="11">
        <f t="shared" si="3"/>
        <v>15</v>
      </c>
      <c r="I38" s="11">
        <f t="shared" si="2"/>
        <v>31</v>
      </c>
      <c r="J38" s="11">
        <f t="shared" si="2"/>
        <v>63</v>
      </c>
      <c r="K38" s="11">
        <f t="shared" si="2"/>
        <v>0</v>
      </c>
      <c r="L38" s="11">
        <f t="shared" si="4"/>
        <v>0</v>
      </c>
      <c r="M38" s="11">
        <f t="shared" si="4"/>
        <v>0</v>
      </c>
      <c r="N38" s="17"/>
      <c r="O38" s="7"/>
      <c r="P38" s="7"/>
      <c r="Q38" s="7"/>
      <c r="R38" s="7"/>
      <c r="S38" s="7"/>
      <c r="T38" s="7"/>
      <c r="U38" s="7"/>
      <c r="V38" s="3"/>
      <c r="W38" s="3"/>
      <c r="X38" s="3"/>
      <c r="Y38" s="3"/>
    </row>
    <row r="39" spans="1:25" ht="15.75" customHeight="1">
      <c r="A39" s="88"/>
      <c r="B39" s="95"/>
      <c r="C39" s="93"/>
      <c r="D39" s="96"/>
      <c r="E39" s="11">
        <f t="shared" si="2"/>
        <v>1</v>
      </c>
      <c r="F39" s="11">
        <f t="shared" si="2"/>
        <v>3</v>
      </c>
      <c r="G39" s="11">
        <f t="shared" si="3"/>
        <v>7</v>
      </c>
      <c r="H39" s="11">
        <f t="shared" si="3"/>
        <v>15</v>
      </c>
      <c r="I39" s="11">
        <f t="shared" si="2"/>
        <v>31</v>
      </c>
      <c r="J39" s="11">
        <f t="shared" si="2"/>
        <v>63</v>
      </c>
      <c r="K39" s="11">
        <f t="shared" si="2"/>
        <v>0</v>
      </c>
      <c r="L39" s="11">
        <f t="shared" si="4"/>
        <v>0</v>
      </c>
      <c r="M39" s="11">
        <f t="shared" si="4"/>
        <v>0</v>
      </c>
      <c r="N39" s="17"/>
      <c r="O39" s="7"/>
      <c r="P39" s="7"/>
      <c r="Q39" s="7"/>
      <c r="R39" s="7"/>
      <c r="S39" s="7"/>
      <c r="T39" s="7"/>
      <c r="U39" s="7"/>
      <c r="V39" s="3"/>
      <c r="W39" s="3"/>
      <c r="X39" s="3"/>
      <c r="Y39" s="3"/>
    </row>
    <row r="40" spans="1:25" ht="15.75" customHeight="1">
      <c r="A40" s="88"/>
      <c r="B40" s="95"/>
      <c r="C40" s="93"/>
      <c r="D40" s="97"/>
      <c r="E40" s="11">
        <f t="shared" si="2"/>
        <v>1</v>
      </c>
      <c r="F40" s="11">
        <f t="shared" si="2"/>
        <v>3</v>
      </c>
      <c r="G40" s="11">
        <f t="shared" si="3"/>
        <v>7</v>
      </c>
      <c r="H40" s="11">
        <f t="shared" si="3"/>
        <v>15</v>
      </c>
      <c r="I40" s="11">
        <f t="shared" si="2"/>
        <v>31</v>
      </c>
      <c r="J40" s="11">
        <f t="shared" si="2"/>
        <v>63</v>
      </c>
      <c r="K40" s="11">
        <f t="shared" si="2"/>
        <v>0</v>
      </c>
      <c r="L40" s="11">
        <f t="shared" si="4"/>
        <v>0</v>
      </c>
      <c r="M40" s="11">
        <f t="shared" si="4"/>
        <v>0</v>
      </c>
      <c r="N40" s="17"/>
      <c r="O40" s="7"/>
      <c r="P40" s="7"/>
      <c r="Q40" s="7"/>
      <c r="R40" s="7"/>
      <c r="S40" s="7"/>
      <c r="T40" s="7"/>
      <c r="U40" s="7"/>
      <c r="V40" s="3"/>
      <c r="W40" s="3"/>
      <c r="X40" s="3"/>
      <c r="Y40" s="3"/>
    </row>
    <row r="41" spans="1:25" ht="15.75" customHeight="1">
      <c r="A41" s="88"/>
      <c r="B41" s="95"/>
      <c r="C41" s="93"/>
      <c r="D41" s="98"/>
      <c r="E41" s="11">
        <f t="shared" si="2"/>
        <v>1</v>
      </c>
      <c r="F41" s="11">
        <f t="shared" si="2"/>
        <v>3</v>
      </c>
      <c r="G41" s="11">
        <f t="shared" si="3"/>
        <v>7</v>
      </c>
      <c r="H41" s="11">
        <f t="shared" si="3"/>
        <v>15</v>
      </c>
      <c r="I41" s="11">
        <f t="shared" si="2"/>
        <v>31</v>
      </c>
      <c r="J41" s="11">
        <f t="shared" si="2"/>
        <v>63</v>
      </c>
      <c r="K41" s="11">
        <f t="shared" si="2"/>
        <v>0</v>
      </c>
      <c r="L41" s="11">
        <f t="shared" si="4"/>
        <v>0</v>
      </c>
      <c r="M41" s="11">
        <f t="shared" si="4"/>
        <v>0</v>
      </c>
      <c r="N41" s="17"/>
      <c r="O41" s="7"/>
      <c r="P41" s="7"/>
      <c r="Q41" s="7"/>
      <c r="R41" s="7"/>
      <c r="S41" s="7"/>
      <c r="T41" s="7"/>
      <c r="U41" s="7"/>
      <c r="V41" s="3"/>
      <c r="W41" s="3"/>
      <c r="X41" s="3"/>
      <c r="Y41" s="3"/>
    </row>
    <row r="42" spans="1:25" ht="15.75" customHeight="1">
      <c r="A42" s="88"/>
      <c r="B42" s="95"/>
      <c r="C42" s="93"/>
      <c r="D42" s="98"/>
      <c r="E42" s="11">
        <f t="shared" si="2"/>
        <v>1</v>
      </c>
      <c r="F42" s="11">
        <f t="shared" si="2"/>
        <v>3</v>
      </c>
      <c r="G42" s="11">
        <f t="shared" si="3"/>
        <v>7</v>
      </c>
      <c r="H42" s="11">
        <f t="shared" si="3"/>
        <v>15</v>
      </c>
      <c r="I42" s="11">
        <f t="shared" si="2"/>
        <v>31</v>
      </c>
      <c r="J42" s="11">
        <f t="shared" si="2"/>
        <v>63</v>
      </c>
      <c r="K42" s="11">
        <f t="shared" si="2"/>
        <v>0</v>
      </c>
      <c r="L42" s="11">
        <f t="shared" si="4"/>
        <v>0</v>
      </c>
      <c r="M42" s="11">
        <f t="shared" si="4"/>
        <v>0</v>
      </c>
      <c r="N42" s="17"/>
      <c r="O42" s="7"/>
      <c r="P42" s="7"/>
      <c r="Q42" s="7"/>
      <c r="R42" s="7"/>
      <c r="S42" s="7"/>
      <c r="T42" s="7"/>
      <c r="U42" s="7"/>
      <c r="V42" s="3"/>
      <c r="W42" s="3"/>
      <c r="X42" s="3"/>
      <c r="Y42" s="3"/>
    </row>
    <row r="43" spans="1:25" ht="15.75" customHeight="1">
      <c r="A43" s="88"/>
      <c r="B43" s="95"/>
      <c r="C43" s="93"/>
      <c r="D43" s="98"/>
      <c r="E43" s="11">
        <f t="shared" si="2"/>
        <v>1</v>
      </c>
      <c r="F43" s="11">
        <f t="shared" si="2"/>
        <v>3</v>
      </c>
      <c r="G43" s="11">
        <f t="shared" si="3"/>
        <v>7</v>
      </c>
      <c r="H43" s="11">
        <f t="shared" si="3"/>
        <v>15</v>
      </c>
      <c r="I43" s="11">
        <f t="shared" si="2"/>
        <v>31</v>
      </c>
      <c r="J43" s="11">
        <f t="shared" si="2"/>
        <v>63</v>
      </c>
      <c r="K43" s="11">
        <f t="shared" si="2"/>
        <v>0</v>
      </c>
      <c r="L43" s="11">
        <f t="shared" si="4"/>
        <v>0</v>
      </c>
      <c r="M43" s="11">
        <f t="shared" si="4"/>
        <v>0</v>
      </c>
      <c r="N43" s="1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</row>
    <row r="44" spans="1:25" ht="15.75" customHeight="1">
      <c r="A44" s="88"/>
      <c r="B44" s="95"/>
      <c r="C44" s="93"/>
      <c r="D44" s="98"/>
      <c r="E44" s="11">
        <f t="shared" si="2"/>
        <v>1</v>
      </c>
      <c r="F44" s="11">
        <f t="shared" si="2"/>
        <v>3</v>
      </c>
      <c r="G44" s="11">
        <f t="shared" si="3"/>
        <v>7</v>
      </c>
      <c r="H44" s="11">
        <f t="shared" si="3"/>
        <v>15</v>
      </c>
      <c r="I44" s="11">
        <f t="shared" si="2"/>
        <v>31</v>
      </c>
      <c r="J44" s="11">
        <f t="shared" si="2"/>
        <v>63</v>
      </c>
      <c r="K44" s="11">
        <f t="shared" si="2"/>
        <v>0</v>
      </c>
      <c r="L44" s="11">
        <f t="shared" si="4"/>
        <v>0</v>
      </c>
      <c r="M44" s="11">
        <f t="shared" si="4"/>
        <v>0</v>
      </c>
      <c r="N44" s="1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</row>
    <row r="45" spans="1:2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</row>
    <row r="46" spans="1:25" ht="15.75" customHeight="1">
      <c r="A46" s="88"/>
      <c r="B46" s="95"/>
      <c r="C46" s="99"/>
      <c r="D46" s="100"/>
      <c r="E46" s="83">
        <f t="shared" si="2"/>
        <v>1</v>
      </c>
      <c r="F46" s="11">
        <f t="shared" si="2"/>
        <v>3</v>
      </c>
      <c r="G46" s="11">
        <f t="shared" ref="G46:H70" si="5">$D46+G$5</f>
        <v>7</v>
      </c>
      <c r="H46" s="11">
        <f t="shared" si="5"/>
        <v>15</v>
      </c>
      <c r="I46" s="11">
        <f t="shared" si="2"/>
        <v>31</v>
      </c>
      <c r="J46" s="11">
        <f t="shared" si="2"/>
        <v>63</v>
      </c>
      <c r="K46" s="11">
        <f t="shared" si="2"/>
        <v>0</v>
      </c>
      <c r="L46" s="11">
        <f t="shared" ref="L46:M61" si="6">$D46+L$5</f>
        <v>0</v>
      </c>
      <c r="M46" s="11">
        <f t="shared" si="6"/>
        <v>0</v>
      </c>
      <c r="N46" s="17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</row>
    <row r="47" spans="1:25" ht="15.75" customHeight="1">
      <c r="A47" s="88"/>
      <c r="B47" s="95"/>
      <c r="C47" s="99"/>
      <c r="D47" s="101"/>
      <c r="E47" s="83">
        <f t="shared" si="2"/>
        <v>1</v>
      </c>
      <c r="F47" s="11">
        <f t="shared" si="2"/>
        <v>3</v>
      </c>
      <c r="G47" s="11">
        <f t="shared" si="5"/>
        <v>7</v>
      </c>
      <c r="H47" s="11">
        <f t="shared" si="5"/>
        <v>15</v>
      </c>
      <c r="I47" s="11">
        <f t="shared" si="2"/>
        <v>31</v>
      </c>
      <c r="J47" s="11">
        <f t="shared" si="2"/>
        <v>63</v>
      </c>
      <c r="K47" s="11">
        <f t="shared" ref="K47:M70" si="7">$D47+K$5</f>
        <v>0</v>
      </c>
      <c r="L47" s="11">
        <f t="shared" si="6"/>
        <v>0</v>
      </c>
      <c r="M47" s="11">
        <f t="shared" si="6"/>
        <v>0</v>
      </c>
      <c r="N47" s="1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</row>
    <row r="48" spans="1:25" ht="15.75" customHeight="1">
      <c r="A48" s="88"/>
      <c r="B48" s="95"/>
      <c r="C48" s="99"/>
      <c r="D48" s="101"/>
      <c r="E48" s="83">
        <f t="shared" si="2"/>
        <v>1</v>
      </c>
      <c r="F48" s="11">
        <f t="shared" si="2"/>
        <v>3</v>
      </c>
      <c r="G48" s="11">
        <f t="shared" si="5"/>
        <v>7</v>
      </c>
      <c r="H48" s="11">
        <f t="shared" si="5"/>
        <v>15</v>
      </c>
      <c r="I48" s="11">
        <f t="shared" si="2"/>
        <v>31</v>
      </c>
      <c r="J48" s="11">
        <f t="shared" si="2"/>
        <v>63</v>
      </c>
      <c r="K48" s="11">
        <f t="shared" si="7"/>
        <v>0</v>
      </c>
      <c r="L48" s="11">
        <f t="shared" si="6"/>
        <v>0</v>
      </c>
      <c r="M48" s="11">
        <f t="shared" si="6"/>
        <v>0</v>
      </c>
      <c r="N48" s="1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</row>
    <row r="49" spans="1:25" ht="15.75" customHeight="1">
      <c r="A49" s="88"/>
      <c r="B49" s="95"/>
      <c r="C49" s="99"/>
      <c r="D49" s="101"/>
      <c r="E49" s="83">
        <f t="shared" si="2"/>
        <v>1</v>
      </c>
      <c r="F49" s="11">
        <f t="shared" si="2"/>
        <v>3</v>
      </c>
      <c r="G49" s="11">
        <f t="shared" si="5"/>
        <v>7</v>
      </c>
      <c r="H49" s="11">
        <f t="shared" si="5"/>
        <v>15</v>
      </c>
      <c r="I49" s="11">
        <f t="shared" si="2"/>
        <v>31</v>
      </c>
      <c r="J49" s="11">
        <f t="shared" si="2"/>
        <v>63</v>
      </c>
      <c r="K49" s="11">
        <f t="shared" si="7"/>
        <v>0</v>
      </c>
      <c r="L49" s="11">
        <f t="shared" si="6"/>
        <v>0</v>
      </c>
      <c r="M49" s="11">
        <f t="shared" si="6"/>
        <v>0</v>
      </c>
      <c r="N49" s="1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</row>
    <row r="50" spans="1:25" ht="15.75" customHeight="1">
      <c r="A50" s="88"/>
      <c r="B50" s="95"/>
      <c r="C50" s="99"/>
      <c r="D50" s="101"/>
      <c r="E50" s="83">
        <f t="shared" si="2"/>
        <v>1</v>
      </c>
      <c r="F50" s="11">
        <f t="shared" si="2"/>
        <v>3</v>
      </c>
      <c r="G50" s="11">
        <f t="shared" si="5"/>
        <v>7</v>
      </c>
      <c r="H50" s="11">
        <f t="shared" si="5"/>
        <v>15</v>
      </c>
      <c r="I50" s="11">
        <f t="shared" si="2"/>
        <v>31</v>
      </c>
      <c r="J50" s="11">
        <f t="shared" si="2"/>
        <v>63</v>
      </c>
      <c r="K50" s="11">
        <f t="shared" si="7"/>
        <v>0</v>
      </c>
      <c r="L50" s="11">
        <f t="shared" si="6"/>
        <v>0</v>
      </c>
      <c r="M50" s="11">
        <f t="shared" si="6"/>
        <v>0</v>
      </c>
      <c r="N50" s="1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</row>
    <row r="51" spans="1:25" ht="15.75" customHeight="1">
      <c r="A51" s="109"/>
      <c r="B51" s="95"/>
      <c r="C51" s="99"/>
      <c r="D51" s="101"/>
      <c r="E51" s="83">
        <f t="shared" si="2"/>
        <v>1</v>
      </c>
      <c r="F51" s="11">
        <f t="shared" si="2"/>
        <v>3</v>
      </c>
      <c r="G51" s="11">
        <f t="shared" si="5"/>
        <v>7</v>
      </c>
      <c r="H51" s="11">
        <f t="shared" si="5"/>
        <v>15</v>
      </c>
      <c r="I51" s="11">
        <f t="shared" si="2"/>
        <v>31</v>
      </c>
      <c r="J51" s="11">
        <f t="shared" si="2"/>
        <v>63</v>
      </c>
      <c r="K51" s="11">
        <f t="shared" si="7"/>
        <v>0</v>
      </c>
      <c r="L51" s="11">
        <f t="shared" si="6"/>
        <v>0</v>
      </c>
      <c r="M51" s="11">
        <f t="shared" si="6"/>
        <v>0</v>
      </c>
      <c r="N51" s="1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</row>
    <row r="52" spans="1:25" ht="15.75" customHeight="1">
      <c r="A52" s="88"/>
      <c r="B52" s="95"/>
      <c r="C52" s="99"/>
      <c r="D52" s="101"/>
      <c r="E52" s="83">
        <f t="shared" si="2"/>
        <v>1</v>
      </c>
      <c r="F52" s="11">
        <f t="shared" si="2"/>
        <v>3</v>
      </c>
      <c r="G52" s="11">
        <f t="shared" si="5"/>
        <v>7</v>
      </c>
      <c r="H52" s="11">
        <f t="shared" si="5"/>
        <v>15</v>
      </c>
      <c r="I52" s="11">
        <f t="shared" si="2"/>
        <v>31</v>
      </c>
      <c r="J52" s="11">
        <f t="shared" si="2"/>
        <v>63</v>
      </c>
      <c r="K52" s="11">
        <f t="shared" si="7"/>
        <v>0</v>
      </c>
      <c r="L52" s="11">
        <f t="shared" si="6"/>
        <v>0</v>
      </c>
      <c r="M52" s="11">
        <f t="shared" si="6"/>
        <v>0</v>
      </c>
      <c r="N52" s="1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</row>
    <row r="53" spans="1:25" ht="15.75" customHeight="1">
      <c r="A53" s="88"/>
      <c r="B53" s="95"/>
      <c r="C53" s="99"/>
      <c r="D53" s="101"/>
      <c r="E53" s="83">
        <f t="shared" si="2"/>
        <v>1</v>
      </c>
      <c r="F53" s="11">
        <f t="shared" si="2"/>
        <v>3</v>
      </c>
      <c r="G53" s="11">
        <f t="shared" si="5"/>
        <v>7</v>
      </c>
      <c r="H53" s="11">
        <f t="shared" si="5"/>
        <v>15</v>
      </c>
      <c r="I53" s="11">
        <f t="shared" si="2"/>
        <v>31</v>
      </c>
      <c r="J53" s="11">
        <f t="shared" si="2"/>
        <v>63</v>
      </c>
      <c r="K53" s="11">
        <f t="shared" si="7"/>
        <v>0</v>
      </c>
      <c r="L53" s="11">
        <f t="shared" si="6"/>
        <v>0</v>
      </c>
      <c r="M53" s="11">
        <f t="shared" si="6"/>
        <v>0</v>
      </c>
      <c r="N53" s="1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</row>
    <row r="54" spans="1:25" ht="15.75" customHeight="1">
      <c r="A54" s="88"/>
      <c r="B54" s="95"/>
      <c r="C54" s="99"/>
      <c r="D54" s="102"/>
      <c r="E54" s="83">
        <f t="shared" si="2"/>
        <v>1</v>
      </c>
      <c r="F54" s="11">
        <f t="shared" si="2"/>
        <v>3</v>
      </c>
      <c r="G54" s="11">
        <f t="shared" si="5"/>
        <v>7</v>
      </c>
      <c r="H54" s="11">
        <f t="shared" si="5"/>
        <v>15</v>
      </c>
      <c r="I54" s="11">
        <f t="shared" si="2"/>
        <v>31</v>
      </c>
      <c r="J54" s="11">
        <f t="shared" si="2"/>
        <v>63</v>
      </c>
      <c r="K54" s="11">
        <f t="shared" si="7"/>
        <v>0</v>
      </c>
      <c r="L54" s="11">
        <f t="shared" si="6"/>
        <v>0</v>
      </c>
      <c r="M54" s="11">
        <f t="shared" si="6"/>
        <v>0</v>
      </c>
      <c r="N54" s="1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</row>
    <row r="55" spans="1:25" ht="15.75" customHeight="1">
      <c r="A55" s="88"/>
      <c r="B55" s="95"/>
      <c r="C55" s="99"/>
      <c r="D55" s="102"/>
      <c r="E55" s="83">
        <f t="shared" si="2"/>
        <v>1</v>
      </c>
      <c r="F55" s="11">
        <f t="shared" si="2"/>
        <v>3</v>
      </c>
      <c r="G55" s="11">
        <f t="shared" si="5"/>
        <v>7</v>
      </c>
      <c r="H55" s="11">
        <f t="shared" si="5"/>
        <v>15</v>
      </c>
      <c r="I55" s="11">
        <f t="shared" si="2"/>
        <v>31</v>
      </c>
      <c r="J55" s="11">
        <f t="shared" si="2"/>
        <v>63</v>
      </c>
      <c r="K55" s="11">
        <f t="shared" si="7"/>
        <v>0</v>
      </c>
      <c r="L55" s="11">
        <f t="shared" si="6"/>
        <v>0</v>
      </c>
      <c r="M55" s="11">
        <f t="shared" si="6"/>
        <v>0</v>
      </c>
      <c r="N55" s="1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</row>
    <row r="56" spans="1:25" ht="15.75" customHeight="1">
      <c r="A56" s="88"/>
      <c r="B56" s="95"/>
      <c r="C56" s="99"/>
      <c r="D56" s="102"/>
      <c r="E56" s="83">
        <f t="shared" si="2"/>
        <v>1</v>
      </c>
      <c r="F56" s="11">
        <f t="shared" si="2"/>
        <v>3</v>
      </c>
      <c r="G56" s="11">
        <f t="shared" si="5"/>
        <v>7</v>
      </c>
      <c r="H56" s="11">
        <f t="shared" si="5"/>
        <v>15</v>
      </c>
      <c r="I56" s="11">
        <f t="shared" si="2"/>
        <v>31</v>
      </c>
      <c r="J56" s="11">
        <f t="shared" si="2"/>
        <v>63</v>
      </c>
      <c r="K56" s="11">
        <f t="shared" si="7"/>
        <v>0</v>
      </c>
      <c r="L56" s="11">
        <f t="shared" si="6"/>
        <v>0</v>
      </c>
      <c r="M56" s="11">
        <f t="shared" si="6"/>
        <v>0</v>
      </c>
      <c r="N56" s="1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</row>
    <row r="57" spans="1:25" ht="15.75" customHeight="1">
      <c r="A57" s="88"/>
      <c r="B57" s="95"/>
      <c r="C57" s="99"/>
      <c r="D57" s="101"/>
      <c r="E57" s="83">
        <f t="shared" si="2"/>
        <v>1</v>
      </c>
      <c r="F57" s="11">
        <f t="shared" si="2"/>
        <v>3</v>
      </c>
      <c r="G57" s="11">
        <f t="shared" si="5"/>
        <v>7</v>
      </c>
      <c r="H57" s="11">
        <f t="shared" si="5"/>
        <v>15</v>
      </c>
      <c r="I57" s="11">
        <f t="shared" si="2"/>
        <v>31</v>
      </c>
      <c r="J57" s="11">
        <f t="shared" si="2"/>
        <v>63</v>
      </c>
      <c r="K57" s="11">
        <f t="shared" si="7"/>
        <v>0</v>
      </c>
      <c r="L57" s="11">
        <f t="shared" si="6"/>
        <v>0</v>
      </c>
      <c r="M57" s="11">
        <f t="shared" si="6"/>
        <v>0</v>
      </c>
      <c r="N57" s="1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</row>
    <row r="58" spans="1:25" ht="15.75" customHeight="1">
      <c r="A58" s="88"/>
      <c r="B58" s="95"/>
      <c r="C58" s="99"/>
      <c r="D58" s="101"/>
      <c r="E58" s="83">
        <f t="shared" si="2"/>
        <v>1</v>
      </c>
      <c r="F58" s="11">
        <f t="shared" si="2"/>
        <v>3</v>
      </c>
      <c r="G58" s="11">
        <f t="shared" si="5"/>
        <v>7</v>
      </c>
      <c r="H58" s="11">
        <f t="shared" si="5"/>
        <v>15</v>
      </c>
      <c r="I58" s="11">
        <f t="shared" ref="E58:M73" si="8">$D58+I$5</f>
        <v>31</v>
      </c>
      <c r="J58" s="11">
        <f t="shared" si="8"/>
        <v>63</v>
      </c>
      <c r="K58" s="11">
        <f t="shared" si="7"/>
        <v>0</v>
      </c>
      <c r="L58" s="11">
        <f t="shared" si="6"/>
        <v>0</v>
      </c>
      <c r="M58" s="11">
        <f t="shared" si="6"/>
        <v>0</v>
      </c>
      <c r="N58" s="1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</row>
    <row r="59" spans="1:25" ht="15.75" customHeight="1">
      <c r="A59" s="88"/>
      <c r="B59" s="95"/>
      <c r="C59" s="99"/>
      <c r="D59" s="101"/>
      <c r="E59" s="83">
        <f t="shared" si="8"/>
        <v>1</v>
      </c>
      <c r="F59" s="11">
        <f t="shared" si="8"/>
        <v>3</v>
      </c>
      <c r="G59" s="11">
        <f t="shared" si="5"/>
        <v>7</v>
      </c>
      <c r="H59" s="11">
        <f t="shared" si="5"/>
        <v>15</v>
      </c>
      <c r="I59" s="11">
        <f t="shared" si="8"/>
        <v>31</v>
      </c>
      <c r="J59" s="11">
        <f t="shared" si="8"/>
        <v>63</v>
      </c>
      <c r="K59" s="11">
        <f t="shared" si="7"/>
        <v>0</v>
      </c>
      <c r="L59" s="11">
        <f t="shared" si="6"/>
        <v>0</v>
      </c>
      <c r="M59" s="11">
        <f t="shared" si="6"/>
        <v>0</v>
      </c>
      <c r="N59" s="1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</row>
    <row r="60" spans="1:25" ht="15.75" customHeight="1">
      <c r="A60" s="88"/>
      <c r="B60" s="95"/>
      <c r="C60" s="99"/>
      <c r="D60" s="101"/>
      <c r="E60" s="83">
        <f t="shared" si="8"/>
        <v>1</v>
      </c>
      <c r="F60" s="11">
        <f t="shared" si="8"/>
        <v>3</v>
      </c>
      <c r="G60" s="11">
        <f t="shared" si="5"/>
        <v>7</v>
      </c>
      <c r="H60" s="11">
        <f t="shared" si="5"/>
        <v>15</v>
      </c>
      <c r="I60" s="11">
        <f t="shared" si="8"/>
        <v>31</v>
      </c>
      <c r="J60" s="11">
        <f t="shared" si="8"/>
        <v>63</v>
      </c>
      <c r="K60" s="11">
        <f t="shared" si="7"/>
        <v>0</v>
      </c>
      <c r="L60" s="11">
        <f t="shared" si="6"/>
        <v>0</v>
      </c>
      <c r="M60" s="11">
        <f t="shared" si="6"/>
        <v>0</v>
      </c>
      <c r="N60" s="1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</row>
    <row r="61" spans="1:25" ht="15.75" customHeight="1">
      <c r="A61" s="88"/>
      <c r="B61" s="95"/>
      <c r="C61" s="99"/>
      <c r="D61" s="101"/>
      <c r="E61" s="83">
        <f t="shared" si="8"/>
        <v>1</v>
      </c>
      <c r="F61" s="11">
        <f t="shared" si="8"/>
        <v>3</v>
      </c>
      <c r="G61" s="11">
        <f t="shared" si="5"/>
        <v>7</v>
      </c>
      <c r="H61" s="11">
        <f t="shared" si="5"/>
        <v>15</v>
      </c>
      <c r="I61" s="11">
        <f t="shared" si="8"/>
        <v>31</v>
      </c>
      <c r="J61" s="11">
        <f t="shared" si="8"/>
        <v>63</v>
      </c>
      <c r="K61" s="11">
        <f t="shared" si="7"/>
        <v>0</v>
      </c>
      <c r="L61" s="11">
        <f t="shared" si="6"/>
        <v>0</v>
      </c>
      <c r="M61" s="11">
        <f t="shared" si="6"/>
        <v>0</v>
      </c>
      <c r="N61" s="1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</row>
    <row r="62" spans="1:25" ht="15.75" customHeight="1">
      <c r="A62" s="88"/>
      <c r="B62" s="95"/>
      <c r="C62" s="99"/>
      <c r="D62" s="101"/>
      <c r="E62" s="83">
        <f t="shared" si="8"/>
        <v>1</v>
      </c>
      <c r="F62" s="11">
        <f t="shared" si="8"/>
        <v>3</v>
      </c>
      <c r="G62" s="11">
        <f t="shared" si="5"/>
        <v>7</v>
      </c>
      <c r="H62" s="11">
        <f t="shared" si="5"/>
        <v>15</v>
      </c>
      <c r="I62" s="11">
        <f t="shared" si="8"/>
        <v>31</v>
      </c>
      <c r="J62" s="11">
        <f t="shared" si="8"/>
        <v>63</v>
      </c>
      <c r="K62" s="11">
        <f t="shared" si="7"/>
        <v>0</v>
      </c>
      <c r="L62" s="11">
        <f t="shared" si="7"/>
        <v>0</v>
      </c>
      <c r="M62" s="11">
        <f t="shared" si="7"/>
        <v>0</v>
      </c>
      <c r="N62" s="1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</row>
    <row r="63" spans="1:25" ht="15.75" customHeight="1">
      <c r="A63" s="88"/>
      <c r="B63" s="95"/>
      <c r="C63" s="99"/>
      <c r="D63" s="101"/>
      <c r="E63" s="83">
        <f t="shared" si="8"/>
        <v>1</v>
      </c>
      <c r="F63" s="11">
        <f t="shared" si="8"/>
        <v>3</v>
      </c>
      <c r="G63" s="11">
        <f t="shared" si="5"/>
        <v>7</v>
      </c>
      <c r="H63" s="11">
        <f t="shared" si="5"/>
        <v>15</v>
      </c>
      <c r="I63" s="11">
        <f t="shared" si="8"/>
        <v>31</v>
      </c>
      <c r="J63" s="11">
        <f t="shared" si="8"/>
        <v>63</v>
      </c>
      <c r="K63" s="11">
        <f t="shared" si="7"/>
        <v>0</v>
      </c>
      <c r="L63" s="11">
        <f t="shared" si="7"/>
        <v>0</v>
      </c>
      <c r="M63" s="11">
        <f t="shared" si="7"/>
        <v>0</v>
      </c>
      <c r="N63" s="1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</row>
    <row r="64" spans="1:25" ht="15.75" customHeight="1">
      <c r="A64" s="88"/>
      <c r="B64" s="95"/>
      <c r="C64" s="99"/>
      <c r="D64" s="101"/>
      <c r="E64" s="83">
        <f t="shared" si="8"/>
        <v>1</v>
      </c>
      <c r="F64" s="11">
        <f t="shared" si="8"/>
        <v>3</v>
      </c>
      <c r="G64" s="11">
        <f t="shared" si="5"/>
        <v>7</v>
      </c>
      <c r="H64" s="11">
        <f t="shared" si="5"/>
        <v>15</v>
      </c>
      <c r="I64" s="11">
        <f t="shared" si="8"/>
        <v>31</v>
      </c>
      <c r="J64" s="11">
        <f t="shared" si="8"/>
        <v>63</v>
      </c>
      <c r="K64" s="11">
        <f t="shared" si="7"/>
        <v>0</v>
      </c>
      <c r="L64" s="11">
        <f t="shared" si="7"/>
        <v>0</v>
      </c>
      <c r="M64" s="11">
        <f t="shared" si="7"/>
        <v>0</v>
      </c>
      <c r="N64" s="17"/>
      <c r="O64" s="7"/>
      <c r="P64" s="7"/>
      <c r="Q64" s="7"/>
      <c r="R64" s="7"/>
      <c r="S64" s="7"/>
      <c r="T64" s="7"/>
      <c r="U64" s="7"/>
      <c r="V64" s="3"/>
      <c r="W64" s="3"/>
      <c r="X64" s="3"/>
      <c r="Y64" s="3"/>
    </row>
    <row r="65" spans="1:25" ht="15.75" customHeight="1">
      <c r="A65" s="88"/>
      <c r="B65" s="95"/>
      <c r="C65" s="99"/>
      <c r="D65" s="101"/>
      <c r="E65" s="83">
        <f t="shared" si="8"/>
        <v>1</v>
      </c>
      <c r="F65" s="11">
        <f t="shared" si="8"/>
        <v>3</v>
      </c>
      <c r="G65" s="11">
        <f t="shared" si="5"/>
        <v>7</v>
      </c>
      <c r="H65" s="11">
        <f t="shared" si="5"/>
        <v>15</v>
      </c>
      <c r="I65" s="11">
        <f t="shared" si="8"/>
        <v>31</v>
      </c>
      <c r="J65" s="11">
        <f t="shared" si="8"/>
        <v>63</v>
      </c>
      <c r="K65" s="11">
        <f t="shared" si="7"/>
        <v>0</v>
      </c>
      <c r="L65" s="11">
        <f t="shared" si="7"/>
        <v>0</v>
      </c>
      <c r="M65" s="11">
        <f t="shared" si="7"/>
        <v>0</v>
      </c>
      <c r="N65" s="17"/>
      <c r="O65" s="7"/>
      <c r="P65" s="7"/>
      <c r="Q65" s="7"/>
      <c r="R65" s="7"/>
      <c r="S65" s="7"/>
      <c r="T65" s="7"/>
      <c r="U65" s="7"/>
      <c r="V65" s="3"/>
      <c r="W65" s="3"/>
      <c r="X65" s="3"/>
      <c r="Y65" s="3"/>
    </row>
    <row r="66" spans="1:25" ht="15.75" customHeight="1">
      <c r="A66" s="88"/>
      <c r="B66" s="95"/>
      <c r="C66" s="99"/>
      <c r="D66" s="101"/>
      <c r="E66" s="83">
        <f t="shared" si="8"/>
        <v>1</v>
      </c>
      <c r="F66" s="11">
        <f t="shared" si="8"/>
        <v>3</v>
      </c>
      <c r="G66" s="11">
        <f t="shared" si="5"/>
        <v>7</v>
      </c>
      <c r="H66" s="11">
        <f t="shared" si="5"/>
        <v>15</v>
      </c>
      <c r="I66" s="11">
        <f t="shared" si="8"/>
        <v>31</v>
      </c>
      <c r="J66" s="11">
        <f t="shared" si="8"/>
        <v>63</v>
      </c>
      <c r="K66" s="11">
        <f t="shared" si="7"/>
        <v>0</v>
      </c>
      <c r="L66" s="11">
        <f t="shared" si="7"/>
        <v>0</v>
      </c>
      <c r="M66" s="11">
        <f t="shared" si="7"/>
        <v>0</v>
      </c>
      <c r="N66" s="17"/>
      <c r="O66" s="7"/>
      <c r="P66" s="7"/>
      <c r="Q66" s="7"/>
      <c r="R66" s="7"/>
      <c r="S66" s="7"/>
      <c r="T66" s="7"/>
      <c r="U66" s="7"/>
      <c r="V66" s="3"/>
      <c r="W66" s="3"/>
      <c r="X66" s="3"/>
      <c r="Y66" s="3"/>
    </row>
    <row r="67" spans="1:25" ht="15.75" customHeight="1">
      <c r="A67" s="88"/>
      <c r="B67" s="95"/>
      <c r="C67" s="99"/>
      <c r="D67" s="101"/>
      <c r="E67" s="83">
        <f t="shared" si="8"/>
        <v>1</v>
      </c>
      <c r="F67" s="11">
        <f t="shared" si="8"/>
        <v>3</v>
      </c>
      <c r="G67" s="11">
        <f t="shared" si="5"/>
        <v>7</v>
      </c>
      <c r="H67" s="11">
        <f t="shared" si="5"/>
        <v>15</v>
      </c>
      <c r="I67" s="11">
        <f t="shared" si="8"/>
        <v>31</v>
      </c>
      <c r="J67" s="11">
        <f t="shared" si="8"/>
        <v>63</v>
      </c>
      <c r="K67" s="11">
        <f t="shared" si="7"/>
        <v>0</v>
      </c>
      <c r="L67" s="11">
        <f t="shared" si="7"/>
        <v>0</v>
      </c>
      <c r="M67" s="11">
        <f t="shared" si="7"/>
        <v>0</v>
      </c>
      <c r="N67" s="17"/>
      <c r="O67" s="7"/>
      <c r="P67" s="7"/>
      <c r="Q67" s="7"/>
      <c r="R67" s="7"/>
      <c r="S67" s="7"/>
      <c r="T67" s="7"/>
      <c r="U67" s="7"/>
      <c r="V67" s="3"/>
      <c r="W67" s="3"/>
      <c r="X67" s="3"/>
      <c r="Y67" s="3"/>
    </row>
    <row r="68" spans="1:25" ht="15.75" customHeight="1">
      <c r="A68" s="88"/>
      <c r="B68" s="95"/>
      <c r="C68" s="99"/>
      <c r="D68" s="101"/>
      <c r="E68" s="83">
        <f t="shared" si="8"/>
        <v>1</v>
      </c>
      <c r="F68" s="11">
        <f t="shared" si="8"/>
        <v>3</v>
      </c>
      <c r="G68" s="11">
        <f t="shared" si="5"/>
        <v>7</v>
      </c>
      <c r="H68" s="11">
        <f t="shared" si="5"/>
        <v>15</v>
      </c>
      <c r="I68" s="11">
        <f t="shared" si="8"/>
        <v>31</v>
      </c>
      <c r="J68" s="11">
        <f t="shared" si="8"/>
        <v>63</v>
      </c>
      <c r="K68" s="11">
        <f t="shared" si="7"/>
        <v>0</v>
      </c>
      <c r="L68" s="11">
        <f t="shared" si="7"/>
        <v>0</v>
      </c>
      <c r="M68" s="11">
        <f t="shared" si="7"/>
        <v>0</v>
      </c>
      <c r="N68" s="17"/>
      <c r="O68" s="7"/>
      <c r="P68" s="7"/>
      <c r="Q68" s="7"/>
      <c r="R68" s="7"/>
      <c r="S68" s="7"/>
      <c r="T68" s="7"/>
      <c r="U68" s="7"/>
      <c r="V68" s="3"/>
      <c r="W68" s="3"/>
      <c r="X68" s="3"/>
      <c r="Y68" s="3"/>
    </row>
    <row r="69" spans="1:25" ht="15.75" customHeight="1">
      <c r="A69" s="88"/>
      <c r="B69" s="95"/>
      <c r="C69" s="99"/>
      <c r="D69" s="102"/>
      <c r="E69" s="83">
        <f t="shared" si="8"/>
        <v>1</v>
      </c>
      <c r="F69" s="11">
        <f t="shared" si="8"/>
        <v>3</v>
      </c>
      <c r="G69" s="11">
        <f t="shared" si="5"/>
        <v>7</v>
      </c>
      <c r="H69" s="11">
        <f t="shared" si="5"/>
        <v>15</v>
      </c>
      <c r="I69" s="11">
        <f t="shared" si="8"/>
        <v>31</v>
      </c>
      <c r="J69" s="11">
        <f t="shared" si="8"/>
        <v>63</v>
      </c>
      <c r="K69" s="11">
        <f t="shared" si="7"/>
        <v>0</v>
      </c>
      <c r="L69" s="11">
        <f t="shared" si="7"/>
        <v>0</v>
      </c>
      <c r="M69" s="11">
        <f t="shared" si="7"/>
        <v>0</v>
      </c>
      <c r="N69" s="17"/>
      <c r="O69" s="7"/>
      <c r="P69" s="7"/>
      <c r="Q69" s="7"/>
      <c r="R69" s="7"/>
      <c r="S69" s="7"/>
      <c r="T69" s="7"/>
      <c r="U69" s="7"/>
      <c r="V69" s="3"/>
      <c r="W69" s="3"/>
      <c r="X69" s="3"/>
      <c r="Y69" s="3"/>
    </row>
    <row r="70" spans="1:25" ht="15.75" customHeight="1">
      <c r="A70" s="88"/>
      <c r="B70" s="95"/>
      <c r="C70" s="99"/>
      <c r="D70" s="102"/>
      <c r="E70" s="83">
        <f t="shared" si="8"/>
        <v>1</v>
      </c>
      <c r="F70" s="11">
        <f t="shared" si="8"/>
        <v>3</v>
      </c>
      <c r="G70" s="11">
        <f t="shared" si="5"/>
        <v>7</v>
      </c>
      <c r="H70" s="11">
        <f t="shared" si="5"/>
        <v>15</v>
      </c>
      <c r="I70" s="11">
        <f t="shared" si="8"/>
        <v>31</v>
      </c>
      <c r="J70" s="11">
        <f t="shared" si="8"/>
        <v>63</v>
      </c>
      <c r="K70" s="11">
        <f t="shared" si="7"/>
        <v>0</v>
      </c>
      <c r="L70" s="11">
        <f t="shared" si="7"/>
        <v>0</v>
      </c>
      <c r="M70" s="11">
        <f t="shared" si="7"/>
        <v>0</v>
      </c>
      <c r="N70" s="17"/>
      <c r="O70" s="7"/>
      <c r="P70" s="7"/>
      <c r="Q70" s="7"/>
      <c r="R70" s="7"/>
      <c r="S70" s="7"/>
      <c r="T70" s="7"/>
      <c r="U70" s="7"/>
      <c r="V70" s="3"/>
      <c r="W70" s="3"/>
      <c r="X70" s="3"/>
      <c r="Y70" s="3"/>
    </row>
    <row r="71" spans="1:25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7"/>
      <c r="P71" s="7"/>
      <c r="Q71" s="7"/>
      <c r="R71" s="7"/>
      <c r="S71" s="7"/>
      <c r="T71" s="7"/>
      <c r="U71" s="7"/>
      <c r="V71" s="3"/>
      <c r="W71" s="3"/>
      <c r="X71" s="3"/>
      <c r="Y71" s="3"/>
    </row>
    <row r="72" spans="1:25" ht="15.75" customHeight="1">
      <c r="A72" s="103"/>
      <c r="B72" s="104"/>
      <c r="C72" s="99"/>
      <c r="D72" s="91"/>
      <c r="E72" s="83">
        <f t="shared" si="8"/>
        <v>1</v>
      </c>
      <c r="F72" s="11">
        <f t="shared" si="8"/>
        <v>3</v>
      </c>
      <c r="G72" s="11">
        <f t="shared" ref="G72:H91" si="9">$D72+G$5</f>
        <v>7</v>
      </c>
      <c r="H72" s="11">
        <f t="shared" si="9"/>
        <v>15</v>
      </c>
      <c r="I72" s="11">
        <f t="shared" si="8"/>
        <v>31</v>
      </c>
      <c r="J72" s="11">
        <f t="shared" si="8"/>
        <v>63</v>
      </c>
      <c r="K72" s="11">
        <f t="shared" si="8"/>
        <v>0</v>
      </c>
      <c r="L72" s="11">
        <f t="shared" si="8"/>
        <v>0</v>
      </c>
      <c r="M72" s="11">
        <f t="shared" si="8"/>
        <v>0</v>
      </c>
      <c r="N72" s="17"/>
      <c r="O72" s="7"/>
      <c r="P72" s="7"/>
      <c r="Q72" s="7"/>
      <c r="R72" s="7"/>
      <c r="S72" s="7"/>
      <c r="T72" s="7"/>
      <c r="U72" s="7"/>
      <c r="V72" s="3"/>
      <c r="W72" s="3"/>
      <c r="X72" s="3"/>
      <c r="Y72" s="3"/>
    </row>
    <row r="73" spans="1:25" ht="15.75" customHeight="1">
      <c r="A73" s="103"/>
      <c r="B73" s="104"/>
      <c r="C73" s="99"/>
      <c r="D73" s="105"/>
      <c r="E73" s="83">
        <f t="shared" si="8"/>
        <v>1</v>
      </c>
      <c r="F73" s="11">
        <f t="shared" si="8"/>
        <v>3</v>
      </c>
      <c r="G73" s="11">
        <f t="shared" si="9"/>
        <v>7</v>
      </c>
      <c r="H73" s="11">
        <f t="shared" si="9"/>
        <v>15</v>
      </c>
      <c r="I73" s="11">
        <f t="shared" si="8"/>
        <v>31</v>
      </c>
      <c r="J73" s="11">
        <f t="shared" si="8"/>
        <v>63</v>
      </c>
      <c r="K73" s="11">
        <f t="shared" si="8"/>
        <v>0</v>
      </c>
      <c r="L73" s="11">
        <f t="shared" si="8"/>
        <v>0</v>
      </c>
      <c r="M73" s="11">
        <f t="shared" si="8"/>
        <v>0</v>
      </c>
      <c r="N73" s="17"/>
      <c r="O73" s="7"/>
      <c r="P73" s="7"/>
      <c r="Q73" s="7"/>
      <c r="R73" s="7"/>
      <c r="S73" s="7"/>
      <c r="T73" s="7"/>
      <c r="U73" s="7"/>
      <c r="V73" s="3"/>
      <c r="W73" s="3"/>
      <c r="X73" s="3"/>
      <c r="Y73" s="3"/>
    </row>
    <row r="74" spans="1:25" ht="15.75" customHeight="1">
      <c r="A74" s="103"/>
      <c r="B74" s="104"/>
      <c r="C74" s="99"/>
      <c r="D74" s="105"/>
      <c r="E74" s="83">
        <f t="shared" ref="E74:K110" si="10">$D74+E$5</f>
        <v>1</v>
      </c>
      <c r="F74" s="11">
        <f t="shared" si="10"/>
        <v>3</v>
      </c>
      <c r="G74" s="11">
        <f t="shared" si="9"/>
        <v>7</v>
      </c>
      <c r="H74" s="11">
        <f t="shared" si="9"/>
        <v>15</v>
      </c>
      <c r="I74" s="11">
        <f t="shared" si="10"/>
        <v>31</v>
      </c>
      <c r="J74" s="11">
        <f t="shared" si="10"/>
        <v>63</v>
      </c>
      <c r="K74" s="11">
        <f t="shared" si="10"/>
        <v>0</v>
      </c>
      <c r="L74" s="11">
        <f t="shared" ref="L74:M105" si="11">$D74+L$5</f>
        <v>0</v>
      </c>
      <c r="M74" s="11">
        <f t="shared" si="11"/>
        <v>0</v>
      </c>
      <c r="N74" s="17"/>
      <c r="O74" s="7"/>
      <c r="P74" s="7"/>
      <c r="Q74" s="7"/>
      <c r="R74" s="7"/>
      <c r="S74" s="7"/>
      <c r="T74" s="7"/>
      <c r="U74" s="7"/>
      <c r="V74" s="3"/>
      <c r="W74" s="3"/>
      <c r="X74" s="3"/>
      <c r="Y74" s="3"/>
    </row>
    <row r="75" spans="1:25" ht="15.75" customHeight="1">
      <c r="A75" s="103"/>
      <c r="B75" s="104"/>
      <c r="C75" s="99"/>
      <c r="D75" s="105"/>
      <c r="E75" s="83">
        <f t="shared" si="10"/>
        <v>1</v>
      </c>
      <c r="F75" s="11">
        <f t="shared" si="10"/>
        <v>3</v>
      </c>
      <c r="G75" s="11">
        <f t="shared" si="9"/>
        <v>7</v>
      </c>
      <c r="H75" s="11">
        <f t="shared" si="9"/>
        <v>15</v>
      </c>
      <c r="I75" s="11">
        <f t="shared" si="10"/>
        <v>31</v>
      </c>
      <c r="J75" s="11">
        <f t="shared" si="10"/>
        <v>63</v>
      </c>
      <c r="K75" s="11">
        <f t="shared" si="10"/>
        <v>0</v>
      </c>
      <c r="L75" s="11">
        <f t="shared" si="11"/>
        <v>0</v>
      </c>
      <c r="M75" s="11">
        <f t="shared" si="11"/>
        <v>0</v>
      </c>
      <c r="N75" s="17"/>
      <c r="O75" s="7"/>
      <c r="P75" s="7"/>
      <c r="Q75" s="7"/>
      <c r="R75" s="7"/>
      <c r="S75" s="7"/>
      <c r="T75" s="7"/>
      <c r="U75" s="7"/>
      <c r="V75" s="3"/>
      <c r="W75" s="3"/>
      <c r="X75" s="3"/>
      <c r="Y75" s="3"/>
    </row>
    <row r="76" spans="1:25" ht="15.75" customHeight="1">
      <c r="A76" s="103"/>
      <c r="B76" s="104"/>
      <c r="C76" s="99"/>
      <c r="D76" s="105"/>
      <c r="E76" s="83">
        <f t="shared" si="10"/>
        <v>1</v>
      </c>
      <c r="F76" s="11">
        <f t="shared" si="10"/>
        <v>3</v>
      </c>
      <c r="G76" s="11">
        <f t="shared" si="9"/>
        <v>7</v>
      </c>
      <c r="H76" s="11">
        <f t="shared" si="9"/>
        <v>15</v>
      </c>
      <c r="I76" s="11">
        <f t="shared" si="10"/>
        <v>31</v>
      </c>
      <c r="J76" s="11">
        <f t="shared" si="10"/>
        <v>63</v>
      </c>
      <c r="K76" s="11">
        <f t="shared" si="10"/>
        <v>0</v>
      </c>
      <c r="L76" s="11">
        <f t="shared" si="11"/>
        <v>0</v>
      </c>
      <c r="M76" s="11">
        <f t="shared" si="11"/>
        <v>0</v>
      </c>
      <c r="N76" s="17"/>
      <c r="O76" s="7"/>
      <c r="P76" s="7"/>
      <c r="Q76" s="7"/>
      <c r="R76" s="7"/>
      <c r="S76" s="7"/>
      <c r="T76" s="7"/>
      <c r="U76" s="7"/>
      <c r="V76" s="3"/>
      <c r="W76" s="3"/>
      <c r="X76" s="3"/>
      <c r="Y76" s="3"/>
    </row>
    <row r="77" spans="1:25" ht="15.75" customHeight="1">
      <c r="A77" s="103"/>
      <c r="B77" s="104"/>
      <c r="C77" s="99"/>
      <c r="D77" s="105"/>
      <c r="E77" s="83">
        <f t="shared" si="10"/>
        <v>1</v>
      </c>
      <c r="F77" s="11">
        <f t="shared" si="10"/>
        <v>3</v>
      </c>
      <c r="G77" s="11">
        <f t="shared" si="9"/>
        <v>7</v>
      </c>
      <c r="H77" s="11">
        <f t="shared" si="9"/>
        <v>15</v>
      </c>
      <c r="I77" s="11">
        <f t="shared" si="10"/>
        <v>31</v>
      </c>
      <c r="J77" s="11">
        <f t="shared" si="10"/>
        <v>63</v>
      </c>
      <c r="K77" s="11">
        <f t="shared" si="10"/>
        <v>0</v>
      </c>
      <c r="L77" s="11">
        <f t="shared" si="11"/>
        <v>0</v>
      </c>
      <c r="M77" s="11">
        <f t="shared" si="11"/>
        <v>0</v>
      </c>
      <c r="N77" s="17"/>
      <c r="O77" s="7"/>
      <c r="P77" s="7"/>
      <c r="Q77" s="7"/>
      <c r="R77" s="7"/>
      <c r="S77" s="7"/>
      <c r="T77" s="7"/>
      <c r="U77" s="7"/>
      <c r="V77" s="3"/>
      <c r="W77" s="3"/>
      <c r="X77" s="3"/>
      <c r="Y77" s="3"/>
    </row>
    <row r="78" spans="1:25" ht="15.75" customHeight="1">
      <c r="A78" s="103"/>
      <c r="B78" s="104"/>
      <c r="C78" s="99"/>
      <c r="D78" s="105"/>
      <c r="E78" s="83">
        <f t="shared" si="10"/>
        <v>1</v>
      </c>
      <c r="F78" s="11">
        <f t="shared" si="10"/>
        <v>3</v>
      </c>
      <c r="G78" s="11">
        <f t="shared" si="9"/>
        <v>7</v>
      </c>
      <c r="H78" s="11">
        <f t="shared" si="9"/>
        <v>15</v>
      </c>
      <c r="I78" s="11">
        <f t="shared" si="10"/>
        <v>31</v>
      </c>
      <c r="J78" s="11">
        <f t="shared" si="10"/>
        <v>63</v>
      </c>
      <c r="K78" s="11">
        <f t="shared" si="10"/>
        <v>0</v>
      </c>
      <c r="L78" s="11">
        <f t="shared" si="11"/>
        <v>0</v>
      </c>
      <c r="M78" s="11">
        <f t="shared" si="11"/>
        <v>0</v>
      </c>
      <c r="N78" s="17"/>
      <c r="O78" s="7"/>
      <c r="P78" s="7"/>
      <c r="Q78" s="7"/>
      <c r="R78" s="7"/>
      <c r="S78" s="7"/>
      <c r="T78" s="7"/>
      <c r="U78" s="7"/>
      <c r="V78" s="3"/>
      <c r="W78" s="3"/>
      <c r="X78" s="3"/>
      <c r="Y78" s="3"/>
    </row>
    <row r="79" spans="1:25" ht="15.75" customHeight="1">
      <c r="A79" s="103"/>
      <c r="B79" s="104"/>
      <c r="C79" s="99"/>
      <c r="D79" s="105"/>
      <c r="E79" s="83">
        <f t="shared" si="10"/>
        <v>1</v>
      </c>
      <c r="F79" s="11">
        <f t="shared" si="10"/>
        <v>3</v>
      </c>
      <c r="G79" s="11">
        <f t="shared" si="9"/>
        <v>7</v>
      </c>
      <c r="H79" s="11">
        <f t="shared" si="9"/>
        <v>15</v>
      </c>
      <c r="I79" s="11">
        <f t="shared" si="10"/>
        <v>31</v>
      </c>
      <c r="J79" s="11">
        <f t="shared" si="10"/>
        <v>63</v>
      </c>
      <c r="K79" s="11">
        <f t="shared" si="10"/>
        <v>0</v>
      </c>
      <c r="L79" s="11">
        <f t="shared" si="11"/>
        <v>0</v>
      </c>
      <c r="M79" s="11">
        <f t="shared" si="11"/>
        <v>0</v>
      </c>
      <c r="N79" s="17"/>
      <c r="O79" s="7"/>
      <c r="P79" s="7"/>
      <c r="Q79" s="7"/>
      <c r="R79" s="7"/>
      <c r="S79" s="7"/>
      <c r="T79" s="7"/>
      <c r="U79" s="7"/>
      <c r="V79" s="3"/>
      <c r="W79" s="3"/>
      <c r="X79" s="3"/>
      <c r="Y79" s="3"/>
    </row>
    <row r="80" spans="1:25" ht="15.75" customHeight="1">
      <c r="A80" s="103"/>
      <c r="B80" s="104"/>
      <c r="C80" s="99"/>
      <c r="D80" s="105"/>
      <c r="E80" s="83">
        <f t="shared" si="10"/>
        <v>1</v>
      </c>
      <c r="F80" s="11">
        <f t="shared" si="10"/>
        <v>3</v>
      </c>
      <c r="G80" s="11">
        <f t="shared" si="9"/>
        <v>7</v>
      </c>
      <c r="H80" s="11">
        <f t="shared" si="9"/>
        <v>15</v>
      </c>
      <c r="I80" s="11">
        <f t="shared" si="10"/>
        <v>31</v>
      </c>
      <c r="J80" s="11">
        <f t="shared" si="10"/>
        <v>63</v>
      </c>
      <c r="K80" s="11">
        <f t="shared" si="10"/>
        <v>0</v>
      </c>
      <c r="L80" s="11">
        <f t="shared" si="11"/>
        <v>0</v>
      </c>
      <c r="M80" s="11">
        <f t="shared" si="11"/>
        <v>0</v>
      </c>
      <c r="N80" s="17"/>
      <c r="O80" s="7"/>
      <c r="P80" s="7"/>
      <c r="Q80" s="7"/>
      <c r="R80" s="7"/>
      <c r="S80" s="7"/>
      <c r="T80" s="7"/>
      <c r="U80" s="7"/>
      <c r="V80" s="3"/>
      <c r="W80" s="3"/>
      <c r="X80" s="3"/>
      <c r="Y80" s="3"/>
    </row>
    <row r="81" spans="1:25" ht="15.75" customHeight="1">
      <c r="A81" s="103"/>
      <c r="B81" s="104"/>
      <c r="C81" s="99"/>
      <c r="D81" s="105"/>
      <c r="E81" s="83">
        <f t="shared" si="10"/>
        <v>1</v>
      </c>
      <c r="F81" s="11">
        <f t="shared" si="10"/>
        <v>3</v>
      </c>
      <c r="G81" s="11">
        <f t="shared" si="9"/>
        <v>7</v>
      </c>
      <c r="H81" s="11">
        <f t="shared" si="9"/>
        <v>15</v>
      </c>
      <c r="I81" s="11">
        <f t="shared" si="10"/>
        <v>31</v>
      </c>
      <c r="J81" s="11">
        <f t="shared" si="10"/>
        <v>63</v>
      </c>
      <c r="K81" s="11">
        <f t="shared" si="10"/>
        <v>0</v>
      </c>
      <c r="L81" s="11">
        <f t="shared" si="11"/>
        <v>0</v>
      </c>
      <c r="M81" s="11">
        <f t="shared" si="11"/>
        <v>0</v>
      </c>
      <c r="N81" s="17"/>
      <c r="O81" s="7"/>
      <c r="P81" s="7"/>
      <c r="Q81" s="7"/>
      <c r="R81" s="7"/>
      <c r="S81" s="7"/>
      <c r="T81" s="7"/>
      <c r="U81" s="7"/>
      <c r="V81" s="3"/>
      <c r="W81" s="3"/>
      <c r="X81" s="3"/>
      <c r="Y81" s="3"/>
    </row>
    <row r="82" spans="1:25" ht="15.75" customHeight="1">
      <c r="A82" s="103"/>
      <c r="B82" s="104"/>
      <c r="C82" s="99"/>
      <c r="D82" s="105"/>
      <c r="E82" s="83">
        <f t="shared" si="10"/>
        <v>1</v>
      </c>
      <c r="F82" s="11">
        <f t="shared" si="10"/>
        <v>3</v>
      </c>
      <c r="G82" s="11">
        <f t="shared" si="9"/>
        <v>7</v>
      </c>
      <c r="H82" s="11">
        <f t="shared" si="9"/>
        <v>15</v>
      </c>
      <c r="I82" s="11">
        <f t="shared" si="10"/>
        <v>31</v>
      </c>
      <c r="J82" s="11">
        <f t="shared" si="10"/>
        <v>63</v>
      </c>
      <c r="K82" s="11">
        <f t="shared" si="10"/>
        <v>0</v>
      </c>
      <c r="L82" s="11">
        <f t="shared" si="11"/>
        <v>0</v>
      </c>
      <c r="M82" s="11">
        <f t="shared" si="11"/>
        <v>0</v>
      </c>
      <c r="N82" s="17"/>
      <c r="O82" s="7"/>
      <c r="P82" s="7"/>
      <c r="Q82" s="7"/>
      <c r="R82" s="7"/>
      <c r="S82" s="7"/>
      <c r="T82" s="7"/>
      <c r="U82" s="7"/>
      <c r="V82" s="3"/>
      <c r="W82" s="3"/>
      <c r="X82" s="3"/>
      <c r="Y82" s="3"/>
    </row>
    <row r="83" spans="1:25" ht="15.75" customHeight="1">
      <c r="A83" s="103"/>
      <c r="B83" s="104"/>
      <c r="C83" s="99"/>
      <c r="D83" s="105"/>
      <c r="E83" s="83">
        <f t="shared" si="10"/>
        <v>1</v>
      </c>
      <c r="F83" s="11">
        <f t="shared" si="10"/>
        <v>3</v>
      </c>
      <c r="G83" s="11">
        <f t="shared" si="9"/>
        <v>7</v>
      </c>
      <c r="H83" s="11">
        <f t="shared" si="9"/>
        <v>15</v>
      </c>
      <c r="I83" s="11">
        <f t="shared" si="10"/>
        <v>31</v>
      </c>
      <c r="J83" s="11">
        <f t="shared" si="10"/>
        <v>63</v>
      </c>
      <c r="K83" s="11">
        <f t="shared" si="10"/>
        <v>0</v>
      </c>
      <c r="L83" s="11">
        <f t="shared" si="11"/>
        <v>0</v>
      </c>
      <c r="M83" s="11">
        <f t="shared" si="11"/>
        <v>0</v>
      </c>
      <c r="N83" s="17"/>
      <c r="O83" s="7"/>
      <c r="P83" s="7"/>
      <c r="Q83" s="7"/>
      <c r="R83" s="7"/>
      <c r="S83" s="7"/>
      <c r="T83" s="7"/>
      <c r="U83" s="7"/>
      <c r="V83" s="3"/>
      <c r="W83" s="3"/>
      <c r="X83" s="3"/>
      <c r="Y83" s="3"/>
    </row>
    <row r="84" spans="1:25" ht="15.75" customHeight="1">
      <c r="A84" s="103"/>
      <c r="B84" s="104"/>
      <c r="C84" s="99"/>
      <c r="D84" s="105"/>
      <c r="E84" s="83">
        <f t="shared" si="10"/>
        <v>1</v>
      </c>
      <c r="F84" s="11">
        <f t="shared" si="10"/>
        <v>3</v>
      </c>
      <c r="G84" s="11">
        <f t="shared" si="9"/>
        <v>7</v>
      </c>
      <c r="H84" s="11">
        <f t="shared" si="9"/>
        <v>15</v>
      </c>
      <c r="I84" s="11">
        <f t="shared" si="10"/>
        <v>31</v>
      </c>
      <c r="J84" s="11">
        <f t="shared" si="10"/>
        <v>63</v>
      </c>
      <c r="K84" s="11">
        <f t="shared" si="10"/>
        <v>0</v>
      </c>
      <c r="L84" s="11">
        <f t="shared" si="11"/>
        <v>0</v>
      </c>
      <c r="M84" s="11">
        <f t="shared" si="11"/>
        <v>0</v>
      </c>
      <c r="N84" s="17"/>
      <c r="O84" s="7"/>
      <c r="P84" s="7"/>
      <c r="Q84" s="7"/>
      <c r="R84" s="7"/>
      <c r="S84" s="7"/>
      <c r="T84" s="7"/>
      <c r="U84" s="7"/>
      <c r="V84" s="3"/>
      <c r="W84" s="3"/>
      <c r="X84" s="3"/>
      <c r="Y84" s="3"/>
    </row>
    <row r="85" spans="1:25" ht="15.75" customHeight="1">
      <c r="A85" s="103"/>
      <c r="B85" s="104"/>
      <c r="C85" s="99"/>
      <c r="D85" s="105"/>
      <c r="E85" s="83">
        <f t="shared" si="10"/>
        <v>1</v>
      </c>
      <c r="F85" s="11">
        <f t="shared" si="10"/>
        <v>3</v>
      </c>
      <c r="G85" s="11">
        <f t="shared" si="9"/>
        <v>7</v>
      </c>
      <c r="H85" s="11">
        <f t="shared" si="9"/>
        <v>15</v>
      </c>
      <c r="I85" s="11">
        <f t="shared" si="10"/>
        <v>31</v>
      </c>
      <c r="J85" s="11">
        <f t="shared" si="10"/>
        <v>63</v>
      </c>
      <c r="K85" s="11">
        <f t="shared" si="10"/>
        <v>0</v>
      </c>
      <c r="L85" s="11">
        <f t="shared" si="11"/>
        <v>0</v>
      </c>
      <c r="M85" s="11">
        <f t="shared" si="11"/>
        <v>0</v>
      </c>
      <c r="N85" s="17"/>
      <c r="O85" s="7"/>
      <c r="P85" s="7"/>
      <c r="Q85" s="7"/>
      <c r="R85" s="7"/>
      <c r="S85" s="7"/>
      <c r="T85" s="7"/>
      <c r="U85" s="7"/>
      <c r="V85" s="3"/>
      <c r="W85" s="3"/>
      <c r="X85" s="3"/>
      <c r="Y85" s="3"/>
    </row>
    <row r="86" spans="1:25" ht="15.75" customHeight="1">
      <c r="A86" s="103"/>
      <c r="B86" s="104"/>
      <c r="C86" s="99"/>
      <c r="D86" s="105"/>
      <c r="E86" s="83">
        <f t="shared" si="10"/>
        <v>1</v>
      </c>
      <c r="F86" s="11">
        <f t="shared" si="10"/>
        <v>3</v>
      </c>
      <c r="G86" s="11">
        <f t="shared" si="9"/>
        <v>7</v>
      </c>
      <c r="H86" s="11">
        <f t="shared" si="9"/>
        <v>15</v>
      </c>
      <c r="I86" s="11">
        <f t="shared" si="10"/>
        <v>31</v>
      </c>
      <c r="J86" s="11">
        <f t="shared" si="10"/>
        <v>63</v>
      </c>
      <c r="K86" s="11">
        <f t="shared" si="10"/>
        <v>0</v>
      </c>
      <c r="L86" s="11">
        <f t="shared" si="11"/>
        <v>0</v>
      </c>
      <c r="M86" s="11">
        <f t="shared" si="11"/>
        <v>0</v>
      </c>
      <c r="N86" s="17"/>
      <c r="O86" s="7"/>
      <c r="P86" s="7"/>
      <c r="Q86" s="7"/>
      <c r="R86" s="7"/>
      <c r="S86" s="7"/>
      <c r="T86" s="7"/>
      <c r="U86" s="7"/>
      <c r="V86" s="3"/>
      <c r="W86" s="3"/>
      <c r="X86" s="3"/>
      <c r="Y86" s="3"/>
    </row>
    <row r="87" spans="1:25" ht="15.75" customHeight="1">
      <c r="A87" s="103"/>
      <c r="B87" s="104"/>
      <c r="C87" s="99"/>
      <c r="D87" s="105"/>
      <c r="E87" s="83">
        <f t="shared" si="10"/>
        <v>1</v>
      </c>
      <c r="F87" s="11">
        <f t="shared" si="10"/>
        <v>3</v>
      </c>
      <c r="G87" s="11">
        <f t="shared" si="9"/>
        <v>7</v>
      </c>
      <c r="H87" s="11">
        <f t="shared" si="9"/>
        <v>15</v>
      </c>
      <c r="I87" s="11">
        <f t="shared" si="10"/>
        <v>31</v>
      </c>
      <c r="J87" s="11">
        <f t="shared" si="10"/>
        <v>63</v>
      </c>
      <c r="K87" s="11">
        <f t="shared" si="10"/>
        <v>0</v>
      </c>
      <c r="L87" s="11">
        <f t="shared" si="11"/>
        <v>0</v>
      </c>
      <c r="M87" s="11">
        <f t="shared" si="11"/>
        <v>0</v>
      </c>
      <c r="N87" s="17"/>
      <c r="O87" s="7"/>
      <c r="P87" s="7"/>
      <c r="Q87" s="7"/>
      <c r="R87" s="7"/>
      <c r="S87" s="7"/>
      <c r="T87" s="7"/>
      <c r="U87" s="7"/>
      <c r="V87" s="3"/>
      <c r="W87" s="3"/>
      <c r="X87" s="3"/>
      <c r="Y87" s="3"/>
    </row>
    <row r="88" spans="1:25" ht="15.75" customHeight="1">
      <c r="A88" s="103"/>
      <c r="B88" s="104"/>
      <c r="C88" s="99"/>
      <c r="D88" s="105"/>
      <c r="E88" s="83">
        <f t="shared" si="10"/>
        <v>1</v>
      </c>
      <c r="F88" s="11">
        <f t="shared" si="10"/>
        <v>3</v>
      </c>
      <c r="G88" s="11">
        <f t="shared" si="9"/>
        <v>7</v>
      </c>
      <c r="H88" s="11">
        <f t="shared" si="9"/>
        <v>15</v>
      </c>
      <c r="I88" s="11">
        <f t="shared" si="10"/>
        <v>31</v>
      </c>
      <c r="J88" s="11">
        <f t="shared" si="10"/>
        <v>63</v>
      </c>
      <c r="K88" s="11">
        <f t="shared" si="10"/>
        <v>0</v>
      </c>
      <c r="L88" s="11">
        <f t="shared" si="11"/>
        <v>0</v>
      </c>
      <c r="M88" s="11">
        <f t="shared" si="11"/>
        <v>0</v>
      </c>
      <c r="N88" s="17"/>
      <c r="O88" s="7"/>
      <c r="P88" s="7"/>
      <c r="Q88" s="7"/>
      <c r="R88" s="7"/>
      <c r="S88" s="7"/>
      <c r="T88" s="7"/>
      <c r="U88" s="7"/>
      <c r="V88" s="3"/>
      <c r="W88" s="3"/>
      <c r="X88" s="3"/>
      <c r="Y88" s="3"/>
    </row>
    <row r="89" spans="1:25" ht="15.75" customHeight="1">
      <c r="A89" s="103"/>
      <c r="B89" s="104"/>
      <c r="C89" s="99"/>
      <c r="D89" s="105"/>
      <c r="E89" s="83">
        <f t="shared" si="10"/>
        <v>1</v>
      </c>
      <c r="F89" s="11">
        <f t="shared" si="10"/>
        <v>3</v>
      </c>
      <c r="G89" s="11">
        <f t="shared" si="9"/>
        <v>7</v>
      </c>
      <c r="H89" s="11">
        <f t="shared" si="9"/>
        <v>15</v>
      </c>
      <c r="I89" s="11">
        <f t="shared" si="10"/>
        <v>31</v>
      </c>
      <c r="J89" s="11">
        <f t="shared" si="10"/>
        <v>63</v>
      </c>
      <c r="K89" s="11">
        <f t="shared" si="10"/>
        <v>0</v>
      </c>
      <c r="L89" s="11">
        <f t="shared" si="11"/>
        <v>0</v>
      </c>
      <c r="M89" s="11">
        <f t="shared" si="11"/>
        <v>0</v>
      </c>
      <c r="N89" s="17"/>
      <c r="O89" s="7"/>
      <c r="P89" s="7"/>
      <c r="Q89" s="7"/>
      <c r="R89" s="7"/>
      <c r="S89" s="7"/>
      <c r="T89" s="7"/>
      <c r="U89" s="7"/>
      <c r="V89" s="3"/>
      <c r="W89" s="3"/>
      <c r="X89" s="3"/>
      <c r="Y89" s="3"/>
    </row>
    <row r="90" spans="1:25" ht="15.75" customHeight="1">
      <c r="A90" s="103"/>
      <c r="B90" s="104"/>
      <c r="C90" s="99"/>
      <c r="D90" s="105"/>
      <c r="E90" s="83">
        <f t="shared" si="10"/>
        <v>1</v>
      </c>
      <c r="F90" s="11">
        <f t="shared" si="10"/>
        <v>3</v>
      </c>
      <c r="G90" s="11">
        <f t="shared" si="9"/>
        <v>7</v>
      </c>
      <c r="H90" s="11">
        <f t="shared" si="9"/>
        <v>15</v>
      </c>
      <c r="I90" s="11">
        <f t="shared" si="10"/>
        <v>31</v>
      </c>
      <c r="J90" s="11">
        <f t="shared" si="10"/>
        <v>63</v>
      </c>
      <c r="K90" s="11">
        <f t="shared" si="10"/>
        <v>0</v>
      </c>
      <c r="L90" s="11">
        <f t="shared" si="11"/>
        <v>0</v>
      </c>
      <c r="M90" s="11">
        <f t="shared" si="11"/>
        <v>0</v>
      </c>
      <c r="N90" s="17"/>
      <c r="O90" s="7"/>
      <c r="P90" s="7"/>
      <c r="Q90" s="7"/>
      <c r="R90" s="7"/>
      <c r="S90" s="7"/>
      <c r="T90" s="7"/>
      <c r="U90" s="7"/>
      <c r="V90" s="3"/>
      <c r="W90" s="3"/>
      <c r="X90" s="3"/>
      <c r="Y90" s="3"/>
    </row>
    <row r="91" spans="1:25" ht="15.75" customHeight="1">
      <c r="A91" s="103"/>
      <c r="B91" s="104"/>
      <c r="C91" s="99"/>
      <c r="D91" s="105"/>
      <c r="E91" s="83">
        <f t="shared" si="10"/>
        <v>1</v>
      </c>
      <c r="F91" s="11">
        <f t="shared" si="10"/>
        <v>3</v>
      </c>
      <c r="G91" s="11">
        <f t="shared" si="9"/>
        <v>7</v>
      </c>
      <c r="H91" s="11">
        <f t="shared" si="9"/>
        <v>15</v>
      </c>
      <c r="I91" s="11">
        <f t="shared" si="10"/>
        <v>31</v>
      </c>
      <c r="J91" s="11">
        <f t="shared" si="10"/>
        <v>63</v>
      </c>
      <c r="K91" s="11">
        <f t="shared" si="10"/>
        <v>0</v>
      </c>
      <c r="L91" s="11">
        <f t="shared" si="11"/>
        <v>0</v>
      </c>
      <c r="M91" s="11">
        <f t="shared" si="11"/>
        <v>0</v>
      </c>
      <c r="N91" s="17"/>
      <c r="O91" s="7"/>
      <c r="P91" s="7"/>
      <c r="Q91" s="7"/>
      <c r="R91" s="7"/>
      <c r="S91" s="7"/>
      <c r="T91" s="7"/>
      <c r="U91" s="7"/>
      <c r="V91" s="3"/>
      <c r="W91" s="3"/>
      <c r="X91" s="3"/>
      <c r="Y91" s="3"/>
    </row>
    <row r="92" spans="1:25" ht="15.75" customHeight="1">
      <c r="A92" s="103"/>
      <c r="B92" s="104"/>
      <c r="C92" s="99"/>
      <c r="D92" s="105"/>
      <c r="E92" s="83">
        <f t="shared" si="10"/>
        <v>1</v>
      </c>
      <c r="F92" s="11">
        <f t="shared" si="10"/>
        <v>3</v>
      </c>
      <c r="G92" s="11">
        <f t="shared" si="10"/>
        <v>7</v>
      </c>
      <c r="H92" s="11">
        <f t="shared" si="10"/>
        <v>15</v>
      </c>
      <c r="I92" s="11">
        <f t="shared" si="10"/>
        <v>31</v>
      </c>
      <c r="J92" s="11">
        <f t="shared" si="10"/>
        <v>63</v>
      </c>
      <c r="K92" s="11">
        <f t="shared" si="10"/>
        <v>0</v>
      </c>
      <c r="L92" s="11">
        <f t="shared" si="11"/>
        <v>0</v>
      </c>
      <c r="M92" s="11">
        <f t="shared" si="11"/>
        <v>0</v>
      </c>
      <c r="N92" s="17"/>
      <c r="O92" s="7"/>
      <c r="P92" s="7"/>
      <c r="Q92" s="7"/>
      <c r="R92" s="7"/>
      <c r="S92" s="7"/>
      <c r="T92" s="7"/>
      <c r="U92" s="7"/>
      <c r="V92" s="3"/>
      <c r="W92" s="3"/>
      <c r="X92" s="3"/>
      <c r="Y92" s="3"/>
    </row>
    <row r="93" spans="1:25" ht="15.75" customHeight="1">
      <c r="A93" s="103"/>
      <c r="B93" s="104"/>
      <c r="C93" s="99"/>
      <c r="D93" s="105"/>
      <c r="E93" s="83">
        <f t="shared" si="10"/>
        <v>1</v>
      </c>
      <c r="F93" s="11">
        <f t="shared" si="10"/>
        <v>3</v>
      </c>
      <c r="G93" s="11">
        <f t="shared" si="10"/>
        <v>7</v>
      </c>
      <c r="H93" s="11">
        <f t="shared" si="10"/>
        <v>15</v>
      </c>
      <c r="I93" s="11">
        <f t="shared" si="10"/>
        <v>31</v>
      </c>
      <c r="J93" s="11">
        <f t="shared" si="10"/>
        <v>63</v>
      </c>
      <c r="K93" s="11">
        <f t="shared" si="10"/>
        <v>0</v>
      </c>
      <c r="L93" s="11">
        <f t="shared" si="11"/>
        <v>0</v>
      </c>
      <c r="M93" s="11">
        <f t="shared" si="11"/>
        <v>0</v>
      </c>
      <c r="N93" s="17"/>
      <c r="O93" s="7"/>
      <c r="P93" s="7"/>
      <c r="Q93" s="7"/>
      <c r="R93" s="7"/>
      <c r="S93" s="7"/>
      <c r="T93" s="7"/>
      <c r="U93" s="7"/>
      <c r="V93" s="3"/>
      <c r="W93" s="3"/>
      <c r="X93" s="3"/>
      <c r="Y93" s="3"/>
    </row>
    <row r="94" spans="1:25" ht="15.75" customHeight="1">
      <c r="A94" s="103"/>
      <c r="B94" s="104"/>
      <c r="C94" s="99"/>
      <c r="D94" s="105"/>
      <c r="E94" s="83">
        <f t="shared" si="10"/>
        <v>1</v>
      </c>
      <c r="F94" s="11">
        <f t="shared" si="10"/>
        <v>3</v>
      </c>
      <c r="G94" s="11">
        <f t="shared" si="10"/>
        <v>7</v>
      </c>
      <c r="H94" s="11">
        <f t="shared" si="10"/>
        <v>15</v>
      </c>
      <c r="I94" s="11">
        <f t="shared" si="10"/>
        <v>31</v>
      </c>
      <c r="J94" s="11">
        <f t="shared" si="10"/>
        <v>63</v>
      </c>
      <c r="K94" s="11">
        <f t="shared" si="10"/>
        <v>0</v>
      </c>
      <c r="L94" s="11">
        <f t="shared" si="11"/>
        <v>0</v>
      </c>
      <c r="M94" s="11">
        <f t="shared" si="11"/>
        <v>0</v>
      </c>
      <c r="N94" s="17"/>
      <c r="O94" s="7"/>
      <c r="P94" s="7"/>
      <c r="Q94" s="7"/>
      <c r="R94" s="7"/>
      <c r="S94" s="7"/>
      <c r="T94" s="7"/>
      <c r="U94" s="7"/>
      <c r="V94" s="3"/>
      <c r="W94" s="3"/>
      <c r="X94" s="3"/>
      <c r="Y94" s="3"/>
    </row>
    <row r="95" spans="1:25" ht="15.75" customHeight="1">
      <c r="A95" s="103"/>
      <c r="B95" s="104"/>
      <c r="C95" s="99"/>
      <c r="D95" s="105"/>
      <c r="E95" s="83">
        <f t="shared" si="10"/>
        <v>1</v>
      </c>
      <c r="F95" s="11">
        <f t="shared" si="10"/>
        <v>3</v>
      </c>
      <c r="G95" s="11">
        <f t="shared" si="10"/>
        <v>7</v>
      </c>
      <c r="H95" s="11">
        <f t="shared" si="10"/>
        <v>15</v>
      </c>
      <c r="I95" s="11">
        <f t="shared" si="10"/>
        <v>31</v>
      </c>
      <c r="J95" s="11">
        <f t="shared" si="10"/>
        <v>63</v>
      </c>
      <c r="K95" s="11">
        <f t="shared" si="10"/>
        <v>0</v>
      </c>
      <c r="L95" s="11">
        <f t="shared" si="11"/>
        <v>0</v>
      </c>
      <c r="M95" s="11">
        <f t="shared" si="11"/>
        <v>0</v>
      </c>
      <c r="N95" s="17"/>
      <c r="O95" s="7"/>
      <c r="P95" s="7"/>
      <c r="Q95" s="7"/>
      <c r="R95" s="7"/>
      <c r="S95" s="7"/>
      <c r="T95" s="7"/>
      <c r="U95" s="7"/>
      <c r="V95" s="3"/>
      <c r="W95" s="3"/>
      <c r="X95" s="3"/>
      <c r="Y95" s="3"/>
    </row>
    <row r="96" spans="1:25" ht="15.75" customHeight="1">
      <c r="A96" s="103"/>
      <c r="B96" s="104"/>
      <c r="C96" s="99"/>
      <c r="D96" s="105"/>
      <c r="E96" s="83">
        <f t="shared" si="10"/>
        <v>1</v>
      </c>
      <c r="F96" s="11">
        <f t="shared" si="10"/>
        <v>3</v>
      </c>
      <c r="G96" s="11">
        <f t="shared" si="10"/>
        <v>7</v>
      </c>
      <c r="H96" s="11">
        <f t="shared" si="10"/>
        <v>15</v>
      </c>
      <c r="I96" s="11">
        <f t="shared" si="10"/>
        <v>31</v>
      </c>
      <c r="J96" s="11">
        <f t="shared" si="10"/>
        <v>63</v>
      </c>
      <c r="K96" s="11">
        <f t="shared" si="10"/>
        <v>0</v>
      </c>
      <c r="L96" s="11">
        <f t="shared" si="11"/>
        <v>0</v>
      </c>
      <c r="M96" s="11">
        <f t="shared" si="11"/>
        <v>0</v>
      </c>
      <c r="N96" s="17"/>
      <c r="O96" s="7"/>
      <c r="P96" s="7"/>
      <c r="Q96" s="7"/>
      <c r="R96" s="7"/>
      <c r="S96" s="7"/>
      <c r="T96" s="7"/>
      <c r="U96" s="7"/>
      <c r="V96" s="3"/>
      <c r="W96" s="3"/>
      <c r="X96" s="3"/>
      <c r="Y96" s="3"/>
    </row>
    <row r="97" spans="1:25" ht="15.75" customHeight="1">
      <c r="A97" s="103"/>
      <c r="B97" s="104"/>
      <c r="C97" s="99"/>
      <c r="D97" s="105"/>
      <c r="E97" s="83">
        <f t="shared" si="10"/>
        <v>1</v>
      </c>
      <c r="F97" s="11">
        <f t="shared" si="10"/>
        <v>3</v>
      </c>
      <c r="G97" s="11">
        <f t="shared" si="10"/>
        <v>7</v>
      </c>
      <c r="H97" s="11">
        <f t="shared" si="10"/>
        <v>15</v>
      </c>
      <c r="I97" s="11">
        <f t="shared" si="10"/>
        <v>31</v>
      </c>
      <c r="J97" s="11">
        <f t="shared" si="10"/>
        <v>63</v>
      </c>
      <c r="K97" s="11">
        <f t="shared" si="10"/>
        <v>0</v>
      </c>
      <c r="L97" s="11">
        <f t="shared" si="11"/>
        <v>0</v>
      </c>
      <c r="M97" s="11">
        <f t="shared" si="11"/>
        <v>0</v>
      </c>
      <c r="N97" s="17"/>
      <c r="O97" s="7"/>
      <c r="P97" s="7"/>
      <c r="Q97" s="7"/>
      <c r="R97" s="7"/>
      <c r="S97" s="7"/>
      <c r="T97" s="7"/>
      <c r="U97" s="7"/>
      <c r="V97" s="3"/>
      <c r="W97" s="3"/>
      <c r="X97" s="3"/>
      <c r="Y97" s="3"/>
    </row>
    <row r="98" spans="1:25" ht="15.75" customHeight="1">
      <c r="A98" s="103"/>
      <c r="B98" s="104"/>
      <c r="C98" s="99"/>
      <c r="D98" s="105"/>
      <c r="E98" s="83">
        <f t="shared" si="10"/>
        <v>1</v>
      </c>
      <c r="F98" s="11">
        <f t="shared" si="10"/>
        <v>3</v>
      </c>
      <c r="G98" s="11">
        <f t="shared" si="10"/>
        <v>7</v>
      </c>
      <c r="H98" s="11">
        <f t="shared" si="10"/>
        <v>15</v>
      </c>
      <c r="I98" s="11">
        <f t="shared" si="10"/>
        <v>31</v>
      </c>
      <c r="J98" s="11">
        <f t="shared" si="10"/>
        <v>63</v>
      </c>
      <c r="K98" s="11">
        <f t="shared" si="10"/>
        <v>0</v>
      </c>
      <c r="L98" s="11">
        <f t="shared" si="11"/>
        <v>0</v>
      </c>
      <c r="M98" s="11">
        <f t="shared" si="11"/>
        <v>0</v>
      </c>
      <c r="N98" s="17"/>
      <c r="O98" s="7"/>
      <c r="P98" s="7"/>
      <c r="Q98" s="7"/>
      <c r="R98" s="7"/>
      <c r="S98" s="7"/>
      <c r="T98" s="7"/>
      <c r="U98" s="7"/>
      <c r="V98" s="3"/>
      <c r="W98" s="3"/>
      <c r="X98" s="3"/>
      <c r="Y98" s="3"/>
    </row>
    <row r="99" spans="1:25" ht="15.75" customHeight="1">
      <c r="A99" s="103"/>
      <c r="B99" s="104"/>
      <c r="C99" s="99"/>
      <c r="D99" s="105"/>
      <c r="E99" s="83">
        <f t="shared" si="10"/>
        <v>1</v>
      </c>
      <c r="F99" s="11">
        <f t="shared" si="10"/>
        <v>3</v>
      </c>
      <c r="G99" s="11">
        <f t="shared" si="10"/>
        <v>7</v>
      </c>
      <c r="H99" s="11">
        <f t="shared" si="10"/>
        <v>15</v>
      </c>
      <c r="I99" s="11">
        <f t="shared" si="10"/>
        <v>31</v>
      </c>
      <c r="J99" s="11">
        <f t="shared" si="10"/>
        <v>63</v>
      </c>
      <c r="K99" s="11">
        <f t="shared" si="10"/>
        <v>0</v>
      </c>
      <c r="L99" s="11">
        <f t="shared" si="11"/>
        <v>0</v>
      </c>
      <c r="M99" s="11">
        <f t="shared" si="11"/>
        <v>0</v>
      </c>
      <c r="N99" s="17"/>
      <c r="O99" s="7"/>
      <c r="P99" s="7"/>
      <c r="Q99" s="7"/>
      <c r="R99" s="7"/>
      <c r="S99" s="7"/>
      <c r="T99" s="7"/>
      <c r="U99" s="7"/>
      <c r="V99" s="3"/>
      <c r="W99" s="3"/>
      <c r="X99" s="3"/>
      <c r="Y99" s="3"/>
    </row>
    <row r="100" spans="1:25" ht="15.75" customHeight="1">
      <c r="A100" s="103"/>
      <c r="B100" s="104"/>
      <c r="C100" s="99"/>
      <c r="D100" s="105"/>
      <c r="E100" s="83">
        <f t="shared" si="10"/>
        <v>1</v>
      </c>
      <c r="F100" s="11">
        <f t="shared" si="10"/>
        <v>3</v>
      </c>
      <c r="G100" s="11">
        <f t="shared" si="10"/>
        <v>7</v>
      </c>
      <c r="H100" s="11">
        <f t="shared" si="10"/>
        <v>15</v>
      </c>
      <c r="I100" s="11">
        <f t="shared" si="10"/>
        <v>31</v>
      </c>
      <c r="J100" s="11">
        <f t="shared" si="10"/>
        <v>63</v>
      </c>
      <c r="K100" s="11">
        <f t="shared" si="10"/>
        <v>0</v>
      </c>
      <c r="L100" s="11">
        <f t="shared" si="11"/>
        <v>0</v>
      </c>
      <c r="M100" s="11">
        <f t="shared" si="11"/>
        <v>0</v>
      </c>
      <c r="N100" s="17"/>
      <c r="O100" s="7"/>
      <c r="P100" s="7"/>
      <c r="Q100" s="7"/>
      <c r="R100" s="7"/>
      <c r="S100" s="7"/>
      <c r="T100" s="7"/>
      <c r="U100" s="7"/>
      <c r="V100" s="3"/>
      <c r="W100" s="3"/>
      <c r="X100" s="3"/>
      <c r="Y100" s="3"/>
    </row>
    <row r="101" spans="1:25" ht="15.75" customHeight="1">
      <c r="A101" s="103"/>
      <c r="B101" s="104"/>
      <c r="C101" s="99"/>
      <c r="D101" s="105"/>
      <c r="E101" s="83">
        <f t="shared" si="10"/>
        <v>1</v>
      </c>
      <c r="F101" s="11">
        <f t="shared" si="10"/>
        <v>3</v>
      </c>
      <c r="G101" s="11">
        <f t="shared" si="10"/>
        <v>7</v>
      </c>
      <c r="H101" s="11">
        <f t="shared" si="10"/>
        <v>15</v>
      </c>
      <c r="I101" s="11">
        <f t="shared" si="10"/>
        <v>31</v>
      </c>
      <c r="J101" s="11">
        <f t="shared" si="10"/>
        <v>63</v>
      </c>
      <c r="K101" s="11">
        <f t="shared" si="10"/>
        <v>0</v>
      </c>
      <c r="L101" s="11">
        <f t="shared" si="11"/>
        <v>0</v>
      </c>
      <c r="M101" s="11">
        <f t="shared" si="11"/>
        <v>0</v>
      </c>
      <c r="N101" s="17"/>
      <c r="O101" s="7"/>
      <c r="P101" s="7"/>
      <c r="Q101" s="7"/>
      <c r="R101" s="7"/>
      <c r="S101" s="7"/>
      <c r="T101" s="7"/>
      <c r="U101" s="7"/>
      <c r="V101" s="3"/>
      <c r="W101" s="3"/>
      <c r="X101" s="3"/>
      <c r="Y101" s="3"/>
    </row>
    <row r="102" spans="1:25" ht="15.75" customHeight="1">
      <c r="A102" s="103"/>
      <c r="B102" s="104"/>
      <c r="C102" s="99"/>
      <c r="D102" s="105"/>
      <c r="E102" s="83">
        <f t="shared" si="10"/>
        <v>1</v>
      </c>
      <c r="F102" s="11">
        <f t="shared" si="10"/>
        <v>3</v>
      </c>
      <c r="G102" s="11">
        <f t="shared" si="10"/>
        <v>7</v>
      </c>
      <c r="H102" s="11">
        <f t="shared" si="10"/>
        <v>15</v>
      </c>
      <c r="I102" s="11">
        <f t="shared" si="10"/>
        <v>31</v>
      </c>
      <c r="J102" s="11">
        <f t="shared" si="10"/>
        <v>63</v>
      </c>
      <c r="K102" s="11">
        <f t="shared" si="10"/>
        <v>0</v>
      </c>
      <c r="L102" s="11">
        <f t="shared" si="11"/>
        <v>0</v>
      </c>
      <c r="M102" s="11">
        <f t="shared" si="11"/>
        <v>0</v>
      </c>
      <c r="N102" s="17"/>
      <c r="O102" s="7"/>
      <c r="P102" s="7"/>
      <c r="Q102" s="7"/>
      <c r="R102" s="7"/>
      <c r="S102" s="7"/>
      <c r="T102" s="7"/>
      <c r="U102" s="7"/>
      <c r="V102" s="3"/>
      <c r="W102" s="3"/>
      <c r="X102" s="3"/>
      <c r="Y102" s="3"/>
    </row>
    <row r="103" spans="1:25" ht="15.75" customHeight="1">
      <c r="A103" s="103"/>
      <c r="B103" s="104"/>
      <c r="C103" s="99"/>
      <c r="D103" s="105"/>
      <c r="E103" s="83">
        <f t="shared" si="10"/>
        <v>1</v>
      </c>
      <c r="F103" s="11">
        <f t="shared" si="10"/>
        <v>3</v>
      </c>
      <c r="G103" s="11">
        <f t="shared" si="10"/>
        <v>7</v>
      </c>
      <c r="H103" s="11">
        <f t="shared" si="10"/>
        <v>15</v>
      </c>
      <c r="I103" s="11">
        <f t="shared" si="10"/>
        <v>31</v>
      </c>
      <c r="J103" s="11">
        <f t="shared" si="10"/>
        <v>63</v>
      </c>
      <c r="K103" s="11">
        <f t="shared" si="10"/>
        <v>0</v>
      </c>
      <c r="L103" s="11">
        <f t="shared" si="11"/>
        <v>0</v>
      </c>
      <c r="M103" s="11">
        <f t="shared" si="11"/>
        <v>0</v>
      </c>
      <c r="N103" s="17"/>
      <c r="O103" s="7"/>
      <c r="P103" s="7"/>
      <c r="Q103" s="7"/>
      <c r="R103" s="7"/>
      <c r="S103" s="7"/>
      <c r="T103" s="7"/>
      <c r="U103" s="7"/>
      <c r="V103" s="3"/>
      <c r="W103" s="3"/>
      <c r="X103" s="3"/>
      <c r="Y103" s="3"/>
    </row>
    <row r="104" spans="1:25" ht="15.75" customHeight="1">
      <c r="A104" s="103"/>
      <c r="B104" s="104"/>
      <c r="C104" s="99"/>
      <c r="D104" s="105"/>
      <c r="E104" s="83">
        <f t="shared" si="10"/>
        <v>1</v>
      </c>
      <c r="F104" s="11">
        <f t="shared" si="10"/>
        <v>3</v>
      </c>
      <c r="G104" s="11">
        <f t="shared" si="10"/>
        <v>7</v>
      </c>
      <c r="H104" s="11">
        <f t="shared" si="10"/>
        <v>15</v>
      </c>
      <c r="I104" s="11">
        <f t="shared" si="10"/>
        <v>31</v>
      </c>
      <c r="J104" s="11">
        <f t="shared" si="10"/>
        <v>63</v>
      </c>
      <c r="K104" s="11">
        <f t="shared" si="10"/>
        <v>0</v>
      </c>
      <c r="L104" s="11">
        <f t="shared" si="11"/>
        <v>0</v>
      </c>
      <c r="M104" s="11">
        <f t="shared" si="11"/>
        <v>0</v>
      </c>
      <c r="N104" s="17"/>
      <c r="O104" s="7"/>
      <c r="P104" s="7"/>
      <c r="Q104" s="7"/>
      <c r="R104" s="7"/>
      <c r="S104" s="7"/>
      <c r="T104" s="7"/>
      <c r="U104" s="7"/>
      <c r="V104" s="3"/>
      <c r="W104" s="3"/>
      <c r="X104" s="3"/>
      <c r="Y104" s="3"/>
    </row>
    <row r="105" spans="1:25" ht="15.75" customHeight="1">
      <c r="A105" s="103"/>
      <c r="B105" s="104"/>
      <c r="C105" s="99"/>
      <c r="D105" s="105"/>
      <c r="E105" s="83">
        <f t="shared" si="10"/>
        <v>1</v>
      </c>
      <c r="F105" s="11">
        <f t="shared" si="10"/>
        <v>3</v>
      </c>
      <c r="G105" s="11">
        <f t="shared" si="10"/>
        <v>7</v>
      </c>
      <c r="H105" s="11">
        <f t="shared" si="10"/>
        <v>15</v>
      </c>
      <c r="I105" s="11">
        <f t="shared" si="10"/>
        <v>31</v>
      </c>
      <c r="J105" s="11">
        <f t="shared" si="10"/>
        <v>63</v>
      </c>
      <c r="K105" s="11">
        <f t="shared" si="10"/>
        <v>0</v>
      </c>
      <c r="L105" s="11">
        <f t="shared" si="11"/>
        <v>0</v>
      </c>
      <c r="M105" s="11">
        <f t="shared" si="11"/>
        <v>0</v>
      </c>
      <c r="N105" s="17"/>
      <c r="O105" s="7"/>
      <c r="P105" s="7"/>
      <c r="Q105" s="7"/>
      <c r="R105" s="7"/>
      <c r="S105" s="7"/>
      <c r="T105" s="7"/>
      <c r="U105" s="7"/>
      <c r="V105" s="3"/>
      <c r="W105" s="3"/>
      <c r="X105" s="3"/>
      <c r="Y105" s="3"/>
    </row>
    <row r="106" spans="1:25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7"/>
      <c r="P106" s="7"/>
      <c r="Q106" s="7"/>
      <c r="R106" s="7"/>
      <c r="S106" s="7"/>
      <c r="T106" s="7"/>
      <c r="U106" s="7"/>
      <c r="V106" s="3"/>
      <c r="W106" s="3"/>
      <c r="X106" s="3"/>
      <c r="Y106" s="3"/>
    </row>
    <row r="107" spans="1:25" ht="15.75" customHeight="1">
      <c r="A107" s="104"/>
      <c r="B107" s="106"/>
      <c r="C107" s="107"/>
      <c r="D107" s="105"/>
      <c r="E107" s="83">
        <f t="shared" si="10"/>
        <v>1</v>
      </c>
      <c r="F107" s="11">
        <f t="shared" si="10"/>
        <v>3</v>
      </c>
      <c r="G107" s="11">
        <f t="shared" ref="G107:H118" si="12">$D107+G$5</f>
        <v>7</v>
      </c>
      <c r="H107" s="11">
        <f t="shared" si="12"/>
        <v>15</v>
      </c>
      <c r="I107" s="11">
        <f t="shared" si="10"/>
        <v>31</v>
      </c>
      <c r="J107" s="11">
        <f t="shared" si="10"/>
        <v>63</v>
      </c>
      <c r="K107" s="11">
        <f t="shared" si="10"/>
        <v>0</v>
      </c>
      <c r="L107" s="11">
        <f t="shared" ref="L107:M118" si="13">$D107+L$5</f>
        <v>0</v>
      </c>
      <c r="M107" s="11">
        <f t="shared" si="13"/>
        <v>0</v>
      </c>
      <c r="N107" s="17"/>
      <c r="O107" s="7"/>
      <c r="P107" s="7"/>
      <c r="Q107" s="7"/>
      <c r="R107" s="7"/>
      <c r="S107" s="7"/>
      <c r="T107" s="7"/>
      <c r="U107" s="7"/>
      <c r="V107" s="3"/>
      <c r="W107" s="3"/>
      <c r="X107" s="3"/>
      <c r="Y107" s="3"/>
    </row>
    <row r="108" spans="1:25" ht="15.75" customHeight="1">
      <c r="A108" s="104"/>
      <c r="B108" s="106"/>
      <c r="C108" s="107"/>
      <c r="D108" s="105"/>
      <c r="E108" s="83">
        <f t="shared" si="10"/>
        <v>1</v>
      </c>
      <c r="F108" s="11">
        <f t="shared" si="10"/>
        <v>3</v>
      </c>
      <c r="G108" s="11">
        <f t="shared" si="12"/>
        <v>7</v>
      </c>
      <c r="H108" s="11">
        <f t="shared" si="12"/>
        <v>15</v>
      </c>
      <c r="I108" s="11">
        <f t="shared" si="10"/>
        <v>31</v>
      </c>
      <c r="J108" s="11">
        <f t="shared" si="10"/>
        <v>63</v>
      </c>
      <c r="K108" s="11">
        <f t="shared" si="10"/>
        <v>0</v>
      </c>
      <c r="L108" s="11">
        <f t="shared" si="13"/>
        <v>0</v>
      </c>
      <c r="M108" s="11">
        <f t="shared" si="13"/>
        <v>0</v>
      </c>
      <c r="N108" s="17"/>
      <c r="O108" s="7"/>
      <c r="P108" s="7"/>
      <c r="Q108" s="7"/>
      <c r="R108" s="7"/>
      <c r="S108" s="7"/>
      <c r="T108" s="7"/>
      <c r="U108" s="7"/>
      <c r="V108" s="3"/>
      <c r="W108" s="3"/>
      <c r="X108" s="3"/>
      <c r="Y108" s="3"/>
    </row>
    <row r="109" spans="1:25" ht="15.75" customHeight="1">
      <c r="A109" s="104"/>
      <c r="B109" s="106"/>
      <c r="C109" s="107"/>
      <c r="D109" s="105"/>
      <c r="E109" s="83">
        <f t="shared" si="10"/>
        <v>1</v>
      </c>
      <c r="F109" s="11">
        <f t="shared" si="10"/>
        <v>3</v>
      </c>
      <c r="G109" s="11">
        <f t="shared" si="12"/>
        <v>7</v>
      </c>
      <c r="H109" s="11">
        <f t="shared" si="12"/>
        <v>15</v>
      </c>
      <c r="I109" s="11">
        <f t="shared" si="10"/>
        <v>31</v>
      </c>
      <c r="J109" s="11">
        <f t="shared" si="10"/>
        <v>63</v>
      </c>
      <c r="K109" s="11">
        <f t="shared" si="10"/>
        <v>0</v>
      </c>
      <c r="L109" s="11">
        <f t="shared" si="13"/>
        <v>0</v>
      </c>
      <c r="M109" s="11">
        <f t="shared" si="13"/>
        <v>0</v>
      </c>
      <c r="N109" s="17"/>
      <c r="O109" s="7"/>
      <c r="P109" s="7"/>
      <c r="Q109" s="7"/>
      <c r="R109" s="7"/>
      <c r="S109" s="7"/>
      <c r="T109" s="7"/>
      <c r="U109" s="7"/>
      <c r="V109" s="3"/>
      <c r="W109" s="3"/>
      <c r="X109" s="3"/>
      <c r="Y109" s="3"/>
    </row>
    <row r="110" spans="1:25" ht="15.75" customHeight="1">
      <c r="A110" s="104"/>
      <c r="B110" s="106"/>
      <c r="C110" s="107"/>
      <c r="D110" s="105"/>
      <c r="E110" s="83">
        <f t="shared" si="10"/>
        <v>1</v>
      </c>
      <c r="F110" s="11">
        <f t="shared" si="10"/>
        <v>3</v>
      </c>
      <c r="G110" s="11">
        <f t="shared" si="12"/>
        <v>7</v>
      </c>
      <c r="H110" s="11">
        <f t="shared" si="12"/>
        <v>15</v>
      </c>
      <c r="I110" s="11">
        <f t="shared" ref="E110:K118" si="14">$D110+I$5</f>
        <v>31</v>
      </c>
      <c r="J110" s="11">
        <f t="shared" si="14"/>
        <v>63</v>
      </c>
      <c r="K110" s="11">
        <f t="shared" si="14"/>
        <v>0</v>
      </c>
      <c r="L110" s="11">
        <f t="shared" si="13"/>
        <v>0</v>
      </c>
      <c r="M110" s="11">
        <f t="shared" si="13"/>
        <v>0</v>
      </c>
      <c r="N110" s="17"/>
      <c r="O110" s="7"/>
      <c r="P110" s="7"/>
      <c r="Q110" s="7"/>
      <c r="R110" s="7"/>
      <c r="S110" s="7"/>
      <c r="T110" s="7"/>
      <c r="U110" s="7"/>
      <c r="V110" s="3"/>
      <c r="W110" s="3"/>
      <c r="X110" s="3"/>
      <c r="Y110" s="3"/>
    </row>
    <row r="111" spans="1:25" ht="15.75" customHeight="1">
      <c r="A111" s="104"/>
      <c r="B111" s="106"/>
      <c r="C111" s="107"/>
      <c r="D111" s="105"/>
      <c r="E111" s="83">
        <f t="shared" si="14"/>
        <v>1</v>
      </c>
      <c r="F111" s="11">
        <f t="shared" si="14"/>
        <v>3</v>
      </c>
      <c r="G111" s="11">
        <f t="shared" si="12"/>
        <v>7</v>
      </c>
      <c r="H111" s="11">
        <f t="shared" si="12"/>
        <v>15</v>
      </c>
      <c r="I111" s="11">
        <f t="shared" si="14"/>
        <v>31</v>
      </c>
      <c r="J111" s="11">
        <f t="shared" si="14"/>
        <v>63</v>
      </c>
      <c r="K111" s="11">
        <f t="shared" si="14"/>
        <v>0</v>
      </c>
      <c r="L111" s="11">
        <f t="shared" si="13"/>
        <v>0</v>
      </c>
      <c r="M111" s="11">
        <f t="shared" si="13"/>
        <v>0</v>
      </c>
      <c r="N111" s="17"/>
      <c r="O111" s="7"/>
      <c r="P111" s="7"/>
      <c r="Q111" s="7"/>
      <c r="R111" s="7"/>
      <c r="S111" s="7"/>
      <c r="T111" s="7"/>
      <c r="U111" s="7"/>
      <c r="V111" s="3"/>
      <c r="W111" s="3"/>
      <c r="X111" s="3"/>
      <c r="Y111" s="3"/>
    </row>
    <row r="112" spans="1:25" ht="15.75" customHeight="1">
      <c r="A112" s="104"/>
      <c r="B112" s="106"/>
      <c r="C112" s="107"/>
      <c r="D112" s="105"/>
      <c r="E112" s="83">
        <f t="shared" si="14"/>
        <v>1</v>
      </c>
      <c r="F112" s="11">
        <f t="shared" si="14"/>
        <v>3</v>
      </c>
      <c r="G112" s="11">
        <f t="shared" si="12"/>
        <v>7</v>
      </c>
      <c r="H112" s="11">
        <f t="shared" si="12"/>
        <v>15</v>
      </c>
      <c r="I112" s="11">
        <f t="shared" si="14"/>
        <v>31</v>
      </c>
      <c r="J112" s="11">
        <f t="shared" si="14"/>
        <v>63</v>
      </c>
      <c r="K112" s="11">
        <f t="shared" si="14"/>
        <v>0</v>
      </c>
      <c r="L112" s="11">
        <f t="shared" si="13"/>
        <v>0</v>
      </c>
      <c r="M112" s="11">
        <f t="shared" si="13"/>
        <v>0</v>
      </c>
      <c r="N112" s="17"/>
      <c r="O112" s="7"/>
      <c r="P112" s="7"/>
      <c r="Q112" s="7"/>
      <c r="R112" s="7"/>
      <c r="S112" s="7"/>
      <c r="T112" s="7"/>
      <c r="U112" s="7"/>
      <c r="V112" s="3"/>
      <c r="W112" s="3"/>
      <c r="X112" s="3"/>
      <c r="Y112" s="3"/>
    </row>
    <row r="113" spans="1:25" ht="15.75" customHeight="1">
      <c r="A113" s="104"/>
      <c r="B113" s="106"/>
      <c r="C113" s="107"/>
      <c r="D113" s="105"/>
      <c r="E113" s="83">
        <f t="shared" si="14"/>
        <v>1</v>
      </c>
      <c r="F113" s="11">
        <f t="shared" si="14"/>
        <v>3</v>
      </c>
      <c r="G113" s="11">
        <f t="shared" si="12"/>
        <v>7</v>
      </c>
      <c r="H113" s="11">
        <f t="shared" si="12"/>
        <v>15</v>
      </c>
      <c r="I113" s="11">
        <f t="shared" si="14"/>
        <v>31</v>
      </c>
      <c r="J113" s="11">
        <f t="shared" si="14"/>
        <v>63</v>
      </c>
      <c r="K113" s="11">
        <f t="shared" si="14"/>
        <v>0</v>
      </c>
      <c r="L113" s="11">
        <f t="shared" si="13"/>
        <v>0</v>
      </c>
      <c r="M113" s="11">
        <f t="shared" si="13"/>
        <v>0</v>
      </c>
      <c r="N113" s="17"/>
      <c r="O113" s="7"/>
      <c r="P113" s="7"/>
      <c r="Q113" s="7"/>
      <c r="R113" s="7"/>
      <c r="S113" s="7"/>
      <c r="T113" s="7"/>
      <c r="U113" s="7"/>
      <c r="V113" s="3"/>
      <c r="W113" s="3"/>
      <c r="X113" s="3"/>
      <c r="Y113" s="3"/>
    </row>
    <row r="114" spans="1:25" ht="15.75" customHeight="1">
      <c r="A114" s="104"/>
      <c r="B114" s="106"/>
      <c r="C114" s="107"/>
      <c r="D114" s="105"/>
      <c r="E114" s="83">
        <f t="shared" si="14"/>
        <v>1</v>
      </c>
      <c r="F114" s="11">
        <f t="shared" si="14"/>
        <v>3</v>
      </c>
      <c r="G114" s="11">
        <f t="shared" si="12"/>
        <v>7</v>
      </c>
      <c r="H114" s="11">
        <f t="shared" si="12"/>
        <v>15</v>
      </c>
      <c r="I114" s="11">
        <f t="shared" si="14"/>
        <v>31</v>
      </c>
      <c r="J114" s="11">
        <f t="shared" si="14"/>
        <v>63</v>
      </c>
      <c r="K114" s="11">
        <f t="shared" si="14"/>
        <v>0</v>
      </c>
      <c r="L114" s="11">
        <f t="shared" si="13"/>
        <v>0</v>
      </c>
      <c r="M114" s="11">
        <f t="shared" si="13"/>
        <v>0</v>
      </c>
      <c r="N114" s="17"/>
      <c r="O114" s="7"/>
      <c r="P114" s="7"/>
      <c r="Q114" s="7"/>
      <c r="R114" s="7"/>
      <c r="S114" s="7"/>
      <c r="T114" s="7"/>
      <c r="U114" s="7"/>
      <c r="V114" s="3"/>
      <c r="W114" s="3"/>
      <c r="X114" s="3"/>
      <c r="Y114" s="3"/>
    </row>
    <row r="115" spans="1:25" ht="15.75" customHeight="1">
      <c r="A115" s="104"/>
      <c r="B115" s="106"/>
      <c r="C115" s="107"/>
      <c r="D115" s="105"/>
      <c r="E115" s="83">
        <f t="shared" si="14"/>
        <v>1</v>
      </c>
      <c r="F115" s="11">
        <f t="shared" si="14"/>
        <v>3</v>
      </c>
      <c r="G115" s="11">
        <f t="shared" si="12"/>
        <v>7</v>
      </c>
      <c r="H115" s="11">
        <f t="shared" si="12"/>
        <v>15</v>
      </c>
      <c r="I115" s="11">
        <f t="shared" si="14"/>
        <v>31</v>
      </c>
      <c r="J115" s="11">
        <f t="shared" si="14"/>
        <v>63</v>
      </c>
      <c r="K115" s="11">
        <f t="shared" si="14"/>
        <v>0</v>
      </c>
      <c r="L115" s="11">
        <f t="shared" si="13"/>
        <v>0</v>
      </c>
      <c r="M115" s="11">
        <f t="shared" si="13"/>
        <v>0</v>
      </c>
      <c r="N115" s="17"/>
      <c r="O115" s="7"/>
      <c r="P115" s="7"/>
      <c r="Q115" s="7"/>
      <c r="R115" s="7"/>
      <c r="S115" s="7"/>
      <c r="T115" s="7"/>
      <c r="U115" s="7"/>
      <c r="V115" s="3"/>
      <c r="W115" s="3"/>
      <c r="X115" s="3"/>
      <c r="Y115" s="3"/>
    </row>
    <row r="116" spans="1:25" ht="15.75" customHeight="1">
      <c r="A116" s="104"/>
      <c r="B116" s="106"/>
      <c r="C116" s="107"/>
      <c r="D116" s="105"/>
      <c r="E116" s="83">
        <f t="shared" si="14"/>
        <v>1</v>
      </c>
      <c r="F116" s="11">
        <f t="shared" si="14"/>
        <v>3</v>
      </c>
      <c r="G116" s="11">
        <f t="shared" si="12"/>
        <v>7</v>
      </c>
      <c r="H116" s="11">
        <f t="shared" si="12"/>
        <v>15</v>
      </c>
      <c r="I116" s="11">
        <f t="shared" si="14"/>
        <v>31</v>
      </c>
      <c r="J116" s="11">
        <f t="shared" si="14"/>
        <v>63</v>
      </c>
      <c r="K116" s="11">
        <f t="shared" si="14"/>
        <v>0</v>
      </c>
      <c r="L116" s="11">
        <f t="shared" si="13"/>
        <v>0</v>
      </c>
      <c r="M116" s="11">
        <f t="shared" si="13"/>
        <v>0</v>
      </c>
      <c r="N116" s="17"/>
      <c r="O116" s="7"/>
      <c r="P116" s="7"/>
      <c r="Q116" s="7"/>
      <c r="R116" s="7"/>
      <c r="S116" s="7"/>
      <c r="T116" s="7"/>
      <c r="U116" s="7"/>
      <c r="V116" s="3"/>
      <c r="W116" s="3"/>
      <c r="X116" s="3"/>
      <c r="Y116" s="3"/>
    </row>
    <row r="117" spans="1:25" ht="15.75" customHeight="1">
      <c r="A117" s="104"/>
      <c r="B117" s="106"/>
      <c r="C117" s="107"/>
      <c r="D117" s="105"/>
      <c r="E117" s="83">
        <f t="shared" si="14"/>
        <v>1</v>
      </c>
      <c r="F117" s="11">
        <f t="shared" si="14"/>
        <v>3</v>
      </c>
      <c r="G117" s="11">
        <f t="shared" si="12"/>
        <v>7</v>
      </c>
      <c r="H117" s="11">
        <f t="shared" si="12"/>
        <v>15</v>
      </c>
      <c r="I117" s="11">
        <f t="shared" si="14"/>
        <v>31</v>
      </c>
      <c r="J117" s="11">
        <f t="shared" si="14"/>
        <v>63</v>
      </c>
      <c r="K117" s="11">
        <f t="shared" si="14"/>
        <v>0</v>
      </c>
      <c r="L117" s="11">
        <f t="shared" si="13"/>
        <v>0</v>
      </c>
      <c r="M117" s="11">
        <f t="shared" si="13"/>
        <v>0</v>
      </c>
      <c r="N117" s="17"/>
      <c r="O117" s="7"/>
      <c r="P117" s="7"/>
      <c r="Q117" s="7"/>
      <c r="R117" s="7"/>
      <c r="S117" s="7"/>
      <c r="T117" s="7"/>
      <c r="U117" s="7"/>
      <c r="V117" s="3"/>
      <c r="W117" s="3"/>
      <c r="X117" s="3"/>
      <c r="Y117" s="3"/>
    </row>
    <row r="118" spans="1:25" ht="15.75" customHeight="1">
      <c r="A118" s="104"/>
      <c r="B118" s="106"/>
      <c r="C118" s="107"/>
      <c r="D118" s="105"/>
      <c r="E118" s="83">
        <f t="shared" si="14"/>
        <v>1</v>
      </c>
      <c r="F118" s="11">
        <f t="shared" si="14"/>
        <v>3</v>
      </c>
      <c r="G118" s="11">
        <f t="shared" si="12"/>
        <v>7</v>
      </c>
      <c r="H118" s="11">
        <f t="shared" si="12"/>
        <v>15</v>
      </c>
      <c r="I118" s="11">
        <f t="shared" si="14"/>
        <v>31</v>
      </c>
      <c r="J118" s="11">
        <f t="shared" si="14"/>
        <v>63</v>
      </c>
      <c r="K118" s="11">
        <f t="shared" si="14"/>
        <v>0</v>
      </c>
      <c r="L118" s="11">
        <f t="shared" si="13"/>
        <v>0</v>
      </c>
      <c r="M118" s="11">
        <f t="shared" si="13"/>
        <v>0</v>
      </c>
      <c r="N118" s="17"/>
      <c r="O118" s="7"/>
      <c r="P118" s="7"/>
      <c r="Q118" s="7"/>
      <c r="R118" s="7"/>
      <c r="S118" s="7"/>
      <c r="T118" s="7"/>
      <c r="U118" s="7"/>
      <c r="V118" s="3"/>
      <c r="W118" s="3"/>
      <c r="X118" s="3"/>
      <c r="Y118" s="3"/>
    </row>
    <row r="119" spans="1:25" ht="15.75" customHeight="1">
      <c r="A119" s="108"/>
      <c r="B119" s="108"/>
      <c r="C119" s="108"/>
      <c r="D119" s="109"/>
      <c r="E119" s="1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3"/>
      <c r="W119" s="3"/>
      <c r="X119" s="3"/>
      <c r="Y119" s="3"/>
    </row>
    <row r="120" spans="1:25" ht="15.75" customHeight="1">
      <c r="A120" s="108"/>
      <c r="B120" s="108"/>
      <c r="C120" s="108"/>
      <c r="D120" s="109"/>
      <c r="E120" s="1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3"/>
      <c r="W120" s="3"/>
      <c r="X120" s="3"/>
      <c r="Y120" s="3"/>
    </row>
    <row r="121" spans="1:25" ht="15.75" customHeight="1">
      <c r="A121" s="108"/>
      <c r="B121" s="108"/>
      <c r="C121" s="108"/>
      <c r="D121" s="109"/>
      <c r="E121" s="1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3"/>
      <c r="W121" s="3"/>
      <c r="X121" s="3"/>
      <c r="Y121" s="3"/>
    </row>
    <row r="122" spans="1:25" ht="15.75" customHeight="1">
      <c r="A122" s="108"/>
      <c r="B122" s="108"/>
      <c r="C122" s="108"/>
      <c r="D122" s="109"/>
      <c r="E122" s="1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3"/>
      <c r="W122" s="3"/>
      <c r="X122" s="3"/>
      <c r="Y122" s="3"/>
    </row>
    <row r="123" spans="1:25" ht="15.75" customHeight="1">
      <c r="A123" s="108"/>
      <c r="B123" s="108"/>
      <c r="C123" s="108"/>
      <c r="D123" s="109"/>
      <c r="E123" s="1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3"/>
      <c r="W123" s="3"/>
      <c r="X123" s="3"/>
      <c r="Y123" s="3"/>
    </row>
    <row r="124" spans="1:25" ht="15.75" customHeight="1">
      <c r="A124" s="108"/>
      <c r="B124" s="108"/>
      <c r="C124" s="108"/>
      <c r="D124" s="109"/>
      <c r="E124" s="1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3"/>
      <c r="W124" s="3"/>
      <c r="X124" s="3"/>
      <c r="Y124" s="3"/>
    </row>
    <row r="125" spans="1:25" ht="15.75" customHeight="1">
      <c r="A125" s="108"/>
      <c r="B125" s="108"/>
      <c r="C125" s="108"/>
      <c r="D125" s="109"/>
      <c r="E125" s="1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3"/>
      <c r="W125" s="3"/>
      <c r="X125" s="3"/>
      <c r="Y125" s="3"/>
    </row>
    <row r="126" spans="1:25" ht="15.75" customHeight="1">
      <c r="A126" s="108"/>
      <c r="B126" s="108"/>
      <c r="C126" s="108"/>
      <c r="D126" s="109"/>
      <c r="E126" s="1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3"/>
      <c r="W126" s="3"/>
      <c r="X126" s="3"/>
      <c r="Y126" s="3"/>
    </row>
    <row r="127" spans="1:25" ht="15.75" customHeight="1">
      <c r="A127" s="108"/>
      <c r="B127" s="108"/>
      <c r="C127" s="108"/>
      <c r="D127" s="109"/>
      <c r="E127" s="1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3"/>
      <c r="W127" s="3"/>
      <c r="X127" s="3"/>
      <c r="Y127" s="3"/>
    </row>
    <row r="128" spans="1:25" ht="15.75" customHeight="1">
      <c r="A128" s="108"/>
      <c r="B128" s="108"/>
      <c r="C128" s="108"/>
      <c r="D128" s="109"/>
      <c r="E128" s="1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3"/>
      <c r="W128" s="3"/>
      <c r="X128" s="3"/>
      <c r="Y128" s="3"/>
    </row>
    <row r="129" spans="1:25" ht="15.75" customHeight="1">
      <c r="A129" s="108"/>
      <c r="B129" s="108"/>
      <c r="C129" s="108"/>
      <c r="D129" s="109"/>
      <c r="E129" s="1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3"/>
      <c r="W129" s="3"/>
      <c r="X129" s="3"/>
      <c r="Y129" s="3"/>
    </row>
    <row r="130" spans="1:25" ht="15.75" customHeight="1">
      <c r="A130" s="108"/>
      <c r="B130" s="108"/>
      <c r="C130" s="108"/>
      <c r="D130" s="109"/>
      <c r="E130" s="1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3"/>
      <c r="W130" s="3"/>
      <c r="X130" s="3"/>
      <c r="Y130" s="3"/>
    </row>
    <row r="131" spans="1:25" ht="15.75" customHeight="1">
      <c r="A131" s="108"/>
      <c r="B131" s="108"/>
      <c r="C131" s="108"/>
      <c r="D131" s="109"/>
      <c r="E131" s="1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3"/>
      <c r="W131" s="3"/>
      <c r="X131" s="3"/>
      <c r="Y131" s="3"/>
    </row>
    <row r="132" spans="1:25" ht="15.75" customHeight="1">
      <c r="A132" s="108"/>
      <c r="B132" s="108"/>
      <c r="C132" s="108"/>
      <c r="D132" s="109"/>
      <c r="E132" s="1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3"/>
      <c r="W132" s="3"/>
      <c r="X132" s="3"/>
      <c r="Y132" s="3"/>
    </row>
    <row r="133" spans="1:25" ht="15.75" customHeight="1">
      <c r="A133" s="108"/>
      <c r="B133" s="108"/>
      <c r="C133" s="108"/>
      <c r="D133" s="109"/>
      <c r="E133" s="1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3"/>
      <c r="W133" s="3"/>
      <c r="X133" s="3"/>
      <c r="Y133" s="3"/>
    </row>
    <row r="134" spans="1:25" ht="15.75" customHeight="1">
      <c r="A134" s="108"/>
      <c r="B134" s="108"/>
      <c r="C134" s="108"/>
      <c r="D134" s="109"/>
      <c r="E134" s="1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3"/>
      <c r="W134" s="3"/>
      <c r="X134" s="3"/>
      <c r="Y134" s="3"/>
    </row>
    <row r="135" spans="1:25" ht="15.75" customHeight="1">
      <c r="A135" s="108"/>
      <c r="B135" s="108"/>
      <c r="C135" s="108"/>
      <c r="D135" s="109"/>
      <c r="E135" s="1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3"/>
      <c r="W135" s="3"/>
      <c r="X135" s="3"/>
      <c r="Y135" s="3"/>
    </row>
    <row r="136" spans="1:25" ht="15.75" customHeight="1">
      <c r="A136" s="108"/>
      <c r="B136" s="108"/>
      <c r="C136" s="108"/>
      <c r="D136" s="109"/>
      <c r="E136" s="1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3"/>
      <c r="W136" s="3"/>
      <c r="X136" s="3"/>
      <c r="Y136" s="3"/>
    </row>
    <row r="137" spans="1:25" ht="15.75" customHeight="1">
      <c r="A137" s="108"/>
      <c r="B137" s="108"/>
      <c r="C137" s="108"/>
      <c r="D137" s="109"/>
      <c r="E137" s="1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3"/>
      <c r="W137" s="3"/>
      <c r="X137" s="3"/>
      <c r="Y137" s="3"/>
    </row>
    <row r="138" spans="1:25" ht="15.75" customHeight="1">
      <c r="A138" s="108"/>
      <c r="B138" s="108"/>
      <c r="C138" s="108"/>
      <c r="D138" s="109"/>
      <c r="E138" s="1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3"/>
      <c r="W138" s="3"/>
      <c r="X138" s="3"/>
      <c r="Y138" s="3"/>
    </row>
    <row r="139" spans="1:25" ht="15.75" customHeight="1">
      <c r="A139" s="108"/>
      <c r="B139" s="108"/>
      <c r="C139" s="108"/>
      <c r="D139" s="109"/>
      <c r="E139" s="1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3"/>
      <c r="W139" s="3"/>
      <c r="X139" s="3"/>
      <c r="Y139" s="3"/>
    </row>
    <row r="140" spans="1:25" ht="15.75" customHeight="1">
      <c r="A140" s="108"/>
      <c r="B140" s="108"/>
      <c r="C140" s="108"/>
      <c r="D140" s="109"/>
      <c r="E140" s="1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3"/>
      <c r="W140" s="3"/>
      <c r="X140" s="3"/>
      <c r="Y140" s="3"/>
    </row>
    <row r="141" spans="1:25" ht="15.75" customHeight="1">
      <c r="A141" s="108"/>
      <c r="B141" s="108"/>
      <c r="C141" s="108"/>
      <c r="D141" s="109"/>
      <c r="E141" s="1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3"/>
      <c r="W141" s="3"/>
      <c r="X141" s="3"/>
      <c r="Y141" s="3"/>
    </row>
    <row r="142" spans="1:25" ht="15.75" customHeight="1">
      <c r="A142" s="108"/>
      <c r="B142" s="108"/>
      <c r="C142" s="108"/>
      <c r="D142" s="109"/>
      <c r="E142" s="1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3"/>
      <c r="W142" s="3"/>
      <c r="X142" s="3"/>
      <c r="Y142" s="3"/>
    </row>
    <row r="143" spans="1:25" ht="15.75" customHeight="1">
      <c r="A143" s="108"/>
      <c r="B143" s="108"/>
      <c r="C143" s="108"/>
      <c r="D143" s="109"/>
      <c r="E143" s="1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3"/>
      <c r="W143" s="3"/>
      <c r="X143" s="3"/>
      <c r="Y143" s="3"/>
    </row>
    <row r="144" spans="1:25" ht="15.75" customHeight="1">
      <c r="A144" s="108"/>
      <c r="B144" s="108"/>
      <c r="C144" s="108"/>
      <c r="D144" s="109"/>
      <c r="E144" s="1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3"/>
      <c r="W144" s="3"/>
      <c r="X144" s="3"/>
      <c r="Y144" s="3"/>
    </row>
    <row r="145" spans="1:25" ht="15.75" customHeight="1">
      <c r="A145" s="108"/>
      <c r="B145" s="108"/>
      <c r="C145" s="108"/>
      <c r="D145" s="109"/>
      <c r="E145" s="1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3"/>
      <c r="W145" s="3"/>
      <c r="X145" s="3"/>
      <c r="Y145" s="3"/>
    </row>
    <row r="146" spans="1:25" ht="15.75" customHeight="1">
      <c r="A146" s="108"/>
      <c r="B146" s="108"/>
      <c r="C146" s="108"/>
      <c r="D146" s="109"/>
      <c r="E146" s="1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3"/>
      <c r="W146" s="3"/>
      <c r="X146" s="3"/>
      <c r="Y146" s="3"/>
    </row>
    <row r="147" spans="1:25" ht="15.75" customHeight="1">
      <c r="A147" s="7"/>
      <c r="B147" s="7"/>
      <c r="C147" s="7"/>
      <c r="D147" s="18"/>
      <c r="E147" s="1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3"/>
      <c r="W147" s="3"/>
      <c r="X147" s="3"/>
      <c r="Y147" s="3"/>
    </row>
    <row r="148" spans="1:25" ht="15.75" customHeight="1">
      <c r="A148" s="7"/>
      <c r="B148" s="7"/>
      <c r="C148" s="7"/>
      <c r="D148" s="18"/>
      <c r="E148" s="1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3"/>
      <c r="W148" s="3"/>
      <c r="X148" s="3"/>
      <c r="Y148" s="3"/>
    </row>
    <row r="149" spans="1:25" ht="15.75" customHeight="1">
      <c r="A149" s="7"/>
      <c r="B149" s="7"/>
      <c r="C149" s="7"/>
      <c r="D149" s="18"/>
      <c r="E149" s="1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3"/>
      <c r="W149" s="3"/>
      <c r="X149" s="3"/>
      <c r="Y149" s="3"/>
    </row>
    <row r="150" spans="1:25" ht="15.75" customHeight="1">
      <c r="A150" s="7"/>
      <c r="B150" s="7"/>
      <c r="C150" s="7"/>
      <c r="D150" s="18"/>
      <c r="E150" s="1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3"/>
      <c r="W150" s="3"/>
      <c r="X150" s="3"/>
      <c r="Y150" s="3"/>
    </row>
    <row r="151" spans="1:25" ht="15.75" customHeight="1">
      <c r="A151" s="7"/>
      <c r="B151" s="7"/>
      <c r="C151" s="7"/>
      <c r="D151" s="18"/>
      <c r="E151" s="1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3"/>
      <c r="W151" s="3"/>
      <c r="X151" s="3"/>
      <c r="Y151" s="3"/>
    </row>
    <row r="152" spans="1:25" ht="15.75" customHeight="1">
      <c r="A152" s="7"/>
      <c r="B152" s="7"/>
      <c r="C152" s="7"/>
      <c r="D152" s="18"/>
      <c r="E152" s="1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3"/>
      <c r="W152" s="3"/>
      <c r="X152" s="3"/>
      <c r="Y152" s="3"/>
    </row>
    <row r="153" spans="1:25" ht="15.75" customHeight="1">
      <c r="A153" s="7"/>
      <c r="B153" s="7"/>
      <c r="C153" s="7"/>
      <c r="D153" s="18"/>
      <c r="E153" s="1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3"/>
      <c r="W153" s="3"/>
      <c r="X153" s="3"/>
      <c r="Y153" s="3"/>
    </row>
    <row r="154" spans="1:25" ht="15.75" customHeight="1">
      <c r="A154" s="7"/>
      <c r="B154" s="7"/>
      <c r="C154" s="7"/>
      <c r="D154" s="18"/>
      <c r="E154" s="1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3"/>
      <c r="W154" s="3"/>
      <c r="X154" s="3"/>
      <c r="Y154" s="3"/>
    </row>
    <row r="155" spans="1:25" ht="15.75" customHeight="1">
      <c r="A155" s="7"/>
      <c r="B155" s="7"/>
      <c r="C155" s="7"/>
      <c r="D155" s="18"/>
      <c r="E155" s="1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3"/>
      <c r="W155" s="3"/>
      <c r="X155" s="3"/>
      <c r="Y155" s="3"/>
    </row>
    <row r="156" spans="1:25" ht="15.75" customHeight="1">
      <c r="A156" s="7"/>
      <c r="B156" s="7"/>
      <c r="C156" s="7"/>
      <c r="D156" s="18"/>
      <c r="E156" s="1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3"/>
      <c r="W156" s="3"/>
      <c r="X156" s="3"/>
      <c r="Y156" s="3"/>
    </row>
    <row r="157" spans="1:25" ht="15.75" customHeight="1">
      <c r="A157" s="7"/>
      <c r="B157" s="7"/>
      <c r="C157" s="7"/>
      <c r="D157" s="18"/>
      <c r="E157" s="1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3"/>
      <c r="W157" s="3"/>
      <c r="X157" s="3"/>
      <c r="Y157" s="3"/>
    </row>
    <row r="158" spans="1:25" ht="15.75" customHeight="1">
      <c r="A158" s="7"/>
      <c r="B158" s="7"/>
      <c r="C158" s="7"/>
      <c r="D158" s="18"/>
      <c r="E158" s="1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3"/>
      <c r="W158" s="3"/>
      <c r="X158" s="3"/>
      <c r="Y158" s="3"/>
    </row>
    <row r="159" spans="1:25" ht="15.75" customHeight="1">
      <c r="A159" s="7"/>
      <c r="B159" s="7"/>
      <c r="C159" s="7"/>
      <c r="D159" s="18"/>
      <c r="E159" s="1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3"/>
      <c r="W159" s="3"/>
      <c r="X159" s="3"/>
      <c r="Y159" s="3"/>
    </row>
    <row r="160" spans="1:25" ht="15.75" customHeight="1">
      <c r="A160" s="7"/>
      <c r="B160" s="7"/>
      <c r="C160" s="7"/>
      <c r="D160" s="18"/>
      <c r="E160" s="1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3"/>
      <c r="W160" s="3"/>
      <c r="X160" s="3"/>
      <c r="Y160" s="3"/>
    </row>
    <row r="161" spans="1:25" ht="15.75" customHeight="1">
      <c r="A161" s="7"/>
      <c r="B161" s="7"/>
      <c r="C161" s="7"/>
      <c r="D161" s="18"/>
      <c r="E161" s="1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3"/>
      <c r="W161" s="3"/>
      <c r="X161" s="3"/>
      <c r="Y161" s="3"/>
    </row>
    <row r="162" spans="1:25" ht="15.75" customHeight="1">
      <c r="A162" s="7"/>
      <c r="B162" s="7"/>
      <c r="C162" s="7"/>
      <c r="D162" s="18"/>
      <c r="E162" s="1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3"/>
      <c r="W162" s="3"/>
      <c r="X162" s="3"/>
      <c r="Y162" s="3"/>
    </row>
    <row r="163" spans="1:25" ht="15.75" customHeight="1">
      <c r="A163" s="7"/>
      <c r="B163" s="7"/>
      <c r="C163" s="7"/>
      <c r="D163" s="18"/>
      <c r="E163" s="1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3"/>
      <c r="W163" s="3"/>
      <c r="X163" s="3"/>
      <c r="Y163" s="3"/>
    </row>
    <row r="164" spans="1:25" ht="15.75" customHeight="1">
      <c r="A164" s="7"/>
      <c r="B164" s="7"/>
      <c r="C164" s="7"/>
      <c r="D164" s="18"/>
      <c r="E164" s="1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3"/>
      <c r="W164" s="3"/>
      <c r="X164" s="3"/>
      <c r="Y164" s="3"/>
    </row>
    <row r="165" spans="1:25" ht="15.75" customHeight="1">
      <c r="A165" s="7"/>
      <c r="B165" s="7"/>
      <c r="C165" s="7"/>
      <c r="D165" s="18"/>
      <c r="E165" s="1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</row>
    <row r="166" spans="1:25" ht="15.75" customHeight="1">
      <c r="A166" s="7"/>
      <c r="B166" s="7"/>
      <c r="C166" s="7"/>
      <c r="D166" s="18"/>
      <c r="E166" s="1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3"/>
      <c r="W166" s="3"/>
      <c r="X166" s="3"/>
      <c r="Y166" s="3"/>
    </row>
    <row r="167" spans="1:25" ht="15.75" customHeight="1">
      <c r="A167" s="7"/>
      <c r="B167" s="7"/>
      <c r="C167" s="7"/>
      <c r="D167" s="18"/>
      <c r="E167" s="1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3"/>
      <c r="W167" s="3"/>
      <c r="X167" s="3"/>
      <c r="Y167" s="3"/>
    </row>
    <row r="168" spans="1:25" ht="15.75" customHeight="1">
      <c r="A168" s="7"/>
      <c r="B168" s="7"/>
      <c r="C168" s="7"/>
      <c r="D168" s="18"/>
      <c r="E168" s="1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3"/>
      <c r="W168" s="3"/>
      <c r="X168" s="3"/>
      <c r="Y168" s="3"/>
    </row>
    <row r="169" spans="1:25" ht="15.75" customHeight="1">
      <c r="A169" s="7"/>
      <c r="B169" s="7"/>
      <c r="C169" s="7"/>
      <c r="D169" s="18"/>
      <c r="E169" s="1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3"/>
      <c r="W169" s="3"/>
      <c r="X169" s="3"/>
      <c r="Y169" s="3"/>
    </row>
    <row r="170" spans="1:25" ht="15.75" customHeight="1">
      <c r="A170" s="7"/>
      <c r="B170" s="7"/>
      <c r="C170" s="7"/>
      <c r="D170" s="18"/>
      <c r="E170" s="1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3"/>
      <c r="W170" s="3"/>
      <c r="X170" s="3"/>
      <c r="Y170" s="3"/>
    </row>
    <row r="171" spans="1:25" ht="15.75" customHeight="1">
      <c r="A171" s="7"/>
      <c r="B171" s="7"/>
      <c r="C171" s="7"/>
      <c r="D171" s="18"/>
      <c r="E171" s="1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3"/>
      <c r="W171" s="3"/>
      <c r="X171" s="3"/>
      <c r="Y171" s="3"/>
    </row>
    <row r="172" spans="1:25" ht="15.75" customHeight="1">
      <c r="A172" s="20"/>
      <c r="B172" s="20"/>
      <c r="C172" s="7"/>
      <c r="D172" s="21"/>
      <c r="E172" s="19"/>
      <c r="F172" s="20"/>
      <c r="G172" s="20"/>
      <c r="H172" s="20"/>
      <c r="I172" s="20"/>
      <c r="J172" s="2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20"/>
      <c r="B173" s="20"/>
      <c r="C173" s="20"/>
      <c r="D173" s="21"/>
      <c r="E173" s="19"/>
      <c r="F173" s="20"/>
      <c r="G173" s="20"/>
      <c r="H173" s="20"/>
      <c r="I173" s="20"/>
      <c r="J173" s="2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20"/>
      <c r="B174" s="20"/>
      <c r="C174" s="20"/>
      <c r="D174" s="21"/>
      <c r="E174" s="19"/>
      <c r="F174" s="20"/>
      <c r="G174" s="20"/>
      <c r="H174" s="20"/>
      <c r="I174" s="20"/>
      <c r="J174" s="2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20"/>
      <c r="B175" s="20"/>
      <c r="C175" s="20"/>
      <c r="D175" s="21"/>
      <c r="E175" s="19"/>
      <c r="F175" s="20"/>
      <c r="G175" s="20"/>
      <c r="H175" s="20"/>
      <c r="I175" s="20"/>
      <c r="J175" s="2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20"/>
      <c r="B176" s="20"/>
      <c r="C176" s="20"/>
      <c r="D176" s="21"/>
      <c r="E176" s="19"/>
      <c r="F176" s="20"/>
      <c r="G176" s="20"/>
      <c r="H176" s="20"/>
      <c r="I176" s="20"/>
      <c r="J176" s="2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20"/>
      <c r="B177" s="20"/>
      <c r="C177" s="20"/>
      <c r="D177" s="21"/>
      <c r="E177" s="19"/>
      <c r="F177" s="20"/>
      <c r="G177" s="20"/>
      <c r="H177" s="20"/>
      <c r="I177" s="20"/>
      <c r="J177" s="2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20"/>
      <c r="B178" s="20"/>
      <c r="C178" s="20"/>
      <c r="D178" s="21"/>
      <c r="E178" s="19"/>
      <c r="F178" s="20"/>
      <c r="G178" s="20"/>
      <c r="H178" s="20"/>
      <c r="I178" s="20"/>
      <c r="J178" s="2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20"/>
      <c r="B179" s="20"/>
      <c r="C179" s="20"/>
      <c r="D179" s="21"/>
      <c r="E179" s="19"/>
      <c r="F179" s="20"/>
      <c r="G179" s="20"/>
      <c r="H179" s="20"/>
      <c r="I179" s="20"/>
      <c r="J179" s="2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20"/>
      <c r="B180" s="20"/>
      <c r="C180" s="20"/>
      <c r="D180" s="21"/>
      <c r="E180" s="22"/>
      <c r="F180" s="20"/>
      <c r="G180" s="20"/>
      <c r="H180" s="20"/>
      <c r="I180" s="20"/>
      <c r="J180" s="2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20"/>
      <c r="B181" s="20"/>
      <c r="C181" s="20"/>
      <c r="D181" s="21"/>
      <c r="E181" s="22"/>
      <c r="F181" s="20"/>
      <c r="G181" s="20"/>
      <c r="H181" s="20"/>
      <c r="I181" s="20"/>
      <c r="J181" s="2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20"/>
      <c r="B182" s="20"/>
      <c r="C182" s="20"/>
      <c r="D182" s="21"/>
      <c r="E182" s="22"/>
      <c r="F182" s="20"/>
      <c r="G182" s="20"/>
      <c r="H182" s="20"/>
      <c r="I182" s="20"/>
      <c r="J182" s="2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20"/>
      <c r="B183" s="20"/>
      <c r="C183" s="20"/>
      <c r="D183" s="21"/>
      <c r="E183" s="22"/>
      <c r="F183" s="20"/>
      <c r="G183" s="20"/>
      <c r="H183" s="20"/>
      <c r="I183" s="20"/>
      <c r="J183" s="2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20"/>
      <c r="B184" s="20"/>
      <c r="C184" s="20"/>
      <c r="D184" s="21"/>
      <c r="E184" s="22"/>
      <c r="F184" s="20"/>
      <c r="G184" s="20"/>
      <c r="H184" s="20"/>
      <c r="I184" s="20"/>
      <c r="J184" s="2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20"/>
      <c r="B185" s="20"/>
      <c r="C185" s="20"/>
      <c r="D185" s="21"/>
      <c r="E185" s="22"/>
      <c r="F185" s="20"/>
      <c r="G185" s="20"/>
      <c r="H185" s="20"/>
      <c r="I185" s="20"/>
      <c r="J185" s="2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20"/>
      <c r="B186" s="20"/>
      <c r="C186" s="20"/>
      <c r="D186" s="21"/>
      <c r="E186" s="22"/>
      <c r="F186" s="20"/>
      <c r="G186" s="20"/>
      <c r="H186" s="20"/>
      <c r="I186" s="20"/>
      <c r="J186" s="2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20"/>
      <c r="B187" s="20"/>
      <c r="C187" s="20"/>
      <c r="D187" s="21"/>
      <c r="E187" s="22"/>
      <c r="F187" s="20"/>
      <c r="G187" s="20"/>
      <c r="H187" s="20"/>
      <c r="I187" s="20"/>
      <c r="J187" s="2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20"/>
      <c r="B188" s="20"/>
      <c r="C188" s="20"/>
      <c r="D188" s="21"/>
      <c r="E188" s="22"/>
      <c r="F188" s="20"/>
      <c r="G188" s="20"/>
      <c r="H188" s="20"/>
      <c r="I188" s="20"/>
      <c r="J188" s="2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20"/>
      <c r="B189" s="20"/>
      <c r="C189" s="20"/>
      <c r="D189" s="21"/>
      <c r="E189" s="22"/>
      <c r="F189" s="20"/>
      <c r="G189" s="20"/>
      <c r="H189" s="20"/>
      <c r="I189" s="20"/>
      <c r="J189" s="2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20"/>
      <c r="B190" s="20"/>
      <c r="C190" s="20"/>
      <c r="D190" s="21"/>
      <c r="E190" s="22"/>
      <c r="F190" s="20"/>
      <c r="G190" s="20"/>
      <c r="H190" s="20"/>
      <c r="I190" s="20"/>
      <c r="J190" s="2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20"/>
      <c r="B191" s="20"/>
      <c r="C191" s="20"/>
      <c r="D191" s="21"/>
      <c r="E191" s="22"/>
      <c r="F191" s="20"/>
      <c r="G191" s="20"/>
      <c r="H191" s="20"/>
      <c r="I191" s="20"/>
      <c r="J191" s="2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20"/>
      <c r="B192" s="20"/>
      <c r="C192" s="20"/>
      <c r="D192" s="21"/>
      <c r="E192" s="22"/>
      <c r="F192" s="20"/>
      <c r="G192" s="20"/>
      <c r="H192" s="20"/>
      <c r="I192" s="20"/>
      <c r="J192" s="2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20"/>
      <c r="B193" s="20"/>
      <c r="C193" s="20"/>
      <c r="D193" s="21"/>
      <c r="E193" s="22"/>
      <c r="F193" s="20"/>
      <c r="G193" s="20"/>
      <c r="H193" s="20"/>
      <c r="I193" s="20"/>
      <c r="J193" s="2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20"/>
      <c r="B194" s="20"/>
      <c r="C194" s="20"/>
      <c r="D194" s="21"/>
      <c r="E194" s="22"/>
      <c r="F194" s="20"/>
      <c r="G194" s="20"/>
      <c r="H194" s="20"/>
      <c r="I194" s="20"/>
      <c r="J194" s="2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20"/>
      <c r="B195" s="20"/>
      <c r="C195" s="20"/>
      <c r="D195" s="21"/>
      <c r="E195" s="22"/>
      <c r="F195" s="20"/>
      <c r="G195" s="20"/>
      <c r="H195" s="20"/>
      <c r="I195" s="20"/>
      <c r="J195" s="2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20"/>
      <c r="B196" s="20"/>
      <c r="C196" s="20"/>
      <c r="D196" s="21"/>
      <c r="E196" s="22"/>
      <c r="F196" s="20"/>
      <c r="G196" s="20"/>
      <c r="H196" s="20"/>
      <c r="I196" s="20"/>
      <c r="J196" s="2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20"/>
      <c r="B197" s="20"/>
      <c r="C197" s="20"/>
      <c r="D197" s="21"/>
      <c r="E197" s="22"/>
      <c r="F197" s="20"/>
      <c r="G197" s="20"/>
      <c r="H197" s="20"/>
      <c r="I197" s="20"/>
      <c r="J197" s="2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20"/>
      <c r="B198" s="20"/>
      <c r="C198" s="20"/>
      <c r="D198" s="21"/>
      <c r="E198" s="22"/>
      <c r="F198" s="20"/>
      <c r="G198" s="20"/>
      <c r="H198" s="20"/>
      <c r="I198" s="20"/>
      <c r="J198" s="2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20"/>
      <c r="B199" s="20"/>
      <c r="C199" s="20"/>
      <c r="D199" s="21"/>
      <c r="E199" s="22"/>
      <c r="F199" s="20"/>
      <c r="G199" s="20"/>
      <c r="H199" s="20"/>
      <c r="I199" s="20"/>
      <c r="J199" s="2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20"/>
      <c r="B200" s="20"/>
      <c r="C200" s="20"/>
      <c r="D200" s="21"/>
      <c r="E200" s="22"/>
      <c r="F200" s="20"/>
      <c r="G200" s="20"/>
      <c r="H200" s="20"/>
      <c r="I200" s="20"/>
      <c r="J200" s="2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20"/>
      <c r="B201" s="20"/>
      <c r="C201" s="20"/>
      <c r="D201" s="21"/>
      <c r="E201" s="22"/>
      <c r="F201" s="20"/>
      <c r="G201" s="20"/>
      <c r="H201" s="20"/>
      <c r="I201" s="20"/>
      <c r="J201" s="2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20"/>
      <c r="B202" s="20"/>
      <c r="C202" s="20"/>
      <c r="D202" s="21"/>
      <c r="E202" s="22"/>
      <c r="F202" s="20"/>
      <c r="G202" s="20"/>
      <c r="H202" s="20"/>
      <c r="I202" s="20"/>
      <c r="J202" s="2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20"/>
      <c r="B203" s="20"/>
      <c r="C203" s="20"/>
      <c r="D203" s="21"/>
      <c r="E203" s="22"/>
      <c r="F203" s="20"/>
      <c r="G203" s="20"/>
      <c r="H203" s="20"/>
      <c r="I203" s="20"/>
      <c r="J203" s="2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20"/>
      <c r="B204" s="20"/>
      <c r="C204" s="20"/>
      <c r="D204" s="21"/>
      <c r="E204" s="22"/>
      <c r="F204" s="20"/>
      <c r="G204" s="20"/>
      <c r="H204" s="20"/>
      <c r="I204" s="20"/>
      <c r="J204" s="2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20"/>
      <c r="B205" s="20"/>
      <c r="C205" s="20"/>
      <c r="D205" s="21"/>
      <c r="E205" s="22"/>
      <c r="F205" s="20"/>
      <c r="G205" s="20"/>
      <c r="H205" s="20"/>
      <c r="I205" s="20"/>
      <c r="J205" s="2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20"/>
      <c r="B206" s="20"/>
      <c r="C206" s="20"/>
      <c r="D206" s="21"/>
      <c r="E206" s="22"/>
      <c r="F206" s="20"/>
      <c r="G206" s="20"/>
      <c r="H206" s="20"/>
      <c r="I206" s="20"/>
      <c r="J206" s="2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20"/>
      <c r="B207" s="20"/>
      <c r="C207" s="20"/>
      <c r="D207" s="21"/>
      <c r="E207" s="22"/>
      <c r="F207" s="20"/>
      <c r="G207" s="20"/>
      <c r="H207" s="20"/>
      <c r="I207" s="20"/>
      <c r="J207" s="2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20"/>
      <c r="B208" s="20"/>
      <c r="C208" s="20"/>
      <c r="D208" s="21"/>
      <c r="E208" s="22"/>
      <c r="F208" s="20"/>
      <c r="G208" s="20"/>
      <c r="H208" s="20"/>
      <c r="I208" s="20"/>
      <c r="J208" s="2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20"/>
      <c r="B209" s="20"/>
      <c r="C209" s="20"/>
      <c r="D209" s="21"/>
      <c r="E209" s="22"/>
      <c r="F209" s="20"/>
      <c r="G209" s="20"/>
      <c r="H209" s="20"/>
      <c r="I209" s="20"/>
      <c r="J209" s="2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20"/>
      <c r="B210" s="20"/>
      <c r="C210" s="20"/>
      <c r="D210" s="21"/>
      <c r="E210" s="22"/>
      <c r="F210" s="20"/>
      <c r="G210" s="20"/>
      <c r="H210" s="20"/>
      <c r="I210" s="20"/>
      <c r="J210" s="2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20"/>
      <c r="B211" s="20"/>
      <c r="C211" s="20"/>
      <c r="D211" s="21"/>
      <c r="E211" s="22"/>
      <c r="F211" s="20"/>
      <c r="G211" s="20"/>
      <c r="H211" s="20"/>
      <c r="I211" s="20"/>
      <c r="J211" s="2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20"/>
      <c r="B212" s="20"/>
      <c r="C212" s="20"/>
      <c r="D212" s="21"/>
      <c r="E212" s="22"/>
      <c r="F212" s="20"/>
      <c r="G212" s="20"/>
      <c r="H212" s="20"/>
      <c r="I212" s="20"/>
      <c r="J212" s="2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20"/>
      <c r="B213" s="20"/>
      <c r="C213" s="20"/>
      <c r="D213" s="21"/>
      <c r="E213" s="22"/>
      <c r="F213" s="20"/>
      <c r="G213" s="20"/>
      <c r="H213" s="20"/>
      <c r="I213" s="20"/>
      <c r="J213" s="2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20"/>
      <c r="B214" s="20"/>
      <c r="C214" s="20"/>
      <c r="D214" s="21"/>
      <c r="E214" s="22"/>
      <c r="F214" s="20"/>
      <c r="G214" s="20"/>
      <c r="H214" s="20"/>
      <c r="I214" s="20"/>
      <c r="J214" s="2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20"/>
      <c r="B215" s="20"/>
      <c r="C215" s="20"/>
      <c r="D215" s="21"/>
      <c r="E215" s="22"/>
      <c r="F215" s="20"/>
      <c r="G215" s="20"/>
      <c r="H215" s="20"/>
      <c r="I215" s="20"/>
      <c r="J215" s="2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20"/>
      <c r="B216" s="20"/>
      <c r="C216" s="20"/>
      <c r="D216" s="21"/>
      <c r="E216" s="22"/>
      <c r="F216" s="20"/>
      <c r="G216" s="20"/>
      <c r="H216" s="20"/>
      <c r="I216" s="20"/>
      <c r="J216" s="2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20"/>
      <c r="B217" s="20"/>
      <c r="C217" s="20"/>
      <c r="D217" s="21"/>
      <c r="E217" s="22"/>
      <c r="F217" s="20"/>
      <c r="G217" s="20"/>
      <c r="H217" s="20"/>
      <c r="I217" s="20"/>
      <c r="J217" s="2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20"/>
      <c r="B218" s="20"/>
      <c r="C218" s="20"/>
      <c r="D218" s="21"/>
      <c r="E218" s="22"/>
      <c r="F218" s="20"/>
      <c r="G218" s="20"/>
      <c r="H218" s="20"/>
      <c r="I218" s="20"/>
      <c r="J218" s="2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20"/>
      <c r="B219" s="20"/>
      <c r="C219" s="20"/>
      <c r="D219" s="21"/>
      <c r="E219" s="22"/>
      <c r="F219" s="20"/>
      <c r="G219" s="20"/>
      <c r="H219" s="20"/>
      <c r="I219" s="20"/>
      <c r="J219" s="2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20"/>
      <c r="B220" s="20"/>
      <c r="C220" s="20"/>
      <c r="D220" s="21"/>
      <c r="E220" s="22"/>
      <c r="F220" s="20"/>
      <c r="G220" s="20"/>
      <c r="H220" s="20"/>
      <c r="I220" s="20"/>
      <c r="J220" s="2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20"/>
      <c r="B221" s="20"/>
      <c r="C221" s="20"/>
      <c r="D221" s="21"/>
      <c r="E221" s="22"/>
      <c r="F221" s="20"/>
      <c r="G221" s="20"/>
      <c r="H221" s="20"/>
      <c r="I221" s="20"/>
      <c r="J221" s="2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20"/>
      <c r="B222" s="20"/>
      <c r="C222" s="20"/>
      <c r="D222" s="21"/>
      <c r="E222" s="22"/>
      <c r="F222" s="20"/>
      <c r="G222" s="20"/>
      <c r="H222" s="20"/>
      <c r="I222" s="20"/>
      <c r="J222" s="2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20"/>
      <c r="B223" s="20"/>
      <c r="C223" s="20"/>
      <c r="D223" s="21"/>
      <c r="E223" s="22"/>
      <c r="F223" s="20"/>
      <c r="G223" s="20"/>
      <c r="H223" s="20"/>
      <c r="I223" s="20"/>
      <c r="J223" s="2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20"/>
      <c r="B224" s="20"/>
      <c r="C224" s="20"/>
      <c r="D224" s="21"/>
      <c r="E224" s="22"/>
      <c r="F224" s="20"/>
      <c r="G224" s="20"/>
      <c r="H224" s="20"/>
      <c r="I224" s="20"/>
      <c r="J224" s="2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20"/>
      <c r="B225" s="20"/>
      <c r="C225" s="20"/>
      <c r="D225" s="21"/>
      <c r="E225" s="22"/>
      <c r="F225" s="20"/>
      <c r="G225" s="20"/>
      <c r="H225" s="20"/>
      <c r="I225" s="20"/>
      <c r="J225" s="2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20"/>
      <c r="B226" s="20"/>
      <c r="C226" s="20"/>
      <c r="D226" s="21"/>
      <c r="E226" s="22"/>
      <c r="F226" s="20"/>
      <c r="G226" s="20"/>
      <c r="H226" s="20"/>
      <c r="I226" s="20"/>
      <c r="J226" s="2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20"/>
      <c r="B227" s="20"/>
      <c r="C227" s="20"/>
      <c r="D227" s="21"/>
      <c r="E227" s="22"/>
      <c r="F227" s="20"/>
      <c r="G227" s="20"/>
      <c r="H227" s="20"/>
      <c r="I227" s="20"/>
      <c r="J227" s="2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20"/>
      <c r="B228" s="20"/>
      <c r="C228" s="20"/>
      <c r="D228" s="21"/>
      <c r="E228" s="22"/>
      <c r="F228" s="20"/>
      <c r="G228" s="20"/>
      <c r="H228" s="20"/>
      <c r="I228" s="20"/>
      <c r="J228" s="2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20"/>
      <c r="B229" s="20"/>
      <c r="C229" s="20"/>
      <c r="D229" s="21"/>
      <c r="E229" s="22"/>
      <c r="F229" s="20"/>
      <c r="G229" s="20"/>
      <c r="H229" s="20"/>
      <c r="I229" s="20"/>
      <c r="J229" s="2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20"/>
      <c r="B230" s="20"/>
      <c r="C230" s="20"/>
      <c r="D230" s="21"/>
      <c r="E230" s="22"/>
      <c r="F230" s="20"/>
      <c r="G230" s="20"/>
      <c r="H230" s="20"/>
      <c r="I230" s="20"/>
      <c r="J230" s="2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20"/>
      <c r="B231" s="20"/>
      <c r="C231" s="20"/>
      <c r="D231" s="21"/>
      <c r="E231" s="22"/>
      <c r="F231" s="20"/>
      <c r="G231" s="20"/>
      <c r="H231" s="20"/>
      <c r="I231" s="20"/>
      <c r="J231" s="2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20"/>
      <c r="B232" s="20"/>
      <c r="C232" s="20"/>
      <c r="D232" s="21"/>
      <c r="E232" s="22"/>
      <c r="F232" s="20"/>
      <c r="G232" s="20"/>
      <c r="H232" s="20"/>
      <c r="I232" s="20"/>
      <c r="J232" s="2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20"/>
      <c r="B233" s="20"/>
      <c r="C233" s="20"/>
      <c r="D233" s="21"/>
      <c r="E233" s="22"/>
      <c r="F233" s="20"/>
      <c r="G233" s="20"/>
      <c r="H233" s="20"/>
      <c r="I233" s="20"/>
      <c r="J233" s="2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20"/>
      <c r="B234" s="20"/>
      <c r="C234" s="20"/>
      <c r="D234" s="21"/>
      <c r="E234" s="22"/>
      <c r="F234" s="20"/>
      <c r="G234" s="20"/>
      <c r="H234" s="20"/>
      <c r="I234" s="20"/>
      <c r="J234" s="2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20"/>
      <c r="B235" s="20"/>
      <c r="C235" s="20"/>
      <c r="D235" s="21"/>
      <c r="E235" s="22"/>
      <c r="F235" s="20"/>
      <c r="G235" s="20"/>
      <c r="H235" s="20"/>
      <c r="I235" s="20"/>
      <c r="J235" s="2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20"/>
      <c r="B236" s="20"/>
      <c r="C236" s="20"/>
      <c r="D236" s="21"/>
      <c r="E236" s="22"/>
      <c r="F236" s="20"/>
      <c r="G236" s="20"/>
      <c r="H236" s="20"/>
      <c r="I236" s="20"/>
      <c r="J236" s="2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20"/>
      <c r="B237" s="20"/>
      <c r="C237" s="20"/>
      <c r="D237" s="21"/>
      <c r="E237" s="22"/>
      <c r="F237" s="20"/>
      <c r="G237" s="20"/>
      <c r="H237" s="20"/>
      <c r="I237" s="20"/>
      <c r="J237" s="2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20"/>
      <c r="B238" s="20"/>
      <c r="C238" s="20"/>
      <c r="D238" s="21"/>
      <c r="E238" s="22"/>
      <c r="F238" s="20"/>
      <c r="G238" s="20"/>
      <c r="H238" s="20"/>
      <c r="I238" s="20"/>
      <c r="J238" s="2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20"/>
      <c r="B239" s="20"/>
      <c r="C239" s="20"/>
      <c r="D239" s="21"/>
      <c r="E239" s="22"/>
      <c r="F239" s="20"/>
      <c r="G239" s="20"/>
      <c r="H239" s="20"/>
      <c r="I239" s="20"/>
      <c r="J239" s="2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20"/>
      <c r="B240" s="20"/>
      <c r="C240" s="20"/>
      <c r="D240" s="21"/>
      <c r="E240" s="22"/>
      <c r="F240" s="20"/>
      <c r="G240" s="20"/>
      <c r="H240" s="20"/>
      <c r="I240" s="20"/>
      <c r="J240" s="2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20"/>
      <c r="B241" s="20"/>
      <c r="C241" s="20"/>
      <c r="D241" s="21"/>
      <c r="E241" s="22"/>
      <c r="F241" s="20"/>
      <c r="G241" s="20"/>
      <c r="H241" s="20"/>
      <c r="I241" s="20"/>
      <c r="J241" s="2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20"/>
      <c r="B242" s="20"/>
      <c r="C242" s="20"/>
      <c r="D242" s="21"/>
      <c r="E242" s="22"/>
      <c r="F242" s="20"/>
      <c r="G242" s="20"/>
      <c r="H242" s="20"/>
      <c r="I242" s="20"/>
      <c r="J242" s="2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20"/>
      <c r="B243" s="20"/>
      <c r="C243" s="20"/>
      <c r="D243" s="21"/>
      <c r="E243" s="22"/>
      <c r="F243" s="20"/>
      <c r="G243" s="20"/>
      <c r="H243" s="20"/>
      <c r="I243" s="20"/>
      <c r="J243" s="2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20"/>
      <c r="B244" s="20"/>
      <c r="C244" s="20"/>
      <c r="D244" s="21"/>
      <c r="E244" s="22"/>
      <c r="F244" s="20"/>
      <c r="G244" s="20"/>
      <c r="H244" s="20"/>
      <c r="I244" s="20"/>
      <c r="J244" s="2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20"/>
      <c r="B245" s="20"/>
      <c r="C245" s="20"/>
      <c r="D245" s="21"/>
      <c r="E245" s="22"/>
      <c r="F245" s="20"/>
      <c r="G245" s="20"/>
      <c r="H245" s="20"/>
      <c r="I245" s="20"/>
      <c r="J245" s="2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20"/>
      <c r="B246" s="20"/>
      <c r="C246" s="20"/>
      <c r="D246" s="21"/>
      <c r="E246" s="22"/>
      <c r="F246" s="20"/>
      <c r="G246" s="20"/>
      <c r="H246" s="20"/>
      <c r="I246" s="20"/>
      <c r="J246" s="2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20"/>
      <c r="B247" s="20"/>
      <c r="C247" s="20"/>
      <c r="D247" s="21"/>
      <c r="E247" s="22"/>
      <c r="F247" s="20"/>
      <c r="G247" s="20"/>
      <c r="H247" s="20"/>
      <c r="I247" s="20"/>
      <c r="J247" s="2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20"/>
      <c r="B248" s="20"/>
      <c r="C248" s="20"/>
      <c r="D248" s="21"/>
      <c r="E248" s="22"/>
      <c r="F248" s="20"/>
      <c r="G248" s="20"/>
      <c r="H248" s="20"/>
      <c r="I248" s="20"/>
      <c r="J248" s="2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20"/>
      <c r="B249" s="20"/>
      <c r="C249" s="20"/>
      <c r="D249" s="21"/>
      <c r="E249" s="22"/>
      <c r="F249" s="20"/>
      <c r="G249" s="20"/>
      <c r="H249" s="20"/>
      <c r="I249" s="20"/>
      <c r="J249" s="2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20"/>
      <c r="B250" s="20"/>
      <c r="C250" s="20"/>
      <c r="D250" s="21"/>
      <c r="E250" s="22"/>
      <c r="F250" s="20"/>
      <c r="G250" s="20"/>
      <c r="H250" s="20"/>
      <c r="I250" s="20"/>
      <c r="J250" s="2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20"/>
      <c r="B251" s="20"/>
      <c r="C251" s="20"/>
      <c r="D251" s="21"/>
      <c r="E251" s="22"/>
      <c r="F251" s="20"/>
      <c r="G251" s="20"/>
      <c r="H251" s="20"/>
      <c r="I251" s="20"/>
      <c r="J251" s="2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20"/>
      <c r="B252" s="20"/>
      <c r="C252" s="20"/>
      <c r="D252" s="21"/>
      <c r="E252" s="22"/>
      <c r="F252" s="20"/>
      <c r="G252" s="20"/>
      <c r="H252" s="20"/>
      <c r="I252" s="20"/>
      <c r="J252" s="2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20"/>
      <c r="B253" s="20"/>
      <c r="C253" s="20"/>
      <c r="D253" s="21"/>
      <c r="E253" s="22"/>
      <c r="F253" s="20"/>
      <c r="G253" s="20"/>
      <c r="H253" s="20"/>
      <c r="I253" s="20"/>
      <c r="J253" s="2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20"/>
      <c r="B254" s="20"/>
      <c r="C254" s="20"/>
      <c r="D254" s="21"/>
      <c r="E254" s="22"/>
      <c r="F254" s="20"/>
      <c r="G254" s="20"/>
      <c r="H254" s="20"/>
      <c r="I254" s="20"/>
      <c r="J254" s="2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20"/>
      <c r="B255" s="20"/>
      <c r="C255" s="20"/>
      <c r="D255" s="21"/>
      <c r="E255" s="22"/>
      <c r="F255" s="20"/>
      <c r="G255" s="20"/>
      <c r="H255" s="20"/>
      <c r="I255" s="20"/>
      <c r="J255" s="2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20"/>
      <c r="B256" s="20"/>
      <c r="C256" s="20"/>
      <c r="D256" s="21"/>
      <c r="E256" s="22"/>
      <c r="F256" s="20"/>
      <c r="G256" s="20"/>
      <c r="H256" s="20"/>
      <c r="I256" s="20"/>
      <c r="J256" s="2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20"/>
      <c r="B257" s="20"/>
      <c r="C257" s="20"/>
      <c r="D257" s="21"/>
      <c r="E257" s="22"/>
      <c r="F257" s="20"/>
      <c r="G257" s="20"/>
      <c r="H257" s="20"/>
      <c r="I257" s="20"/>
      <c r="J257" s="2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20"/>
      <c r="B258" s="20"/>
      <c r="C258" s="20"/>
      <c r="D258" s="21"/>
      <c r="E258" s="22"/>
      <c r="F258" s="20"/>
      <c r="G258" s="20"/>
      <c r="H258" s="20"/>
      <c r="I258" s="20"/>
      <c r="J258" s="2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20"/>
      <c r="B259" s="20"/>
      <c r="C259" s="20"/>
      <c r="D259" s="21"/>
      <c r="E259" s="22"/>
      <c r="F259" s="20"/>
      <c r="G259" s="20"/>
      <c r="H259" s="20"/>
      <c r="I259" s="20"/>
      <c r="J259" s="2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20"/>
      <c r="B260" s="20"/>
      <c r="C260" s="20"/>
      <c r="D260" s="21"/>
      <c r="E260" s="22"/>
      <c r="F260" s="20"/>
      <c r="G260" s="20"/>
      <c r="H260" s="20"/>
      <c r="I260" s="20"/>
      <c r="J260" s="2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</sheetData>
  <mergeCells count="2">
    <mergeCell ref="A3:N3"/>
    <mergeCell ref="A2:N2"/>
  </mergeCells>
  <phoneticPr fontId="23" type="noConversion"/>
  <hyperlinks>
    <hyperlink ref="C1" r:id="rId1" xr:uid="{00000000-0004-0000-0000-000000000000}"/>
  </hyperlinks>
  <pageMargins left="0.7" right="0.7" top="0.75" bottom="0.75" header="0" footer="0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C2" zoomScale="55" zoomScaleNormal="55" workbookViewId="0">
      <selection activeCell="K2" sqref="K2"/>
    </sheetView>
  </sheetViews>
  <sheetFormatPr defaultColWidth="12.7265625" defaultRowHeight="15" customHeight="1"/>
  <cols>
    <col min="1" max="1" width="28.7265625" customWidth="1"/>
    <col min="2" max="2" width="13.26953125" customWidth="1"/>
    <col min="3" max="3" width="67.7265625" customWidth="1"/>
    <col min="4" max="4" width="10.26953125" customWidth="1"/>
    <col min="5" max="5" width="9.7265625" customWidth="1"/>
    <col min="6" max="6" width="8.453125" customWidth="1"/>
    <col min="7" max="7" width="8.7265625" customWidth="1"/>
    <col min="8" max="8" width="10" customWidth="1"/>
    <col min="9" max="9" width="10.453125" customWidth="1"/>
    <col min="10" max="10" width="9.7265625" customWidth="1"/>
    <col min="11" max="11" width="9.453125" customWidth="1"/>
    <col min="12" max="13" width="9.26953125" customWidth="1"/>
    <col min="14" max="14" width="9.81640625" customWidth="1"/>
  </cols>
  <sheetData>
    <row r="1" spans="1:25" ht="15.75" customHeight="1">
      <c r="A1" s="113" t="s">
        <v>16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25" ht="30.75" customHeight="1">
      <c r="A2" s="23" t="s">
        <v>2</v>
      </c>
      <c r="B2" s="23" t="s">
        <v>3</v>
      </c>
      <c r="C2" s="23" t="s">
        <v>4</v>
      </c>
      <c r="D2" s="23" t="s">
        <v>7</v>
      </c>
      <c r="E2" s="23" t="s">
        <v>8</v>
      </c>
      <c r="F2" s="23" t="s">
        <v>9</v>
      </c>
      <c r="G2" s="23" t="s">
        <v>10</v>
      </c>
      <c r="H2" s="23" t="s">
        <v>11</v>
      </c>
      <c r="I2" s="23" t="s">
        <v>12</v>
      </c>
      <c r="J2" s="23" t="s">
        <v>13</v>
      </c>
      <c r="K2" s="23" t="s">
        <v>14</v>
      </c>
      <c r="L2" s="23" t="s">
        <v>15</v>
      </c>
      <c r="M2" s="23"/>
      <c r="N2" s="23"/>
      <c r="O2" s="24"/>
      <c r="P2" s="24"/>
      <c r="Q2" s="24"/>
      <c r="R2" s="24"/>
      <c r="S2" s="24"/>
      <c r="T2" s="24"/>
      <c r="U2" s="24"/>
    </row>
    <row r="3" spans="1:25" ht="15.75" customHeight="1">
      <c r="A3" s="25" t="s">
        <v>17</v>
      </c>
      <c r="B3" s="26" t="s">
        <v>5</v>
      </c>
      <c r="C3" s="27" t="s">
        <v>6</v>
      </c>
      <c r="D3" s="28">
        <v>44202</v>
      </c>
      <c r="E3" s="29">
        <f t="shared" ref="E3:E5" si="0">D3+1</f>
        <v>44203</v>
      </c>
      <c r="F3" s="30">
        <f t="shared" ref="F3:F5" si="1">D3+3</f>
        <v>44205</v>
      </c>
      <c r="G3" s="30">
        <f t="shared" ref="G3:G5" si="2">D3+5</f>
        <v>44207</v>
      </c>
      <c r="H3" s="30">
        <f t="shared" ref="H3:H5" si="3">D3+7</f>
        <v>44209</v>
      </c>
      <c r="I3" s="30">
        <f t="shared" ref="I3:I5" si="4">D3+10</f>
        <v>44212</v>
      </c>
      <c r="J3" s="30">
        <f t="shared" ref="J3:J5" si="5">D3+15</f>
        <v>44217</v>
      </c>
      <c r="K3" s="30">
        <f t="shared" ref="K3:K5" si="6">D3+25</f>
        <v>44227</v>
      </c>
      <c r="L3" s="30">
        <f>D3+35</f>
        <v>44237</v>
      </c>
      <c r="M3" s="31"/>
      <c r="N3" s="31"/>
      <c r="O3" s="24"/>
      <c r="P3" s="24"/>
      <c r="Q3" s="24"/>
      <c r="R3" s="24"/>
      <c r="S3" s="24"/>
      <c r="T3" s="24"/>
      <c r="U3" s="24"/>
    </row>
    <row r="4" spans="1:25" ht="15.75" customHeight="1">
      <c r="A4" s="25" t="s">
        <v>17</v>
      </c>
      <c r="B4" s="32" t="s">
        <v>5</v>
      </c>
      <c r="C4" s="27" t="s">
        <v>18</v>
      </c>
      <c r="D4" s="28">
        <v>44206</v>
      </c>
      <c r="E4" s="29">
        <f t="shared" si="0"/>
        <v>44207</v>
      </c>
      <c r="F4" s="30">
        <f t="shared" si="1"/>
        <v>44209</v>
      </c>
      <c r="G4" s="30">
        <f t="shared" si="2"/>
        <v>44211</v>
      </c>
      <c r="H4" s="30">
        <f t="shared" si="3"/>
        <v>44213</v>
      </c>
      <c r="I4" s="30">
        <f t="shared" si="4"/>
        <v>44216</v>
      </c>
      <c r="J4" s="30">
        <f t="shared" si="5"/>
        <v>44221</v>
      </c>
      <c r="K4" s="30">
        <f t="shared" si="6"/>
        <v>44231</v>
      </c>
      <c r="L4" s="30"/>
      <c r="M4" s="31"/>
      <c r="N4" s="31"/>
      <c r="O4" s="24"/>
      <c r="P4" s="24"/>
      <c r="Q4" s="24"/>
      <c r="R4" s="24"/>
      <c r="S4" s="24"/>
      <c r="T4" s="24"/>
      <c r="U4" s="24"/>
    </row>
    <row r="5" spans="1:25" ht="15.75" customHeight="1">
      <c r="A5" s="25" t="s">
        <v>17</v>
      </c>
      <c r="B5" s="32" t="s">
        <v>5</v>
      </c>
      <c r="C5" s="27" t="s">
        <v>19</v>
      </c>
      <c r="D5" s="28">
        <v>44208</v>
      </c>
      <c r="E5" s="29">
        <f t="shared" si="0"/>
        <v>44209</v>
      </c>
      <c r="F5" s="30">
        <f t="shared" si="1"/>
        <v>44211</v>
      </c>
      <c r="G5" s="30">
        <f t="shared" si="2"/>
        <v>44213</v>
      </c>
      <c r="H5" s="30">
        <f t="shared" si="3"/>
        <v>44215</v>
      </c>
      <c r="I5" s="30">
        <f t="shared" si="4"/>
        <v>44218</v>
      </c>
      <c r="J5" s="30">
        <f t="shared" si="5"/>
        <v>44223</v>
      </c>
      <c r="K5" s="30">
        <f t="shared" si="6"/>
        <v>44233</v>
      </c>
      <c r="L5" s="30"/>
      <c r="M5" s="31"/>
      <c r="N5" s="31"/>
      <c r="O5" s="24"/>
      <c r="P5" s="24"/>
      <c r="Q5" s="24"/>
      <c r="R5" s="24"/>
      <c r="S5" s="24"/>
      <c r="T5" s="24"/>
      <c r="U5" s="24"/>
    </row>
    <row r="6" spans="1:25" ht="15.75" customHeight="1">
      <c r="A6" s="25" t="s">
        <v>17</v>
      </c>
      <c r="B6" s="32" t="s">
        <v>5</v>
      </c>
      <c r="C6" s="27"/>
      <c r="D6" s="33"/>
      <c r="E6" s="29"/>
      <c r="F6" s="30"/>
      <c r="G6" s="30"/>
      <c r="H6" s="30"/>
      <c r="I6" s="30"/>
      <c r="J6" s="30"/>
      <c r="K6" s="30"/>
      <c r="L6" s="30"/>
      <c r="M6" s="31"/>
      <c r="N6" s="31"/>
      <c r="O6" s="24"/>
      <c r="P6" s="24"/>
      <c r="Q6" s="24"/>
      <c r="R6" s="24"/>
      <c r="S6" s="24"/>
      <c r="T6" s="24"/>
      <c r="U6" s="24"/>
    </row>
    <row r="7" spans="1:25" ht="15.75" customHeight="1">
      <c r="A7" s="25" t="s">
        <v>17</v>
      </c>
      <c r="B7" s="34" t="s">
        <v>5</v>
      </c>
      <c r="C7" s="27"/>
      <c r="D7" s="33"/>
      <c r="E7" s="29"/>
      <c r="F7" s="30"/>
      <c r="G7" s="30"/>
      <c r="H7" s="30"/>
      <c r="I7" s="30"/>
      <c r="J7" s="30"/>
      <c r="K7" s="30"/>
      <c r="L7" s="30"/>
      <c r="M7" s="31"/>
      <c r="N7" s="31"/>
      <c r="O7" s="24"/>
      <c r="P7" s="24"/>
      <c r="Q7" s="24"/>
      <c r="R7" s="24"/>
      <c r="S7" s="24"/>
      <c r="T7" s="24"/>
      <c r="U7" s="24"/>
    </row>
    <row r="8" spans="1:25" ht="15.75" customHeight="1">
      <c r="A8" s="25" t="s">
        <v>17</v>
      </c>
      <c r="B8" s="32" t="s">
        <v>5</v>
      </c>
      <c r="C8" s="27"/>
      <c r="D8" s="33"/>
      <c r="E8" s="29"/>
      <c r="F8" s="30"/>
      <c r="G8" s="30"/>
      <c r="H8" s="30"/>
      <c r="I8" s="30"/>
      <c r="J8" s="30"/>
      <c r="K8" s="30"/>
      <c r="L8" s="30"/>
      <c r="M8" s="31"/>
      <c r="N8" s="31"/>
      <c r="O8" s="24"/>
      <c r="P8" s="24"/>
      <c r="Q8" s="24"/>
      <c r="R8" s="24"/>
      <c r="S8" s="24"/>
      <c r="T8" s="24"/>
      <c r="U8" s="24"/>
    </row>
    <row r="9" spans="1:25" ht="15.75" customHeight="1">
      <c r="A9" s="25" t="s">
        <v>17</v>
      </c>
      <c r="B9" s="34" t="s">
        <v>5</v>
      </c>
      <c r="C9" s="27"/>
      <c r="D9" s="33"/>
      <c r="E9" s="29"/>
      <c r="F9" s="30"/>
      <c r="G9" s="30"/>
      <c r="H9" s="30"/>
      <c r="I9" s="30"/>
      <c r="J9" s="30"/>
      <c r="K9" s="30"/>
      <c r="L9" s="30"/>
      <c r="M9" s="31"/>
      <c r="N9" s="31"/>
      <c r="O9" s="24"/>
      <c r="P9" s="24"/>
      <c r="Q9" s="24"/>
      <c r="R9" s="24"/>
      <c r="S9" s="24"/>
      <c r="T9" s="24"/>
      <c r="U9" s="24"/>
    </row>
    <row r="10" spans="1:25" ht="15.75" customHeight="1">
      <c r="A10" s="25" t="s">
        <v>17</v>
      </c>
      <c r="B10" s="35" t="s">
        <v>20</v>
      </c>
      <c r="C10" s="27" t="s">
        <v>21</v>
      </c>
      <c r="D10" s="36">
        <v>44208</v>
      </c>
      <c r="E10" s="29">
        <f t="shared" ref="E10:E12" si="7">D10+1</f>
        <v>44209</v>
      </c>
      <c r="F10" s="30">
        <f t="shared" ref="F10:F12" si="8">D10+3</f>
        <v>44211</v>
      </c>
      <c r="G10" s="30">
        <f t="shared" ref="G10:G12" si="9">D10+5</f>
        <v>44213</v>
      </c>
      <c r="H10" s="30">
        <f t="shared" ref="H10:H12" si="10">D10+7</f>
        <v>44215</v>
      </c>
      <c r="I10" s="30">
        <f t="shared" ref="I10:I12" si="11">D10+10</f>
        <v>44218</v>
      </c>
      <c r="J10" s="30">
        <f t="shared" ref="J10:J12" si="12">D10+15</f>
        <v>44223</v>
      </c>
      <c r="K10" s="30">
        <f t="shared" ref="K10:K12" si="13">D10+25</f>
        <v>44233</v>
      </c>
      <c r="L10" s="30"/>
      <c r="M10" s="31"/>
      <c r="N10" s="31"/>
      <c r="O10" s="24"/>
      <c r="P10" s="24"/>
      <c r="Q10" s="24"/>
      <c r="R10" s="24"/>
      <c r="S10" s="24"/>
      <c r="T10" s="24"/>
      <c r="U10" s="24"/>
    </row>
    <row r="11" spans="1:25" ht="15.75" customHeight="1">
      <c r="A11" s="25" t="s">
        <v>17</v>
      </c>
      <c r="B11" s="35" t="s">
        <v>20</v>
      </c>
      <c r="C11" s="27" t="s">
        <v>22</v>
      </c>
      <c r="D11" s="36">
        <v>44213</v>
      </c>
      <c r="E11" s="29">
        <f t="shared" si="7"/>
        <v>44214</v>
      </c>
      <c r="F11" s="30">
        <f t="shared" si="8"/>
        <v>44216</v>
      </c>
      <c r="G11" s="30">
        <f t="shared" si="9"/>
        <v>44218</v>
      </c>
      <c r="H11" s="30">
        <f t="shared" si="10"/>
        <v>44220</v>
      </c>
      <c r="I11" s="30">
        <f t="shared" si="11"/>
        <v>44223</v>
      </c>
      <c r="J11" s="30">
        <f t="shared" si="12"/>
        <v>44228</v>
      </c>
      <c r="K11" s="30">
        <f t="shared" si="13"/>
        <v>44238</v>
      </c>
      <c r="L11" s="30"/>
      <c r="M11" s="31"/>
      <c r="N11" s="31"/>
      <c r="O11" s="24"/>
      <c r="P11" s="24"/>
      <c r="Q11" s="24"/>
      <c r="R11" s="24"/>
      <c r="S11" s="24"/>
      <c r="T11" s="24"/>
      <c r="U11" s="24"/>
    </row>
    <row r="12" spans="1:25" ht="15.75" customHeight="1">
      <c r="A12" s="25" t="s">
        <v>17</v>
      </c>
      <c r="B12" s="35" t="s">
        <v>20</v>
      </c>
      <c r="C12" s="27" t="s">
        <v>23</v>
      </c>
      <c r="D12" s="36">
        <v>44215</v>
      </c>
      <c r="E12" s="29">
        <f t="shared" si="7"/>
        <v>44216</v>
      </c>
      <c r="F12" s="30">
        <f t="shared" si="8"/>
        <v>44218</v>
      </c>
      <c r="G12" s="30">
        <f t="shared" si="9"/>
        <v>44220</v>
      </c>
      <c r="H12" s="30">
        <f t="shared" si="10"/>
        <v>44222</v>
      </c>
      <c r="I12" s="30">
        <f t="shared" si="11"/>
        <v>44225</v>
      </c>
      <c r="J12" s="30">
        <f t="shared" si="12"/>
        <v>44230</v>
      </c>
      <c r="K12" s="30">
        <f t="shared" si="13"/>
        <v>44240</v>
      </c>
      <c r="L12" s="30"/>
      <c r="M12" s="31"/>
      <c r="N12" s="31"/>
      <c r="O12" s="24"/>
      <c r="P12" s="24"/>
      <c r="Q12" s="24"/>
      <c r="R12" s="24"/>
      <c r="S12" s="24"/>
      <c r="T12" s="24"/>
      <c r="U12" s="24"/>
    </row>
    <row r="13" spans="1:25" ht="15.75" customHeight="1">
      <c r="A13" s="25" t="s">
        <v>17</v>
      </c>
      <c r="B13" s="35" t="s">
        <v>20</v>
      </c>
      <c r="C13" s="37"/>
      <c r="D13" s="38"/>
      <c r="E13" s="29"/>
      <c r="F13" s="30"/>
      <c r="G13" s="31"/>
      <c r="H13" s="31"/>
      <c r="I13" s="31"/>
      <c r="J13" s="31"/>
      <c r="K13" s="31"/>
      <c r="L13" s="31"/>
      <c r="M13" s="31"/>
      <c r="N13" s="31"/>
      <c r="O13" s="24"/>
      <c r="P13" s="24"/>
      <c r="Q13" s="24"/>
      <c r="R13" s="24"/>
      <c r="S13" s="24"/>
      <c r="T13" s="24"/>
      <c r="U13" s="24"/>
      <c r="V13" s="39"/>
      <c r="W13" s="39"/>
      <c r="X13" s="39"/>
      <c r="Y13" s="39"/>
    </row>
    <row r="14" spans="1:25" ht="15.75" customHeight="1">
      <c r="A14" s="25" t="s">
        <v>17</v>
      </c>
      <c r="B14" s="35" t="s">
        <v>20</v>
      </c>
      <c r="C14" s="27"/>
      <c r="D14" s="38"/>
      <c r="E14" s="40"/>
      <c r="F14" s="31"/>
      <c r="G14" s="31"/>
      <c r="H14" s="31"/>
      <c r="I14" s="31"/>
      <c r="J14" s="31"/>
      <c r="K14" s="31"/>
      <c r="L14" s="31"/>
      <c r="M14" s="31"/>
      <c r="N14" s="31"/>
      <c r="O14" s="24"/>
      <c r="P14" s="24"/>
      <c r="Q14" s="24"/>
      <c r="R14" s="24"/>
      <c r="S14" s="24"/>
      <c r="T14" s="24"/>
      <c r="U14" s="24"/>
    </row>
    <row r="15" spans="1:25" ht="15.75" customHeight="1">
      <c r="A15" s="25" t="s">
        <v>17</v>
      </c>
      <c r="B15" s="41" t="s">
        <v>24</v>
      </c>
      <c r="C15" s="27" t="s">
        <v>25</v>
      </c>
      <c r="D15" s="42">
        <v>44199</v>
      </c>
      <c r="E15" s="29">
        <f t="shared" ref="E15:E28" si="14">D15+1</f>
        <v>44200</v>
      </c>
      <c r="F15" s="30">
        <f t="shared" ref="F15:F28" si="15">D15+3</f>
        <v>44202</v>
      </c>
      <c r="G15" s="30">
        <f t="shared" ref="G15:G28" si="16">D15+5</f>
        <v>44204</v>
      </c>
      <c r="H15" s="30">
        <f t="shared" ref="H15:H28" si="17">D15+7</f>
        <v>44206</v>
      </c>
      <c r="I15" s="30">
        <f t="shared" ref="I15:I28" si="18">D15+10</f>
        <v>44209</v>
      </c>
      <c r="J15" s="30">
        <f t="shared" ref="J15:J28" si="19">D15+15</f>
        <v>44214</v>
      </c>
      <c r="K15" s="30">
        <f t="shared" ref="K15:K28" si="20">D15+25</f>
        <v>44224</v>
      </c>
      <c r="L15" s="30">
        <f t="shared" ref="L15:L22" si="21">D15+35</f>
        <v>44234</v>
      </c>
      <c r="M15" s="30"/>
      <c r="N15" s="31"/>
      <c r="O15" s="24"/>
      <c r="P15" s="24"/>
      <c r="Q15" s="24"/>
      <c r="R15" s="24"/>
      <c r="S15" s="24"/>
      <c r="T15" s="24"/>
      <c r="U15" s="24"/>
    </row>
    <row r="16" spans="1:25" ht="15.75" customHeight="1">
      <c r="A16" s="25" t="s">
        <v>17</v>
      </c>
      <c r="B16" s="43" t="s">
        <v>24</v>
      </c>
      <c r="C16" s="27" t="s">
        <v>26</v>
      </c>
      <c r="D16" s="44">
        <v>44201</v>
      </c>
      <c r="E16" s="29">
        <f t="shared" si="14"/>
        <v>44202</v>
      </c>
      <c r="F16" s="30">
        <f t="shared" si="15"/>
        <v>44204</v>
      </c>
      <c r="G16" s="30">
        <f t="shared" si="16"/>
        <v>44206</v>
      </c>
      <c r="H16" s="30">
        <f t="shared" si="17"/>
        <v>44208</v>
      </c>
      <c r="I16" s="30">
        <f t="shared" si="18"/>
        <v>44211</v>
      </c>
      <c r="J16" s="30">
        <f t="shared" si="19"/>
        <v>44216</v>
      </c>
      <c r="K16" s="30">
        <f t="shared" si="20"/>
        <v>44226</v>
      </c>
      <c r="L16" s="30">
        <f t="shared" si="21"/>
        <v>44236</v>
      </c>
      <c r="M16" s="31"/>
      <c r="N16" s="31"/>
      <c r="O16" s="24"/>
      <c r="P16" s="24"/>
      <c r="Q16" s="24"/>
      <c r="R16" s="24"/>
      <c r="S16" s="24"/>
      <c r="T16" s="24"/>
      <c r="U16" s="24"/>
    </row>
    <row r="17" spans="1:25" ht="15.75" customHeight="1">
      <c r="A17" s="25" t="s">
        <v>17</v>
      </c>
      <c r="B17" s="41" t="s">
        <v>24</v>
      </c>
      <c r="C17" s="27" t="s">
        <v>27</v>
      </c>
      <c r="D17" s="44">
        <v>44201</v>
      </c>
      <c r="E17" s="29">
        <f t="shared" si="14"/>
        <v>44202</v>
      </c>
      <c r="F17" s="30">
        <f t="shared" si="15"/>
        <v>44204</v>
      </c>
      <c r="G17" s="30">
        <f t="shared" si="16"/>
        <v>44206</v>
      </c>
      <c r="H17" s="30">
        <f t="shared" si="17"/>
        <v>44208</v>
      </c>
      <c r="I17" s="30">
        <f t="shared" si="18"/>
        <v>44211</v>
      </c>
      <c r="J17" s="30">
        <f t="shared" si="19"/>
        <v>44216</v>
      </c>
      <c r="K17" s="30">
        <f t="shared" si="20"/>
        <v>44226</v>
      </c>
      <c r="L17" s="30">
        <f t="shared" si="21"/>
        <v>44236</v>
      </c>
      <c r="M17" s="31"/>
      <c r="N17" s="31"/>
      <c r="O17" s="24"/>
      <c r="P17" s="24"/>
      <c r="Q17" s="24"/>
      <c r="R17" s="24"/>
      <c r="S17" s="24"/>
      <c r="T17" s="24"/>
      <c r="U17" s="24"/>
    </row>
    <row r="18" spans="1:25" ht="15.75" customHeight="1">
      <c r="A18" s="25" t="s">
        <v>17</v>
      </c>
      <c r="B18" s="43" t="s">
        <v>24</v>
      </c>
      <c r="C18" s="27" t="s">
        <v>28</v>
      </c>
      <c r="D18" s="44">
        <v>44206</v>
      </c>
      <c r="E18" s="29">
        <f t="shared" si="14"/>
        <v>44207</v>
      </c>
      <c r="F18" s="30">
        <f t="shared" si="15"/>
        <v>44209</v>
      </c>
      <c r="G18" s="30">
        <f t="shared" si="16"/>
        <v>44211</v>
      </c>
      <c r="H18" s="30">
        <f t="shared" si="17"/>
        <v>44213</v>
      </c>
      <c r="I18" s="30">
        <f t="shared" si="18"/>
        <v>44216</v>
      </c>
      <c r="J18" s="30">
        <f t="shared" si="19"/>
        <v>44221</v>
      </c>
      <c r="K18" s="30">
        <f t="shared" si="20"/>
        <v>44231</v>
      </c>
      <c r="L18" s="30">
        <f t="shared" si="21"/>
        <v>44241</v>
      </c>
      <c r="M18" s="31"/>
      <c r="N18" s="31"/>
      <c r="O18" s="24"/>
      <c r="P18" s="24"/>
      <c r="Q18" s="24"/>
      <c r="R18" s="24"/>
      <c r="S18" s="24"/>
      <c r="T18" s="24"/>
      <c r="U18" s="24"/>
    </row>
    <row r="19" spans="1:25" ht="15.75" customHeight="1">
      <c r="A19" s="25" t="s">
        <v>17</v>
      </c>
      <c r="B19" s="43" t="s">
        <v>24</v>
      </c>
      <c r="C19" s="27" t="s">
        <v>29</v>
      </c>
      <c r="D19" s="44">
        <v>44208</v>
      </c>
      <c r="E19" s="29">
        <f t="shared" si="14"/>
        <v>44209</v>
      </c>
      <c r="F19" s="30">
        <f t="shared" si="15"/>
        <v>44211</v>
      </c>
      <c r="G19" s="30">
        <f t="shared" si="16"/>
        <v>44213</v>
      </c>
      <c r="H19" s="30">
        <f t="shared" si="17"/>
        <v>44215</v>
      </c>
      <c r="I19" s="30">
        <f t="shared" si="18"/>
        <v>44218</v>
      </c>
      <c r="J19" s="30">
        <f t="shared" si="19"/>
        <v>44223</v>
      </c>
      <c r="K19" s="30">
        <f t="shared" si="20"/>
        <v>44233</v>
      </c>
      <c r="L19" s="30">
        <f t="shared" si="21"/>
        <v>44243</v>
      </c>
      <c r="M19" s="31"/>
      <c r="N19" s="31"/>
      <c r="O19" s="24"/>
      <c r="P19" s="24"/>
      <c r="Q19" s="24"/>
      <c r="R19" s="24"/>
      <c r="S19" s="24"/>
      <c r="T19" s="24"/>
      <c r="U19" s="24"/>
      <c r="V19" s="39"/>
      <c r="W19" s="39"/>
      <c r="X19" s="39"/>
      <c r="Y19" s="39"/>
    </row>
    <row r="20" spans="1:25" ht="15.75" customHeight="1">
      <c r="A20" s="25" t="s">
        <v>17</v>
      </c>
      <c r="B20" s="43" t="s">
        <v>24</v>
      </c>
      <c r="C20" s="27" t="s">
        <v>30</v>
      </c>
      <c r="D20" s="44">
        <v>44208</v>
      </c>
      <c r="E20" s="29">
        <f t="shared" si="14"/>
        <v>44209</v>
      </c>
      <c r="F20" s="30">
        <f t="shared" si="15"/>
        <v>44211</v>
      </c>
      <c r="G20" s="30">
        <f t="shared" si="16"/>
        <v>44213</v>
      </c>
      <c r="H20" s="30">
        <f t="shared" si="17"/>
        <v>44215</v>
      </c>
      <c r="I20" s="30">
        <f t="shared" si="18"/>
        <v>44218</v>
      </c>
      <c r="J20" s="30">
        <f t="shared" si="19"/>
        <v>44223</v>
      </c>
      <c r="K20" s="30">
        <f t="shared" si="20"/>
        <v>44233</v>
      </c>
      <c r="L20" s="30">
        <f t="shared" si="21"/>
        <v>44243</v>
      </c>
      <c r="M20" s="31"/>
      <c r="N20" s="31"/>
      <c r="O20" s="24"/>
      <c r="P20" s="24"/>
      <c r="Q20" s="24"/>
      <c r="R20" s="24"/>
      <c r="S20" s="24"/>
      <c r="T20" s="24"/>
      <c r="U20" s="24"/>
    </row>
    <row r="21" spans="1:25" ht="15.75" customHeight="1">
      <c r="A21" s="25" t="s">
        <v>17</v>
      </c>
      <c r="B21" s="45" t="s">
        <v>31</v>
      </c>
      <c r="C21" s="46" t="s">
        <v>32</v>
      </c>
      <c r="D21" s="47">
        <v>44201</v>
      </c>
      <c r="E21" s="29">
        <f t="shared" si="14"/>
        <v>44202</v>
      </c>
      <c r="F21" s="30">
        <f t="shared" si="15"/>
        <v>44204</v>
      </c>
      <c r="G21" s="30">
        <f t="shared" si="16"/>
        <v>44206</v>
      </c>
      <c r="H21" s="30">
        <f t="shared" si="17"/>
        <v>44208</v>
      </c>
      <c r="I21" s="30">
        <f t="shared" si="18"/>
        <v>44211</v>
      </c>
      <c r="J21" s="30">
        <f t="shared" si="19"/>
        <v>44216</v>
      </c>
      <c r="K21" s="30">
        <f t="shared" si="20"/>
        <v>44226</v>
      </c>
      <c r="L21" s="30">
        <f t="shared" si="21"/>
        <v>44236</v>
      </c>
      <c r="M21" s="31"/>
      <c r="N21" s="31"/>
      <c r="O21" s="24"/>
      <c r="P21" s="24"/>
      <c r="Q21" s="24"/>
      <c r="R21" s="24"/>
      <c r="S21" s="24"/>
      <c r="T21" s="24"/>
      <c r="U21" s="24"/>
    </row>
    <row r="22" spans="1:25" ht="15.75" customHeight="1">
      <c r="A22" s="25" t="s">
        <v>17</v>
      </c>
      <c r="B22" s="45" t="s">
        <v>31</v>
      </c>
      <c r="C22" s="27" t="s">
        <v>33</v>
      </c>
      <c r="D22" s="48">
        <v>44202</v>
      </c>
      <c r="E22" s="29">
        <f t="shared" si="14"/>
        <v>44203</v>
      </c>
      <c r="F22" s="30">
        <f t="shared" si="15"/>
        <v>44205</v>
      </c>
      <c r="G22" s="30">
        <f t="shared" si="16"/>
        <v>44207</v>
      </c>
      <c r="H22" s="30">
        <f t="shared" si="17"/>
        <v>44209</v>
      </c>
      <c r="I22" s="30">
        <f t="shared" si="18"/>
        <v>44212</v>
      </c>
      <c r="J22" s="30">
        <f t="shared" si="19"/>
        <v>44217</v>
      </c>
      <c r="K22" s="30">
        <f t="shared" si="20"/>
        <v>44227</v>
      </c>
      <c r="L22" s="30">
        <f t="shared" si="21"/>
        <v>44237</v>
      </c>
      <c r="M22" s="31"/>
      <c r="N22" s="31"/>
      <c r="O22" s="24"/>
      <c r="P22" s="24"/>
      <c r="Q22" s="24"/>
      <c r="R22" s="24"/>
      <c r="S22" s="24"/>
      <c r="T22" s="24"/>
      <c r="U22" s="24"/>
    </row>
    <row r="23" spans="1:25" ht="15.75" customHeight="1">
      <c r="A23" s="25" t="s">
        <v>17</v>
      </c>
      <c r="B23" s="45" t="s">
        <v>31</v>
      </c>
      <c r="C23" s="27" t="s">
        <v>34</v>
      </c>
      <c r="D23" s="48">
        <v>44206</v>
      </c>
      <c r="E23" s="29">
        <f t="shared" si="14"/>
        <v>44207</v>
      </c>
      <c r="F23" s="30">
        <f t="shared" si="15"/>
        <v>44209</v>
      </c>
      <c r="G23" s="30">
        <f t="shared" si="16"/>
        <v>44211</v>
      </c>
      <c r="H23" s="30">
        <f t="shared" si="17"/>
        <v>44213</v>
      </c>
      <c r="I23" s="30">
        <f t="shared" si="18"/>
        <v>44216</v>
      </c>
      <c r="J23" s="30">
        <f t="shared" si="19"/>
        <v>44221</v>
      </c>
      <c r="K23" s="30">
        <f t="shared" si="20"/>
        <v>44231</v>
      </c>
      <c r="L23" s="30"/>
      <c r="M23" s="31"/>
      <c r="N23" s="31"/>
      <c r="O23" s="24"/>
      <c r="P23" s="24"/>
      <c r="Q23" s="24"/>
      <c r="R23" s="24"/>
      <c r="S23" s="24"/>
      <c r="T23" s="24"/>
      <c r="U23" s="24"/>
    </row>
    <row r="24" spans="1:25" ht="15.75" customHeight="1">
      <c r="A24" s="25" t="s">
        <v>17</v>
      </c>
      <c r="B24" s="49" t="s">
        <v>31</v>
      </c>
      <c r="C24" s="27" t="s">
        <v>35</v>
      </c>
      <c r="D24" s="48">
        <v>44207</v>
      </c>
      <c r="E24" s="29">
        <f t="shared" si="14"/>
        <v>44208</v>
      </c>
      <c r="F24" s="30">
        <f t="shared" si="15"/>
        <v>44210</v>
      </c>
      <c r="G24" s="30">
        <f t="shared" si="16"/>
        <v>44212</v>
      </c>
      <c r="H24" s="30">
        <f t="shared" si="17"/>
        <v>44214</v>
      </c>
      <c r="I24" s="30">
        <f t="shared" si="18"/>
        <v>44217</v>
      </c>
      <c r="J24" s="30">
        <f t="shared" si="19"/>
        <v>44222</v>
      </c>
      <c r="K24" s="30">
        <f t="shared" si="20"/>
        <v>44232</v>
      </c>
      <c r="L24" s="30"/>
      <c r="M24" s="31"/>
      <c r="N24" s="31"/>
      <c r="O24" s="24"/>
      <c r="P24" s="24"/>
      <c r="Q24" s="24"/>
      <c r="R24" s="24"/>
      <c r="S24" s="24"/>
      <c r="T24" s="24"/>
      <c r="U24" s="24"/>
    </row>
    <row r="25" spans="1:25" ht="15.75" customHeight="1">
      <c r="A25" s="25" t="s">
        <v>17</v>
      </c>
      <c r="B25" s="45" t="s">
        <v>31</v>
      </c>
      <c r="C25" s="27" t="s">
        <v>36</v>
      </c>
      <c r="D25" s="48">
        <v>44208</v>
      </c>
      <c r="E25" s="29">
        <f t="shared" si="14"/>
        <v>44209</v>
      </c>
      <c r="F25" s="30">
        <f t="shared" si="15"/>
        <v>44211</v>
      </c>
      <c r="G25" s="30">
        <f t="shared" si="16"/>
        <v>44213</v>
      </c>
      <c r="H25" s="30">
        <f t="shared" si="17"/>
        <v>44215</v>
      </c>
      <c r="I25" s="30">
        <f t="shared" si="18"/>
        <v>44218</v>
      </c>
      <c r="J25" s="30">
        <f t="shared" si="19"/>
        <v>44223</v>
      </c>
      <c r="K25" s="30">
        <f t="shared" si="20"/>
        <v>44233</v>
      </c>
      <c r="L25" s="30"/>
      <c r="M25" s="31"/>
      <c r="N25" s="31"/>
      <c r="O25" s="24"/>
      <c r="P25" s="24"/>
      <c r="Q25" s="24"/>
      <c r="R25" s="24"/>
      <c r="S25" s="24"/>
      <c r="T25" s="24"/>
      <c r="U25" s="24"/>
    </row>
    <row r="26" spans="1:25" ht="15.75" customHeight="1">
      <c r="A26" s="25" t="s">
        <v>17</v>
      </c>
      <c r="B26" s="49" t="s">
        <v>31</v>
      </c>
      <c r="C26" s="27" t="s">
        <v>37</v>
      </c>
      <c r="D26" s="48">
        <v>44213</v>
      </c>
      <c r="E26" s="29">
        <f t="shared" si="14"/>
        <v>44214</v>
      </c>
      <c r="F26" s="30">
        <f t="shared" si="15"/>
        <v>44216</v>
      </c>
      <c r="G26" s="30">
        <f t="shared" si="16"/>
        <v>44218</v>
      </c>
      <c r="H26" s="30">
        <f t="shared" si="17"/>
        <v>44220</v>
      </c>
      <c r="I26" s="30">
        <f t="shared" si="18"/>
        <v>44223</v>
      </c>
      <c r="J26" s="30">
        <f t="shared" si="19"/>
        <v>44228</v>
      </c>
      <c r="K26" s="30">
        <f t="shared" si="20"/>
        <v>44238</v>
      </c>
      <c r="L26" s="30"/>
      <c r="M26" s="31"/>
      <c r="N26" s="31"/>
      <c r="O26" s="24"/>
      <c r="P26" s="24"/>
      <c r="Q26" s="24"/>
      <c r="R26" s="24"/>
      <c r="S26" s="24"/>
      <c r="T26" s="24"/>
      <c r="U26" s="24"/>
    </row>
    <row r="27" spans="1:25" ht="15.75" customHeight="1">
      <c r="A27" s="25" t="s">
        <v>17</v>
      </c>
      <c r="B27" s="49" t="s">
        <v>31</v>
      </c>
      <c r="C27" s="27" t="s">
        <v>38</v>
      </c>
      <c r="D27" s="48">
        <v>44215</v>
      </c>
      <c r="E27" s="29">
        <f t="shared" si="14"/>
        <v>44216</v>
      </c>
      <c r="F27" s="30">
        <f t="shared" si="15"/>
        <v>44218</v>
      </c>
      <c r="G27" s="30">
        <f t="shared" si="16"/>
        <v>44220</v>
      </c>
      <c r="H27" s="30">
        <f t="shared" si="17"/>
        <v>44222</v>
      </c>
      <c r="I27" s="30">
        <f t="shared" si="18"/>
        <v>44225</v>
      </c>
      <c r="J27" s="30">
        <f t="shared" si="19"/>
        <v>44230</v>
      </c>
      <c r="K27" s="30">
        <f t="shared" si="20"/>
        <v>44240</v>
      </c>
      <c r="L27" s="30"/>
      <c r="M27" s="31"/>
      <c r="N27" s="31"/>
      <c r="O27" s="24"/>
      <c r="P27" s="24"/>
      <c r="Q27" s="24"/>
      <c r="R27" s="24"/>
      <c r="S27" s="24"/>
      <c r="T27" s="24"/>
      <c r="U27" s="24"/>
    </row>
    <row r="28" spans="1:25" ht="15.75" customHeight="1">
      <c r="A28" s="25" t="s">
        <v>17</v>
      </c>
      <c r="B28" s="49" t="s">
        <v>31</v>
      </c>
      <c r="C28" s="27" t="s">
        <v>39</v>
      </c>
      <c r="D28" s="48">
        <v>44215</v>
      </c>
      <c r="E28" s="29">
        <f t="shared" si="14"/>
        <v>44216</v>
      </c>
      <c r="F28" s="30">
        <f t="shared" si="15"/>
        <v>44218</v>
      </c>
      <c r="G28" s="30">
        <f t="shared" si="16"/>
        <v>44220</v>
      </c>
      <c r="H28" s="30">
        <f t="shared" si="17"/>
        <v>44222</v>
      </c>
      <c r="I28" s="30">
        <f t="shared" si="18"/>
        <v>44225</v>
      </c>
      <c r="J28" s="30">
        <f t="shared" si="19"/>
        <v>44230</v>
      </c>
      <c r="K28" s="30">
        <f t="shared" si="20"/>
        <v>44240</v>
      </c>
      <c r="L28" s="30"/>
      <c r="M28" s="31"/>
      <c r="N28" s="31"/>
      <c r="O28" s="24"/>
      <c r="P28" s="24"/>
      <c r="Q28" s="24"/>
      <c r="R28" s="24"/>
      <c r="S28" s="24"/>
      <c r="T28" s="24"/>
      <c r="U28" s="24"/>
    </row>
    <row r="29" spans="1:25" ht="15.75" customHeight="1">
      <c r="A29" s="25" t="s">
        <v>17</v>
      </c>
      <c r="B29" s="49" t="s">
        <v>31</v>
      </c>
      <c r="C29" s="27"/>
      <c r="D29" s="50"/>
      <c r="E29" s="40"/>
      <c r="F29" s="31"/>
      <c r="G29" s="31"/>
      <c r="H29" s="31"/>
      <c r="I29" s="31"/>
      <c r="J29" s="31"/>
      <c r="K29" s="31"/>
      <c r="L29" s="31"/>
      <c r="M29" s="31"/>
      <c r="N29" s="31"/>
      <c r="O29" s="24"/>
      <c r="P29" s="24"/>
      <c r="Q29" s="24"/>
      <c r="R29" s="24"/>
      <c r="S29" s="24"/>
      <c r="T29" s="24"/>
      <c r="U29" s="24"/>
    </row>
    <row r="30" spans="1:25" ht="15.75" customHeight="1">
      <c r="A30" s="25" t="s">
        <v>17</v>
      </c>
      <c r="B30" s="49" t="s">
        <v>31</v>
      </c>
      <c r="C30" s="27"/>
      <c r="D30" s="50"/>
      <c r="E30" s="40"/>
      <c r="F30" s="31"/>
      <c r="G30" s="31"/>
      <c r="H30" s="31"/>
      <c r="I30" s="31"/>
      <c r="J30" s="31"/>
      <c r="K30" s="31"/>
      <c r="L30" s="31"/>
      <c r="M30" s="31"/>
      <c r="N30" s="31"/>
      <c r="O30" s="24"/>
      <c r="P30" s="24"/>
      <c r="Q30" s="24"/>
      <c r="R30" s="24"/>
      <c r="S30" s="24"/>
      <c r="T30" s="24"/>
      <c r="U30" s="24"/>
    </row>
    <row r="31" spans="1:25" ht="15.75" customHeight="1">
      <c r="A31" s="25" t="s">
        <v>17</v>
      </c>
      <c r="B31" s="49" t="s">
        <v>31</v>
      </c>
      <c r="C31" s="27"/>
      <c r="D31" s="50"/>
      <c r="E31" s="40"/>
      <c r="F31" s="31"/>
      <c r="G31" s="31"/>
      <c r="H31" s="31"/>
      <c r="I31" s="31"/>
      <c r="J31" s="31"/>
      <c r="K31" s="31"/>
      <c r="L31" s="31"/>
      <c r="M31" s="31"/>
      <c r="N31" s="31"/>
      <c r="O31" s="24"/>
      <c r="P31" s="24"/>
      <c r="Q31" s="24"/>
      <c r="R31" s="24"/>
      <c r="S31" s="24"/>
      <c r="T31" s="24"/>
      <c r="U31" s="24"/>
    </row>
    <row r="32" spans="1:25" ht="15.75" customHeight="1">
      <c r="A32" s="25" t="s">
        <v>17</v>
      </c>
      <c r="B32" s="51" t="s">
        <v>40</v>
      </c>
      <c r="C32" s="27" t="s">
        <v>41</v>
      </c>
      <c r="D32" s="52">
        <v>44220</v>
      </c>
      <c r="E32" s="29">
        <f t="shared" ref="E32:E51" si="22">D32+1</f>
        <v>44221</v>
      </c>
      <c r="F32" s="30">
        <f t="shared" ref="F32:F51" si="23">D32+3</f>
        <v>44223</v>
      </c>
      <c r="G32" s="30">
        <f t="shared" ref="G32:G51" si="24">D32+5</f>
        <v>44225</v>
      </c>
      <c r="H32" s="30">
        <f t="shared" ref="H32:H51" si="25">D32+7</f>
        <v>44227</v>
      </c>
      <c r="I32" s="30">
        <f t="shared" ref="I32:I50" si="26">D32+10</f>
        <v>44230</v>
      </c>
      <c r="J32" s="30">
        <f t="shared" ref="J32:J43" si="27">D32+15</f>
        <v>44235</v>
      </c>
      <c r="K32" s="30"/>
      <c r="L32" s="30"/>
      <c r="M32" s="31"/>
      <c r="N32" s="31"/>
      <c r="O32" s="24"/>
      <c r="P32" s="24"/>
      <c r="Q32" s="24"/>
      <c r="R32" s="24"/>
      <c r="S32" s="24"/>
      <c r="T32" s="24"/>
      <c r="U32" s="24"/>
    </row>
    <row r="33" spans="1:25" ht="15.75" customHeight="1">
      <c r="A33" s="25" t="s">
        <v>17</v>
      </c>
      <c r="B33" s="51" t="s">
        <v>40</v>
      </c>
      <c r="C33" s="27" t="s">
        <v>42</v>
      </c>
      <c r="D33" s="52">
        <v>44220</v>
      </c>
      <c r="E33" s="29">
        <f t="shared" si="22"/>
        <v>44221</v>
      </c>
      <c r="F33" s="30">
        <f t="shared" si="23"/>
        <v>44223</v>
      </c>
      <c r="G33" s="30">
        <f t="shared" si="24"/>
        <v>44225</v>
      </c>
      <c r="H33" s="30">
        <f t="shared" si="25"/>
        <v>44227</v>
      </c>
      <c r="I33" s="30">
        <f t="shared" si="26"/>
        <v>44230</v>
      </c>
      <c r="J33" s="30">
        <f t="shared" si="27"/>
        <v>44235</v>
      </c>
      <c r="K33" s="30"/>
      <c r="L33" s="30"/>
      <c r="M33" s="31"/>
      <c r="N33" s="31"/>
      <c r="O33" s="24"/>
      <c r="P33" s="24"/>
      <c r="Q33" s="24"/>
      <c r="R33" s="24"/>
      <c r="S33" s="24"/>
      <c r="T33" s="24"/>
      <c r="U33" s="24"/>
    </row>
    <row r="34" spans="1:25" ht="15.75" customHeight="1">
      <c r="A34" s="25" t="s">
        <v>17</v>
      </c>
      <c r="B34" s="53" t="s">
        <v>40</v>
      </c>
      <c r="C34" s="27" t="s">
        <v>43</v>
      </c>
      <c r="D34" s="52">
        <v>44220</v>
      </c>
      <c r="E34" s="29">
        <f t="shared" si="22"/>
        <v>44221</v>
      </c>
      <c r="F34" s="30">
        <f t="shared" si="23"/>
        <v>44223</v>
      </c>
      <c r="G34" s="30">
        <f t="shared" si="24"/>
        <v>44225</v>
      </c>
      <c r="H34" s="30">
        <f t="shared" si="25"/>
        <v>44227</v>
      </c>
      <c r="I34" s="30">
        <f t="shared" si="26"/>
        <v>44230</v>
      </c>
      <c r="J34" s="30">
        <f t="shared" si="27"/>
        <v>44235</v>
      </c>
      <c r="K34" s="30"/>
      <c r="L34" s="30"/>
      <c r="M34" s="31"/>
      <c r="N34" s="31"/>
      <c r="O34" s="24"/>
      <c r="P34" s="24"/>
      <c r="Q34" s="24"/>
      <c r="R34" s="24"/>
      <c r="S34" s="24"/>
      <c r="T34" s="24"/>
      <c r="U34" s="24"/>
    </row>
    <row r="35" spans="1:25" ht="15.75" customHeight="1">
      <c r="A35" s="25" t="s">
        <v>17</v>
      </c>
      <c r="B35" s="51" t="s">
        <v>40</v>
      </c>
      <c r="C35" s="54" t="s">
        <v>44</v>
      </c>
      <c r="D35" s="52">
        <v>44220</v>
      </c>
      <c r="E35" s="29">
        <f t="shared" si="22"/>
        <v>44221</v>
      </c>
      <c r="F35" s="30">
        <f t="shared" si="23"/>
        <v>44223</v>
      </c>
      <c r="G35" s="30">
        <f t="shared" si="24"/>
        <v>44225</v>
      </c>
      <c r="H35" s="30">
        <f t="shared" si="25"/>
        <v>44227</v>
      </c>
      <c r="I35" s="30">
        <f t="shared" si="26"/>
        <v>44230</v>
      </c>
      <c r="J35" s="30">
        <f t="shared" si="27"/>
        <v>44235</v>
      </c>
      <c r="K35" s="30"/>
      <c r="L35" s="30"/>
      <c r="M35" s="31"/>
      <c r="N35" s="31"/>
      <c r="O35" s="24"/>
      <c r="P35" s="24"/>
      <c r="Q35" s="24"/>
      <c r="R35" s="24"/>
      <c r="S35" s="24"/>
      <c r="T35" s="24"/>
      <c r="U35" s="24"/>
    </row>
    <row r="36" spans="1:25" ht="15.75" customHeight="1">
      <c r="A36" s="25" t="s">
        <v>17</v>
      </c>
      <c r="B36" s="53" t="s">
        <v>40</v>
      </c>
      <c r="C36" s="55" t="s">
        <v>45</v>
      </c>
      <c r="D36" s="52">
        <v>44220</v>
      </c>
      <c r="E36" s="29">
        <f t="shared" si="22"/>
        <v>44221</v>
      </c>
      <c r="F36" s="30">
        <f t="shared" si="23"/>
        <v>44223</v>
      </c>
      <c r="G36" s="30">
        <f t="shared" si="24"/>
        <v>44225</v>
      </c>
      <c r="H36" s="30">
        <f t="shared" si="25"/>
        <v>44227</v>
      </c>
      <c r="I36" s="30">
        <f t="shared" si="26"/>
        <v>44230</v>
      </c>
      <c r="J36" s="30">
        <f t="shared" si="27"/>
        <v>44235</v>
      </c>
      <c r="K36" s="30"/>
      <c r="L36" s="30"/>
      <c r="M36" s="31"/>
      <c r="N36" s="31"/>
      <c r="O36" s="24"/>
      <c r="P36" s="24"/>
      <c r="Q36" s="24"/>
      <c r="R36" s="24"/>
      <c r="S36" s="24"/>
      <c r="T36" s="24"/>
      <c r="U36" s="24"/>
    </row>
    <row r="37" spans="1:25" ht="15.75" customHeight="1">
      <c r="A37" s="25" t="s">
        <v>17</v>
      </c>
      <c r="B37" s="53" t="s">
        <v>40</v>
      </c>
      <c r="C37" s="27" t="s">
        <v>46</v>
      </c>
      <c r="D37" s="52">
        <v>44221</v>
      </c>
      <c r="E37" s="29">
        <f t="shared" si="22"/>
        <v>44222</v>
      </c>
      <c r="F37" s="30">
        <f t="shared" si="23"/>
        <v>44224</v>
      </c>
      <c r="G37" s="30">
        <f t="shared" si="24"/>
        <v>44226</v>
      </c>
      <c r="H37" s="30">
        <f t="shared" si="25"/>
        <v>44228</v>
      </c>
      <c r="I37" s="30">
        <f t="shared" si="26"/>
        <v>44231</v>
      </c>
      <c r="J37" s="30">
        <f t="shared" si="27"/>
        <v>44236</v>
      </c>
      <c r="K37" s="30"/>
      <c r="L37" s="30"/>
      <c r="M37" s="31"/>
      <c r="N37" s="31"/>
      <c r="O37" s="24"/>
      <c r="P37" s="24"/>
      <c r="Q37" s="24"/>
      <c r="R37" s="24"/>
      <c r="S37" s="24"/>
      <c r="T37" s="24"/>
      <c r="U37" s="24"/>
    </row>
    <row r="38" spans="1:25" ht="15.75" customHeight="1">
      <c r="A38" s="25" t="s">
        <v>17</v>
      </c>
      <c r="B38" s="51" t="s">
        <v>40</v>
      </c>
      <c r="C38" s="27" t="s">
        <v>47</v>
      </c>
      <c r="D38" s="52">
        <v>44221</v>
      </c>
      <c r="E38" s="29">
        <f t="shared" si="22"/>
        <v>44222</v>
      </c>
      <c r="F38" s="30">
        <f t="shared" si="23"/>
        <v>44224</v>
      </c>
      <c r="G38" s="30">
        <f t="shared" si="24"/>
        <v>44226</v>
      </c>
      <c r="H38" s="30">
        <f t="shared" si="25"/>
        <v>44228</v>
      </c>
      <c r="I38" s="30">
        <f t="shared" si="26"/>
        <v>44231</v>
      </c>
      <c r="J38" s="30">
        <f t="shared" si="27"/>
        <v>44236</v>
      </c>
      <c r="K38" s="30"/>
      <c r="L38" s="30"/>
      <c r="M38" s="31"/>
      <c r="N38" s="31"/>
      <c r="O38" s="24"/>
      <c r="P38" s="24"/>
      <c r="Q38" s="24"/>
      <c r="R38" s="24"/>
      <c r="S38" s="24"/>
      <c r="T38" s="24"/>
      <c r="U38" s="24"/>
    </row>
    <row r="39" spans="1:25" ht="15.75" customHeight="1">
      <c r="A39" s="25" t="s">
        <v>17</v>
      </c>
      <c r="B39" s="53" t="s">
        <v>40</v>
      </c>
      <c r="C39" s="27" t="s">
        <v>48</v>
      </c>
      <c r="D39" s="52">
        <v>44221</v>
      </c>
      <c r="E39" s="29">
        <f t="shared" si="22"/>
        <v>44222</v>
      </c>
      <c r="F39" s="30">
        <f t="shared" si="23"/>
        <v>44224</v>
      </c>
      <c r="G39" s="30">
        <f t="shared" si="24"/>
        <v>44226</v>
      </c>
      <c r="H39" s="30">
        <f t="shared" si="25"/>
        <v>44228</v>
      </c>
      <c r="I39" s="30">
        <f t="shared" si="26"/>
        <v>44231</v>
      </c>
      <c r="J39" s="30">
        <f t="shared" si="27"/>
        <v>44236</v>
      </c>
      <c r="K39" s="30"/>
      <c r="L39" s="30"/>
      <c r="M39" s="31"/>
      <c r="N39" s="31"/>
      <c r="O39" s="24"/>
      <c r="P39" s="24"/>
      <c r="Q39" s="24"/>
      <c r="R39" s="24"/>
      <c r="S39" s="24"/>
      <c r="T39" s="24"/>
      <c r="U39" s="24"/>
    </row>
    <row r="40" spans="1:25" ht="15.75" customHeight="1">
      <c r="A40" s="25" t="s">
        <v>17</v>
      </c>
      <c r="B40" s="53" t="s">
        <v>40</v>
      </c>
      <c r="C40" s="27" t="s">
        <v>49</v>
      </c>
      <c r="D40" s="52">
        <v>44222</v>
      </c>
      <c r="E40" s="29">
        <f t="shared" si="22"/>
        <v>44223</v>
      </c>
      <c r="F40" s="30">
        <f t="shared" si="23"/>
        <v>44225</v>
      </c>
      <c r="G40" s="30">
        <f t="shared" si="24"/>
        <v>44227</v>
      </c>
      <c r="H40" s="30">
        <f t="shared" si="25"/>
        <v>44229</v>
      </c>
      <c r="I40" s="30">
        <f t="shared" si="26"/>
        <v>44232</v>
      </c>
      <c r="J40" s="30">
        <f t="shared" si="27"/>
        <v>44237</v>
      </c>
      <c r="K40" s="30"/>
      <c r="L40" s="30"/>
      <c r="M40" s="31"/>
      <c r="N40" s="31"/>
      <c r="O40" s="24"/>
      <c r="P40" s="24"/>
      <c r="Q40" s="24"/>
      <c r="R40" s="24"/>
      <c r="S40" s="24"/>
      <c r="T40" s="24"/>
      <c r="U40" s="24"/>
    </row>
    <row r="41" spans="1:25" ht="15.75" customHeight="1">
      <c r="A41" s="25" t="s">
        <v>17</v>
      </c>
      <c r="B41" s="53" t="s">
        <v>40</v>
      </c>
      <c r="C41" s="27" t="s">
        <v>50</v>
      </c>
      <c r="D41" s="52">
        <v>44222</v>
      </c>
      <c r="E41" s="29">
        <f t="shared" si="22"/>
        <v>44223</v>
      </c>
      <c r="F41" s="30">
        <f t="shared" si="23"/>
        <v>44225</v>
      </c>
      <c r="G41" s="30">
        <f t="shared" si="24"/>
        <v>44227</v>
      </c>
      <c r="H41" s="30">
        <f t="shared" si="25"/>
        <v>44229</v>
      </c>
      <c r="I41" s="30">
        <f t="shared" si="26"/>
        <v>44232</v>
      </c>
      <c r="J41" s="30">
        <f t="shared" si="27"/>
        <v>44237</v>
      </c>
      <c r="K41" s="30"/>
      <c r="L41" s="30"/>
      <c r="M41" s="31"/>
      <c r="N41" s="31"/>
      <c r="O41" s="24"/>
      <c r="P41" s="24"/>
      <c r="Q41" s="24"/>
      <c r="R41" s="24"/>
      <c r="S41" s="24"/>
      <c r="T41" s="24"/>
      <c r="U41" s="24"/>
    </row>
    <row r="42" spans="1:25" ht="15.75" customHeight="1">
      <c r="A42" s="25" t="s">
        <v>17</v>
      </c>
      <c r="B42" s="53" t="s">
        <v>40</v>
      </c>
      <c r="C42" s="27" t="s">
        <v>51</v>
      </c>
      <c r="D42" s="52">
        <v>44222</v>
      </c>
      <c r="E42" s="29">
        <f t="shared" si="22"/>
        <v>44223</v>
      </c>
      <c r="F42" s="30">
        <f t="shared" si="23"/>
        <v>44225</v>
      </c>
      <c r="G42" s="30">
        <f t="shared" si="24"/>
        <v>44227</v>
      </c>
      <c r="H42" s="30">
        <f t="shared" si="25"/>
        <v>44229</v>
      </c>
      <c r="I42" s="30">
        <f t="shared" si="26"/>
        <v>44232</v>
      </c>
      <c r="J42" s="30">
        <f t="shared" si="27"/>
        <v>44237</v>
      </c>
      <c r="K42" s="30"/>
      <c r="L42" s="30"/>
      <c r="M42" s="31"/>
      <c r="N42" s="31"/>
      <c r="O42" s="24"/>
      <c r="P42" s="24"/>
      <c r="Q42" s="24"/>
      <c r="R42" s="24"/>
      <c r="S42" s="24"/>
      <c r="T42" s="24"/>
      <c r="U42" s="24"/>
    </row>
    <row r="43" spans="1:25" ht="15.75" customHeight="1">
      <c r="A43" s="25" t="s">
        <v>17</v>
      </c>
      <c r="B43" s="53" t="s">
        <v>40</v>
      </c>
      <c r="C43" s="27" t="s">
        <v>52</v>
      </c>
      <c r="D43" s="52">
        <v>44222</v>
      </c>
      <c r="E43" s="29">
        <f t="shared" si="22"/>
        <v>44223</v>
      </c>
      <c r="F43" s="30">
        <f t="shared" si="23"/>
        <v>44225</v>
      </c>
      <c r="G43" s="30">
        <f t="shared" si="24"/>
        <v>44227</v>
      </c>
      <c r="H43" s="30">
        <f t="shared" si="25"/>
        <v>44229</v>
      </c>
      <c r="I43" s="30">
        <f t="shared" si="26"/>
        <v>44232</v>
      </c>
      <c r="J43" s="30">
        <f t="shared" si="27"/>
        <v>44237</v>
      </c>
      <c r="K43" s="30"/>
      <c r="L43" s="30"/>
      <c r="M43" s="31"/>
      <c r="N43" s="31"/>
      <c r="O43" s="24"/>
      <c r="P43" s="24"/>
      <c r="Q43" s="24"/>
      <c r="R43" s="24"/>
      <c r="S43" s="24"/>
      <c r="T43" s="24"/>
      <c r="U43" s="24"/>
    </row>
    <row r="44" spans="1:25" ht="15.75" customHeight="1">
      <c r="A44" s="25" t="s">
        <v>17</v>
      </c>
      <c r="B44" s="53" t="s">
        <v>40</v>
      </c>
      <c r="C44" s="27" t="s">
        <v>53</v>
      </c>
      <c r="D44" s="52">
        <v>44227</v>
      </c>
      <c r="E44" s="29">
        <f t="shared" si="22"/>
        <v>44228</v>
      </c>
      <c r="F44" s="30">
        <f t="shared" si="23"/>
        <v>44230</v>
      </c>
      <c r="G44" s="30">
        <f t="shared" si="24"/>
        <v>44232</v>
      </c>
      <c r="H44" s="30">
        <f t="shared" si="25"/>
        <v>44234</v>
      </c>
      <c r="I44" s="30">
        <f t="shared" si="26"/>
        <v>44237</v>
      </c>
      <c r="J44" s="30"/>
      <c r="K44" s="30"/>
      <c r="L44" s="30"/>
      <c r="M44" s="31"/>
      <c r="N44" s="31"/>
      <c r="O44" s="24"/>
      <c r="P44" s="24"/>
      <c r="Q44" s="24"/>
      <c r="R44" s="24"/>
      <c r="S44" s="24"/>
      <c r="T44" s="24"/>
      <c r="U44" s="24"/>
    </row>
    <row r="45" spans="1:25" ht="15.75" customHeight="1">
      <c r="A45" s="25" t="s">
        <v>17</v>
      </c>
      <c r="B45" s="53" t="s">
        <v>40</v>
      </c>
      <c r="C45" s="27" t="s">
        <v>54</v>
      </c>
      <c r="D45" s="52">
        <v>44227</v>
      </c>
      <c r="E45" s="29">
        <f t="shared" si="22"/>
        <v>44228</v>
      </c>
      <c r="F45" s="30">
        <f t="shared" si="23"/>
        <v>44230</v>
      </c>
      <c r="G45" s="30">
        <f t="shared" si="24"/>
        <v>44232</v>
      </c>
      <c r="H45" s="30">
        <f t="shared" si="25"/>
        <v>44234</v>
      </c>
      <c r="I45" s="30">
        <f t="shared" si="26"/>
        <v>44237</v>
      </c>
      <c r="J45" s="30"/>
      <c r="K45" s="30"/>
      <c r="L45" s="30"/>
      <c r="M45" s="31"/>
      <c r="N45" s="31"/>
      <c r="O45" s="24"/>
      <c r="P45" s="24"/>
      <c r="Q45" s="24"/>
      <c r="R45" s="24"/>
      <c r="S45" s="24"/>
      <c r="T45" s="24"/>
      <c r="U45" s="24"/>
    </row>
    <row r="46" spans="1:25" ht="15.75" customHeight="1">
      <c r="A46" s="25" t="s">
        <v>17</v>
      </c>
      <c r="B46" s="53" t="s">
        <v>40</v>
      </c>
      <c r="C46" s="27" t="s">
        <v>55</v>
      </c>
      <c r="D46" s="52">
        <v>44227</v>
      </c>
      <c r="E46" s="29">
        <f t="shared" si="22"/>
        <v>44228</v>
      </c>
      <c r="F46" s="30">
        <f t="shared" si="23"/>
        <v>44230</v>
      </c>
      <c r="G46" s="30">
        <f t="shared" si="24"/>
        <v>44232</v>
      </c>
      <c r="H46" s="30">
        <f t="shared" si="25"/>
        <v>44234</v>
      </c>
      <c r="I46" s="30">
        <f t="shared" si="26"/>
        <v>44237</v>
      </c>
      <c r="J46" s="30"/>
      <c r="K46" s="30"/>
      <c r="L46" s="30"/>
      <c r="M46" s="31"/>
      <c r="N46" s="31"/>
      <c r="O46" s="24"/>
      <c r="P46" s="24"/>
      <c r="Q46" s="24"/>
      <c r="R46" s="24"/>
      <c r="S46" s="24"/>
      <c r="T46" s="24"/>
      <c r="U46" s="24"/>
      <c r="V46" s="39"/>
      <c r="W46" s="39"/>
      <c r="X46" s="39"/>
      <c r="Y46" s="39"/>
    </row>
    <row r="47" spans="1:25" ht="15.75" customHeight="1">
      <c r="A47" s="25" t="s">
        <v>17</v>
      </c>
      <c r="B47" s="53" t="s">
        <v>40</v>
      </c>
      <c r="C47" s="27" t="s">
        <v>56</v>
      </c>
      <c r="D47" s="52">
        <v>44229</v>
      </c>
      <c r="E47" s="29">
        <f t="shared" si="22"/>
        <v>44230</v>
      </c>
      <c r="F47" s="30">
        <f t="shared" si="23"/>
        <v>44232</v>
      </c>
      <c r="G47" s="30">
        <f t="shared" si="24"/>
        <v>44234</v>
      </c>
      <c r="H47" s="30">
        <f t="shared" si="25"/>
        <v>44236</v>
      </c>
      <c r="I47" s="30">
        <f t="shared" si="26"/>
        <v>44239</v>
      </c>
      <c r="J47" s="30"/>
      <c r="K47" s="30"/>
      <c r="L47" s="30"/>
      <c r="M47" s="31"/>
      <c r="N47" s="31"/>
      <c r="O47" s="24"/>
      <c r="P47" s="24"/>
      <c r="Q47" s="24"/>
      <c r="R47" s="24"/>
      <c r="S47" s="24"/>
      <c r="T47" s="24"/>
      <c r="U47" s="24"/>
      <c r="V47" s="39"/>
      <c r="W47" s="39"/>
      <c r="X47" s="39"/>
      <c r="Y47" s="39"/>
    </row>
    <row r="48" spans="1:25" ht="15.75" customHeight="1">
      <c r="A48" s="25" t="s">
        <v>17</v>
      </c>
      <c r="B48" s="53" t="s">
        <v>40</v>
      </c>
      <c r="C48" s="27" t="s">
        <v>57</v>
      </c>
      <c r="D48" s="52">
        <v>44229</v>
      </c>
      <c r="E48" s="29">
        <f t="shared" si="22"/>
        <v>44230</v>
      </c>
      <c r="F48" s="30">
        <f t="shared" si="23"/>
        <v>44232</v>
      </c>
      <c r="G48" s="30">
        <f t="shared" si="24"/>
        <v>44234</v>
      </c>
      <c r="H48" s="30">
        <f t="shared" si="25"/>
        <v>44236</v>
      </c>
      <c r="I48" s="30">
        <f t="shared" si="26"/>
        <v>44239</v>
      </c>
      <c r="J48" s="30"/>
      <c r="K48" s="30"/>
      <c r="L48" s="30"/>
      <c r="M48" s="31"/>
      <c r="N48" s="31"/>
      <c r="O48" s="24"/>
      <c r="P48" s="24"/>
      <c r="Q48" s="24"/>
      <c r="R48" s="24"/>
      <c r="S48" s="24"/>
      <c r="T48" s="24"/>
      <c r="U48" s="24"/>
      <c r="V48" s="39"/>
      <c r="W48" s="39"/>
      <c r="X48" s="39"/>
      <c r="Y48" s="39"/>
    </row>
    <row r="49" spans="1:25" ht="15.75" customHeight="1">
      <c r="A49" s="25" t="s">
        <v>17</v>
      </c>
      <c r="B49" s="53" t="s">
        <v>40</v>
      </c>
      <c r="C49" s="27" t="s">
        <v>58</v>
      </c>
      <c r="D49" s="52">
        <v>44229</v>
      </c>
      <c r="E49" s="29">
        <f t="shared" si="22"/>
        <v>44230</v>
      </c>
      <c r="F49" s="30">
        <f t="shared" si="23"/>
        <v>44232</v>
      </c>
      <c r="G49" s="30">
        <f t="shared" si="24"/>
        <v>44234</v>
      </c>
      <c r="H49" s="30">
        <f t="shared" si="25"/>
        <v>44236</v>
      </c>
      <c r="I49" s="30">
        <f t="shared" si="26"/>
        <v>44239</v>
      </c>
      <c r="J49" s="30"/>
      <c r="K49" s="30"/>
      <c r="L49" s="30"/>
      <c r="M49" s="31"/>
      <c r="N49" s="31"/>
      <c r="O49" s="24"/>
      <c r="P49" s="24"/>
      <c r="Q49" s="24"/>
      <c r="R49" s="24"/>
      <c r="S49" s="24"/>
      <c r="T49" s="24"/>
      <c r="U49" s="24"/>
      <c r="V49" s="39"/>
      <c r="W49" s="39"/>
      <c r="X49" s="39"/>
      <c r="Y49" s="39"/>
    </row>
    <row r="50" spans="1:25" ht="15.75" customHeight="1">
      <c r="A50" s="25" t="s">
        <v>17</v>
      </c>
      <c r="B50" s="53" t="s">
        <v>40</v>
      </c>
      <c r="C50" s="27" t="s">
        <v>59</v>
      </c>
      <c r="D50" s="52">
        <v>44229</v>
      </c>
      <c r="E50" s="29">
        <f t="shared" si="22"/>
        <v>44230</v>
      </c>
      <c r="F50" s="30">
        <f t="shared" si="23"/>
        <v>44232</v>
      </c>
      <c r="G50" s="30">
        <f t="shared" si="24"/>
        <v>44234</v>
      </c>
      <c r="H50" s="30">
        <f t="shared" si="25"/>
        <v>44236</v>
      </c>
      <c r="I50" s="30">
        <f t="shared" si="26"/>
        <v>44239</v>
      </c>
      <c r="J50" s="30"/>
      <c r="K50" s="30"/>
      <c r="L50" s="30"/>
      <c r="M50" s="31"/>
      <c r="N50" s="31"/>
      <c r="O50" s="24"/>
      <c r="P50" s="24"/>
      <c r="Q50" s="24"/>
      <c r="R50" s="24"/>
      <c r="S50" s="24"/>
      <c r="T50" s="24"/>
      <c r="U50" s="24"/>
      <c r="V50" s="39"/>
      <c r="W50" s="39"/>
      <c r="X50" s="39"/>
      <c r="Y50" s="39"/>
    </row>
    <row r="51" spans="1:25" ht="15.75" customHeight="1">
      <c r="A51" s="25" t="s">
        <v>17</v>
      </c>
      <c r="B51" s="53" t="s">
        <v>40</v>
      </c>
      <c r="C51" s="27" t="s">
        <v>60</v>
      </c>
      <c r="D51" s="52">
        <v>44231</v>
      </c>
      <c r="E51" s="29">
        <f t="shared" si="22"/>
        <v>44232</v>
      </c>
      <c r="F51" s="30">
        <f t="shared" si="23"/>
        <v>44234</v>
      </c>
      <c r="G51" s="30">
        <f t="shared" si="24"/>
        <v>44236</v>
      </c>
      <c r="H51" s="30">
        <f t="shared" si="25"/>
        <v>44238</v>
      </c>
      <c r="I51" s="30"/>
      <c r="J51" s="30"/>
      <c r="K51" s="30"/>
      <c r="L51" s="30"/>
      <c r="M51" s="31"/>
      <c r="N51" s="31"/>
      <c r="O51" s="24"/>
      <c r="P51" s="24"/>
      <c r="Q51" s="24"/>
      <c r="R51" s="24"/>
      <c r="S51" s="24"/>
      <c r="T51" s="24"/>
      <c r="U51" s="24"/>
      <c r="V51" s="39"/>
      <c r="W51" s="39"/>
      <c r="X51" s="39"/>
      <c r="Y51" s="39"/>
    </row>
    <row r="52" spans="1:25" ht="15.75" customHeight="1">
      <c r="A52" s="25" t="s">
        <v>17</v>
      </c>
      <c r="B52" s="53" t="s">
        <v>40</v>
      </c>
      <c r="C52" s="27"/>
      <c r="D52" s="56"/>
      <c r="E52" s="29"/>
      <c r="F52" s="29"/>
      <c r="G52" s="29"/>
      <c r="H52" s="29"/>
      <c r="I52" s="29"/>
      <c r="J52" s="31"/>
      <c r="K52" s="31"/>
      <c r="L52" s="31"/>
      <c r="M52" s="31"/>
      <c r="N52" s="31"/>
      <c r="O52" s="24"/>
      <c r="P52" s="24"/>
      <c r="Q52" s="24"/>
      <c r="R52" s="24"/>
      <c r="S52" s="24"/>
      <c r="T52" s="24"/>
      <c r="U52" s="24"/>
    </row>
    <row r="53" spans="1:25" ht="15.75" customHeight="1">
      <c r="A53" s="25" t="s">
        <v>17</v>
      </c>
      <c r="B53" s="57" t="s">
        <v>61</v>
      </c>
      <c r="C53" s="27" t="s">
        <v>62</v>
      </c>
      <c r="D53" s="58">
        <v>44227</v>
      </c>
      <c r="E53" s="29">
        <f t="shared" ref="E53:E54" si="28">D53+1</f>
        <v>44228</v>
      </c>
      <c r="F53" s="30">
        <f t="shared" ref="F53:F54" si="29">D53+3</f>
        <v>44230</v>
      </c>
      <c r="G53" s="30">
        <f t="shared" ref="G53:G54" si="30">D53+5</f>
        <v>44232</v>
      </c>
      <c r="H53" s="30">
        <f t="shared" ref="H53:H54" si="31">D53+7</f>
        <v>44234</v>
      </c>
      <c r="I53" s="30">
        <f t="shared" ref="I53:I54" si="32">D53+10</f>
        <v>44237</v>
      </c>
      <c r="J53" s="30"/>
      <c r="K53" s="30"/>
      <c r="L53" s="30"/>
      <c r="M53" s="31"/>
      <c r="N53" s="31"/>
      <c r="O53" s="24"/>
      <c r="P53" s="24"/>
      <c r="Q53" s="24"/>
      <c r="R53" s="24"/>
      <c r="S53" s="24"/>
      <c r="T53" s="24"/>
      <c r="U53" s="24"/>
    </row>
    <row r="54" spans="1:25" ht="15.75" customHeight="1">
      <c r="A54" s="25" t="s">
        <v>17</v>
      </c>
      <c r="B54" s="57" t="s">
        <v>61</v>
      </c>
      <c r="C54" s="27" t="s">
        <v>63</v>
      </c>
      <c r="D54" s="58">
        <v>44230</v>
      </c>
      <c r="E54" s="29">
        <f t="shared" si="28"/>
        <v>44231</v>
      </c>
      <c r="F54" s="30">
        <f t="shared" si="29"/>
        <v>44233</v>
      </c>
      <c r="G54" s="30">
        <f t="shared" si="30"/>
        <v>44235</v>
      </c>
      <c r="H54" s="30">
        <f t="shared" si="31"/>
        <v>44237</v>
      </c>
      <c r="I54" s="30">
        <f t="shared" si="32"/>
        <v>44240</v>
      </c>
      <c r="J54" s="30"/>
      <c r="K54" s="30"/>
      <c r="L54" s="30"/>
      <c r="M54" s="31"/>
      <c r="N54" s="31"/>
      <c r="O54" s="24"/>
      <c r="P54" s="24"/>
      <c r="Q54" s="24"/>
      <c r="R54" s="24"/>
      <c r="S54" s="24"/>
      <c r="T54" s="24"/>
      <c r="U54" s="24"/>
    </row>
    <row r="55" spans="1:25" ht="15.75" customHeight="1">
      <c r="A55" s="59"/>
      <c r="B55" s="59"/>
      <c r="C55" s="59"/>
      <c r="D55" s="60"/>
      <c r="E55" s="61"/>
      <c r="F55" s="62"/>
      <c r="G55" s="62"/>
      <c r="H55" s="62"/>
      <c r="I55" s="62"/>
      <c r="J55" s="62"/>
      <c r="K55" s="62"/>
      <c r="L55" s="62"/>
      <c r="M55" s="62"/>
      <c r="N55" s="62"/>
      <c r="O55" s="24"/>
      <c r="P55" s="24"/>
      <c r="Q55" s="24"/>
      <c r="R55" s="24"/>
      <c r="S55" s="24"/>
      <c r="T55" s="24"/>
      <c r="U55" s="24"/>
    </row>
    <row r="56" spans="1:25" ht="15.75" customHeight="1">
      <c r="A56" s="63" t="s">
        <v>2</v>
      </c>
      <c r="B56" s="64" t="s">
        <v>64</v>
      </c>
      <c r="C56" s="64" t="s">
        <v>4</v>
      </c>
      <c r="D56" s="63" t="s">
        <v>7</v>
      </c>
      <c r="E56" s="63" t="s">
        <v>8</v>
      </c>
      <c r="F56" s="63" t="s">
        <v>9</v>
      </c>
      <c r="G56" s="63" t="s">
        <v>10</v>
      </c>
      <c r="H56" s="63" t="s">
        <v>11</v>
      </c>
      <c r="I56" s="63" t="s">
        <v>12</v>
      </c>
      <c r="J56" s="63" t="s">
        <v>13</v>
      </c>
      <c r="K56" s="63" t="s">
        <v>14</v>
      </c>
      <c r="L56" s="63" t="s">
        <v>15</v>
      </c>
      <c r="M56" s="63" t="s">
        <v>65</v>
      </c>
      <c r="N56" s="63" t="s">
        <v>66</v>
      </c>
      <c r="O56" s="24"/>
      <c r="P56" s="24"/>
      <c r="Q56" s="24"/>
      <c r="R56" s="24"/>
      <c r="S56" s="24"/>
      <c r="T56" s="24"/>
      <c r="U56" s="24"/>
    </row>
    <row r="57" spans="1:25" ht="15.75" customHeight="1">
      <c r="A57" s="65" t="s">
        <v>67</v>
      </c>
      <c r="B57" s="114"/>
      <c r="C57" s="27" t="s">
        <v>68</v>
      </c>
      <c r="D57" s="66">
        <v>44201</v>
      </c>
      <c r="E57" s="29">
        <f t="shared" ref="E57:E70" si="33">D57+1</f>
        <v>44202</v>
      </c>
      <c r="F57" s="30">
        <f t="shared" ref="F57:F70" si="34">D57+3</f>
        <v>44204</v>
      </c>
      <c r="G57" s="30">
        <f t="shared" ref="G57:G70" si="35">D57+5</f>
        <v>44206</v>
      </c>
      <c r="H57" s="30">
        <f t="shared" ref="H57:H70" si="36">D57+7</f>
        <v>44208</v>
      </c>
      <c r="I57" s="30">
        <f t="shared" ref="I57:I70" si="37">D57+10</f>
        <v>44211</v>
      </c>
      <c r="J57" s="30">
        <f t="shared" ref="J57:J68" si="38">D57+15</f>
        <v>44216</v>
      </c>
      <c r="K57" s="30">
        <f t="shared" ref="K57:K64" si="39">D57+25</f>
        <v>44226</v>
      </c>
      <c r="L57" s="30">
        <f t="shared" ref="L57:L59" si="40">D57+35</f>
        <v>44236</v>
      </c>
      <c r="M57" s="31"/>
      <c r="N57" s="31"/>
      <c r="O57" s="24"/>
      <c r="P57" s="24"/>
      <c r="Q57" s="24"/>
      <c r="R57" s="24"/>
      <c r="S57" s="24"/>
      <c r="T57" s="24"/>
      <c r="U57" s="24"/>
    </row>
    <row r="58" spans="1:25" ht="15.75" customHeight="1">
      <c r="A58" s="65" t="s">
        <v>67</v>
      </c>
      <c r="B58" s="115"/>
      <c r="C58" s="27" t="s">
        <v>69</v>
      </c>
      <c r="D58" s="67">
        <v>44202</v>
      </c>
      <c r="E58" s="29">
        <f t="shared" si="33"/>
        <v>44203</v>
      </c>
      <c r="F58" s="30">
        <f t="shared" si="34"/>
        <v>44205</v>
      </c>
      <c r="G58" s="30">
        <f t="shared" si="35"/>
        <v>44207</v>
      </c>
      <c r="H58" s="30">
        <f t="shared" si="36"/>
        <v>44209</v>
      </c>
      <c r="I58" s="30">
        <f t="shared" si="37"/>
        <v>44212</v>
      </c>
      <c r="J58" s="30">
        <f t="shared" si="38"/>
        <v>44217</v>
      </c>
      <c r="K58" s="30">
        <f t="shared" si="39"/>
        <v>44227</v>
      </c>
      <c r="L58" s="30">
        <f t="shared" si="40"/>
        <v>44237</v>
      </c>
      <c r="M58" s="31"/>
      <c r="N58" s="31"/>
      <c r="O58" s="24"/>
      <c r="P58" s="24"/>
      <c r="Q58" s="24"/>
      <c r="R58" s="24"/>
      <c r="S58" s="24"/>
      <c r="T58" s="24"/>
      <c r="U58" s="24"/>
    </row>
    <row r="59" spans="1:25" ht="15.75" customHeight="1">
      <c r="A59" s="65" t="s">
        <v>67</v>
      </c>
      <c r="B59" s="115"/>
      <c r="C59" s="27" t="s">
        <v>70</v>
      </c>
      <c r="D59" s="67">
        <v>44203</v>
      </c>
      <c r="E59" s="29">
        <f t="shared" si="33"/>
        <v>44204</v>
      </c>
      <c r="F59" s="30">
        <f t="shared" si="34"/>
        <v>44206</v>
      </c>
      <c r="G59" s="30">
        <f t="shared" si="35"/>
        <v>44208</v>
      </c>
      <c r="H59" s="30">
        <f t="shared" si="36"/>
        <v>44210</v>
      </c>
      <c r="I59" s="30">
        <f t="shared" si="37"/>
        <v>44213</v>
      </c>
      <c r="J59" s="30">
        <f t="shared" si="38"/>
        <v>44218</v>
      </c>
      <c r="K59" s="30">
        <f t="shared" si="39"/>
        <v>44228</v>
      </c>
      <c r="L59" s="30">
        <f t="shared" si="40"/>
        <v>44238</v>
      </c>
      <c r="M59" s="31"/>
      <c r="N59" s="31"/>
      <c r="O59" s="24"/>
      <c r="P59" s="24"/>
      <c r="Q59" s="24"/>
      <c r="R59" s="24"/>
      <c r="S59" s="24"/>
      <c r="T59" s="24"/>
      <c r="U59" s="24"/>
    </row>
    <row r="60" spans="1:25" ht="15.75" customHeight="1">
      <c r="A60" s="65" t="s">
        <v>67</v>
      </c>
      <c r="B60" s="115"/>
      <c r="C60" s="27" t="s">
        <v>71</v>
      </c>
      <c r="D60" s="68">
        <v>44208</v>
      </c>
      <c r="E60" s="29">
        <f t="shared" si="33"/>
        <v>44209</v>
      </c>
      <c r="F60" s="30">
        <f t="shared" si="34"/>
        <v>44211</v>
      </c>
      <c r="G60" s="30">
        <f t="shared" si="35"/>
        <v>44213</v>
      </c>
      <c r="H60" s="30">
        <f t="shared" si="36"/>
        <v>44215</v>
      </c>
      <c r="I60" s="30">
        <f t="shared" si="37"/>
        <v>44218</v>
      </c>
      <c r="J60" s="30">
        <f t="shared" si="38"/>
        <v>44223</v>
      </c>
      <c r="K60" s="30">
        <f t="shared" si="39"/>
        <v>44233</v>
      </c>
      <c r="L60" s="30"/>
      <c r="M60" s="31"/>
      <c r="N60" s="31"/>
      <c r="O60" s="24"/>
      <c r="P60" s="24"/>
      <c r="Q60" s="24"/>
      <c r="R60" s="24"/>
      <c r="S60" s="24"/>
      <c r="T60" s="24"/>
      <c r="U60" s="24"/>
    </row>
    <row r="61" spans="1:25" ht="15.75" customHeight="1">
      <c r="A61" s="65" t="s">
        <v>67</v>
      </c>
      <c r="B61" s="115"/>
      <c r="C61" s="27" t="s">
        <v>72</v>
      </c>
      <c r="D61" s="68">
        <v>44208</v>
      </c>
      <c r="E61" s="29">
        <f t="shared" si="33"/>
        <v>44209</v>
      </c>
      <c r="F61" s="30">
        <f t="shared" si="34"/>
        <v>44211</v>
      </c>
      <c r="G61" s="30">
        <f t="shared" si="35"/>
        <v>44213</v>
      </c>
      <c r="H61" s="30">
        <f t="shared" si="36"/>
        <v>44215</v>
      </c>
      <c r="I61" s="30">
        <f t="shared" si="37"/>
        <v>44218</v>
      </c>
      <c r="J61" s="30">
        <f t="shared" si="38"/>
        <v>44223</v>
      </c>
      <c r="K61" s="30">
        <f t="shared" si="39"/>
        <v>44233</v>
      </c>
      <c r="L61" s="30"/>
      <c r="M61" s="31"/>
      <c r="N61" s="31"/>
      <c r="O61" s="24"/>
      <c r="P61" s="24"/>
      <c r="Q61" s="24"/>
      <c r="R61" s="24"/>
      <c r="S61" s="24"/>
      <c r="T61" s="24"/>
      <c r="U61" s="24"/>
      <c r="V61" s="39"/>
      <c r="W61" s="39"/>
      <c r="X61" s="39"/>
      <c r="Y61" s="39"/>
    </row>
    <row r="62" spans="1:25" ht="15.75" customHeight="1">
      <c r="A62" s="65" t="s">
        <v>67</v>
      </c>
      <c r="B62" s="115"/>
      <c r="C62" s="27" t="s">
        <v>73</v>
      </c>
      <c r="D62" s="68">
        <v>44209</v>
      </c>
      <c r="E62" s="29">
        <f t="shared" si="33"/>
        <v>44210</v>
      </c>
      <c r="F62" s="30">
        <f t="shared" si="34"/>
        <v>44212</v>
      </c>
      <c r="G62" s="30">
        <f t="shared" si="35"/>
        <v>44214</v>
      </c>
      <c r="H62" s="30">
        <f t="shared" si="36"/>
        <v>44216</v>
      </c>
      <c r="I62" s="30">
        <f t="shared" si="37"/>
        <v>44219</v>
      </c>
      <c r="J62" s="30">
        <f t="shared" si="38"/>
        <v>44224</v>
      </c>
      <c r="K62" s="30">
        <f t="shared" si="39"/>
        <v>44234</v>
      </c>
      <c r="L62" s="30"/>
      <c r="M62" s="31"/>
      <c r="N62" s="31"/>
      <c r="O62" s="24"/>
      <c r="P62" s="24"/>
      <c r="Q62" s="24"/>
      <c r="R62" s="24"/>
      <c r="S62" s="24"/>
      <c r="T62" s="24"/>
      <c r="U62" s="24"/>
      <c r="V62" s="39"/>
      <c r="W62" s="39"/>
      <c r="X62" s="39"/>
      <c r="Y62" s="39"/>
    </row>
    <row r="63" spans="1:25" ht="15.75" customHeight="1">
      <c r="A63" s="65" t="s">
        <v>67</v>
      </c>
      <c r="B63" s="115"/>
      <c r="C63" s="27" t="s">
        <v>74</v>
      </c>
      <c r="D63" s="68">
        <v>44210</v>
      </c>
      <c r="E63" s="29">
        <f t="shared" si="33"/>
        <v>44211</v>
      </c>
      <c r="F63" s="30">
        <f t="shared" si="34"/>
        <v>44213</v>
      </c>
      <c r="G63" s="30">
        <f t="shared" si="35"/>
        <v>44215</v>
      </c>
      <c r="H63" s="30">
        <f t="shared" si="36"/>
        <v>44217</v>
      </c>
      <c r="I63" s="30">
        <f t="shared" si="37"/>
        <v>44220</v>
      </c>
      <c r="J63" s="30">
        <f t="shared" si="38"/>
        <v>44225</v>
      </c>
      <c r="K63" s="30">
        <f t="shared" si="39"/>
        <v>44235</v>
      </c>
      <c r="L63" s="30"/>
      <c r="M63" s="31"/>
      <c r="N63" s="31"/>
      <c r="O63" s="24"/>
      <c r="P63" s="24"/>
      <c r="Q63" s="24"/>
      <c r="R63" s="24"/>
      <c r="S63" s="24"/>
      <c r="T63" s="24"/>
      <c r="U63" s="24"/>
    </row>
    <row r="64" spans="1:25" ht="15.75" customHeight="1">
      <c r="A64" s="65" t="s">
        <v>67</v>
      </c>
      <c r="B64" s="115"/>
      <c r="C64" s="27" t="s">
        <v>75</v>
      </c>
      <c r="D64" s="68">
        <v>44215</v>
      </c>
      <c r="E64" s="29">
        <f t="shared" si="33"/>
        <v>44216</v>
      </c>
      <c r="F64" s="30">
        <f t="shared" si="34"/>
        <v>44218</v>
      </c>
      <c r="G64" s="30">
        <f t="shared" si="35"/>
        <v>44220</v>
      </c>
      <c r="H64" s="30">
        <f t="shared" si="36"/>
        <v>44222</v>
      </c>
      <c r="I64" s="30">
        <f t="shared" si="37"/>
        <v>44225</v>
      </c>
      <c r="J64" s="30">
        <f t="shared" si="38"/>
        <v>44230</v>
      </c>
      <c r="K64" s="30">
        <f t="shared" si="39"/>
        <v>44240</v>
      </c>
      <c r="L64" s="30"/>
      <c r="M64" s="31"/>
      <c r="N64" s="31"/>
      <c r="O64" s="24"/>
      <c r="P64" s="24"/>
      <c r="Q64" s="24"/>
      <c r="R64" s="24"/>
      <c r="S64" s="24"/>
      <c r="T64" s="24"/>
      <c r="U64" s="24"/>
      <c r="V64" s="39"/>
      <c r="W64" s="39"/>
      <c r="X64" s="39"/>
      <c r="Y64" s="39"/>
    </row>
    <row r="65" spans="1:25" ht="15.75" customHeight="1">
      <c r="A65" s="65" t="s">
        <v>67</v>
      </c>
      <c r="B65" s="115"/>
      <c r="C65" s="27" t="s">
        <v>76</v>
      </c>
      <c r="D65" s="68">
        <v>44217</v>
      </c>
      <c r="E65" s="29">
        <f t="shared" si="33"/>
        <v>44218</v>
      </c>
      <c r="F65" s="30">
        <f t="shared" si="34"/>
        <v>44220</v>
      </c>
      <c r="G65" s="30">
        <f t="shared" si="35"/>
        <v>44222</v>
      </c>
      <c r="H65" s="30">
        <f t="shared" si="36"/>
        <v>44224</v>
      </c>
      <c r="I65" s="30">
        <f t="shared" si="37"/>
        <v>44227</v>
      </c>
      <c r="J65" s="30">
        <f t="shared" si="38"/>
        <v>44232</v>
      </c>
      <c r="K65" s="30"/>
      <c r="L65" s="30"/>
      <c r="M65" s="31"/>
      <c r="N65" s="31"/>
      <c r="O65" s="24"/>
      <c r="P65" s="24"/>
      <c r="Q65" s="24"/>
      <c r="R65" s="24"/>
      <c r="S65" s="24"/>
      <c r="T65" s="24"/>
      <c r="U65" s="24"/>
      <c r="V65" s="39"/>
      <c r="W65" s="39"/>
      <c r="X65" s="39"/>
      <c r="Y65" s="39"/>
    </row>
    <row r="66" spans="1:25" ht="15.75" customHeight="1">
      <c r="A66" s="65" t="s">
        <v>67</v>
      </c>
      <c r="B66" s="115"/>
      <c r="C66" s="27" t="s">
        <v>77</v>
      </c>
      <c r="D66" s="68">
        <v>44222</v>
      </c>
      <c r="E66" s="29">
        <f t="shared" si="33"/>
        <v>44223</v>
      </c>
      <c r="F66" s="30">
        <f t="shared" si="34"/>
        <v>44225</v>
      </c>
      <c r="G66" s="30">
        <f t="shared" si="35"/>
        <v>44227</v>
      </c>
      <c r="H66" s="30">
        <f t="shared" si="36"/>
        <v>44229</v>
      </c>
      <c r="I66" s="30">
        <f t="shared" si="37"/>
        <v>44232</v>
      </c>
      <c r="J66" s="30">
        <f t="shared" si="38"/>
        <v>44237</v>
      </c>
      <c r="K66" s="30"/>
      <c r="L66" s="30"/>
      <c r="M66" s="31"/>
      <c r="N66" s="31"/>
      <c r="O66" s="24"/>
      <c r="P66" s="24"/>
      <c r="Q66" s="24"/>
      <c r="R66" s="24"/>
      <c r="S66" s="24"/>
      <c r="T66" s="24"/>
      <c r="U66" s="24"/>
      <c r="V66" s="39"/>
      <c r="W66" s="39"/>
      <c r="X66" s="39"/>
      <c r="Y66" s="39"/>
    </row>
    <row r="67" spans="1:25" ht="15.75" customHeight="1">
      <c r="A67" s="65" t="s">
        <v>67</v>
      </c>
      <c r="B67" s="115"/>
      <c r="C67" s="27" t="s">
        <v>78</v>
      </c>
      <c r="D67" s="68">
        <v>44223</v>
      </c>
      <c r="E67" s="29">
        <f t="shared" si="33"/>
        <v>44224</v>
      </c>
      <c r="F67" s="30">
        <f t="shared" si="34"/>
        <v>44226</v>
      </c>
      <c r="G67" s="30">
        <f t="shared" si="35"/>
        <v>44228</v>
      </c>
      <c r="H67" s="30">
        <f t="shared" si="36"/>
        <v>44230</v>
      </c>
      <c r="I67" s="30">
        <f t="shared" si="37"/>
        <v>44233</v>
      </c>
      <c r="J67" s="30">
        <f t="shared" si="38"/>
        <v>44238</v>
      </c>
      <c r="K67" s="30"/>
      <c r="L67" s="30"/>
      <c r="M67" s="31"/>
      <c r="N67" s="31"/>
      <c r="O67" s="24"/>
      <c r="P67" s="24"/>
      <c r="Q67" s="24"/>
      <c r="R67" s="24"/>
      <c r="S67" s="24"/>
      <c r="T67" s="24"/>
      <c r="U67" s="24"/>
    </row>
    <row r="68" spans="1:25" ht="15.75" customHeight="1">
      <c r="A68" s="65" t="s">
        <v>67</v>
      </c>
      <c r="B68" s="115"/>
      <c r="C68" s="27" t="s">
        <v>79</v>
      </c>
      <c r="D68" s="68">
        <v>44224</v>
      </c>
      <c r="E68" s="29">
        <f t="shared" si="33"/>
        <v>44225</v>
      </c>
      <c r="F68" s="30">
        <f t="shared" si="34"/>
        <v>44227</v>
      </c>
      <c r="G68" s="30">
        <f t="shared" si="35"/>
        <v>44229</v>
      </c>
      <c r="H68" s="30">
        <f t="shared" si="36"/>
        <v>44231</v>
      </c>
      <c r="I68" s="30">
        <f t="shared" si="37"/>
        <v>44234</v>
      </c>
      <c r="J68" s="30">
        <f t="shared" si="38"/>
        <v>44239</v>
      </c>
      <c r="K68" s="30"/>
      <c r="L68" s="30"/>
      <c r="M68" s="31"/>
      <c r="N68" s="31"/>
      <c r="O68" s="24"/>
      <c r="P68" s="24"/>
      <c r="Q68" s="24"/>
      <c r="R68" s="24"/>
      <c r="S68" s="24"/>
      <c r="T68" s="24"/>
      <c r="U68" s="24"/>
    </row>
    <row r="69" spans="1:25" ht="15.75" customHeight="1">
      <c r="A69" s="65" t="s">
        <v>67</v>
      </c>
      <c r="B69" s="115"/>
      <c r="C69" s="27" t="s">
        <v>80</v>
      </c>
      <c r="D69" s="68">
        <v>44229</v>
      </c>
      <c r="E69" s="29">
        <f t="shared" si="33"/>
        <v>44230</v>
      </c>
      <c r="F69" s="30">
        <f t="shared" si="34"/>
        <v>44232</v>
      </c>
      <c r="G69" s="30">
        <f t="shared" si="35"/>
        <v>44234</v>
      </c>
      <c r="H69" s="30">
        <f t="shared" si="36"/>
        <v>44236</v>
      </c>
      <c r="I69" s="30">
        <f t="shared" si="37"/>
        <v>44239</v>
      </c>
      <c r="J69" s="30"/>
      <c r="K69" s="30"/>
      <c r="L69" s="30"/>
      <c r="M69" s="31"/>
      <c r="N69" s="31"/>
      <c r="O69" s="24"/>
      <c r="P69" s="24"/>
      <c r="Q69" s="24"/>
      <c r="R69" s="24"/>
      <c r="S69" s="24"/>
      <c r="T69" s="24"/>
      <c r="U69" s="24"/>
    </row>
    <row r="70" spans="1:25" ht="15.75" customHeight="1">
      <c r="A70" s="65" t="s">
        <v>67</v>
      </c>
      <c r="B70" s="115"/>
      <c r="C70" s="27" t="s">
        <v>81</v>
      </c>
      <c r="D70" s="68">
        <v>44230</v>
      </c>
      <c r="E70" s="29">
        <f t="shared" si="33"/>
        <v>44231</v>
      </c>
      <c r="F70" s="30">
        <f t="shared" si="34"/>
        <v>44233</v>
      </c>
      <c r="G70" s="30">
        <f t="shared" si="35"/>
        <v>44235</v>
      </c>
      <c r="H70" s="30">
        <f t="shared" si="36"/>
        <v>44237</v>
      </c>
      <c r="I70" s="30">
        <f t="shared" si="37"/>
        <v>44240</v>
      </c>
      <c r="J70" s="30"/>
      <c r="K70" s="30"/>
      <c r="L70" s="30"/>
      <c r="M70" s="31"/>
      <c r="N70" s="31"/>
      <c r="O70" s="24"/>
      <c r="P70" s="24"/>
      <c r="Q70" s="24"/>
      <c r="R70" s="24"/>
      <c r="S70" s="24"/>
      <c r="T70" s="24"/>
      <c r="U70" s="24"/>
    </row>
    <row r="71" spans="1:25" ht="15.75" customHeight="1">
      <c r="A71" s="65" t="s">
        <v>67</v>
      </c>
      <c r="B71" s="115"/>
      <c r="C71" s="27"/>
      <c r="D71" s="69"/>
      <c r="E71" s="29"/>
      <c r="F71" s="29"/>
      <c r="G71" s="30"/>
      <c r="H71" s="31"/>
      <c r="I71" s="31"/>
      <c r="J71" s="31"/>
      <c r="K71" s="31"/>
      <c r="L71" s="31"/>
      <c r="M71" s="31"/>
      <c r="N71" s="31"/>
      <c r="O71" s="24"/>
      <c r="P71" s="24"/>
      <c r="Q71" s="24"/>
      <c r="R71" s="24"/>
      <c r="S71" s="24"/>
      <c r="T71" s="24"/>
      <c r="U71" s="24"/>
    </row>
    <row r="72" spans="1:25" ht="15.75" customHeight="1">
      <c r="A72" s="65" t="s">
        <v>67</v>
      </c>
      <c r="B72" s="115"/>
      <c r="C72" s="27"/>
      <c r="D72" s="50"/>
      <c r="E72" s="29"/>
      <c r="F72" s="29"/>
      <c r="G72" s="30"/>
      <c r="H72" s="30"/>
      <c r="I72" s="30"/>
      <c r="J72" s="31"/>
      <c r="K72" s="31"/>
      <c r="L72" s="31"/>
      <c r="M72" s="31"/>
      <c r="N72" s="31"/>
      <c r="O72" s="24"/>
      <c r="P72" s="24"/>
      <c r="Q72" s="24"/>
      <c r="R72" s="24"/>
      <c r="S72" s="24"/>
      <c r="T72" s="24"/>
      <c r="U72" s="24"/>
    </row>
    <row r="73" spans="1:25" ht="15.75" customHeight="1">
      <c r="A73" s="65" t="s">
        <v>67</v>
      </c>
      <c r="B73" s="115"/>
      <c r="C73" s="27"/>
      <c r="D73" s="50"/>
      <c r="E73" s="29"/>
      <c r="F73" s="29"/>
      <c r="G73" s="30"/>
      <c r="H73" s="31"/>
      <c r="I73" s="31"/>
      <c r="J73" s="31"/>
      <c r="K73" s="31"/>
      <c r="L73" s="31"/>
      <c r="M73" s="31"/>
      <c r="N73" s="31"/>
      <c r="O73" s="24"/>
      <c r="P73" s="24"/>
      <c r="Q73" s="24"/>
      <c r="R73" s="24"/>
      <c r="S73" s="24"/>
      <c r="T73" s="24"/>
      <c r="U73" s="24"/>
    </row>
    <row r="74" spans="1:25" ht="15.75" customHeight="1">
      <c r="A74" s="65" t="s">
        <v>67</v>
      </c>
      <c r="B74" s="115"/>
      <c r="C74" s="27"/>
      <c r="D74" s="50"/>
      <c r="E74" s="29"/>
      <c r="F74" s="30"/>
      <c r="G74" s="30"/>
      <c r="H74" s="31"/>
      <c r="I74" s="31"/>
      <c r="J74" s="31"/>
      <c r="K74" s="31"/>
      <c r="L74" s="31"/>
      <c r="M74" s="31"/>
      <c r="N74" s="31"/>
      <c r="O74" s="24"/>
      <c r="P74" s="24"/>
      <c r="Q74" s="24"/>
      <c r="R74" s="24"/>
      <c r="S74" s="24"/>
      <c r="T74" s="24"/>
      <c r="U74" s="24"/>
    </row>
    <row r="75" spans="1:25" ht="15.75" customHeight="1">
      <c r="A75" s="65" t="s">
        <v>67</v>
      </c>
      <c r="B75" s="115"/>
      <c r="C75" s="27"/>
      <c r="D75" s="50"/>
      <c r="E75" s="29"/>
      <c r="F75" s="30"/>
      <c r="G75" s="30"/>
      <c r="H75" s="31"/>
      <c r="I75" s="31"/>
      <c r="J75" s="31"/>
      <c r="K75" s="31"/>
      <c r="L75" s="31"/>
      <c r="M75" s="31"/>
      <c r="N75" s="31"/>
      <c r="O75" s="24"/>
      <c r="P75" s="24"/>
      <c r="Q75" s="24"/>
      <c r="R75" s="24"/>
      <c r="S75" s="24"/>
      <c r="T75" s="24"/>
      <c r="U75" s="24"/>
    </row>
    <row r="76" spans="1:25" ht="15.75" customHeight="1">
      <c r="A76" s="65" t="s">
        <v>67</v>
      </c>
      <c r="B76" s="115"/>
      <c r="C76" s="27"/>
      <c r="D76" s="50"/>
      <c r="E76" s="29"/>
      <c r="F76" s="30"/>
      <c r="G76" s="31"/>
      <c r="H76" s="31"/>
      <c r="I76" s="31"/>
      <c r="J76" s="31"/>
      <c r="K76" s="31"/>
      <c r="L76" s="31"/>
      <c r="M76" s="31"/>
      <c r="N76" s="31"/>
      <c r="O76" s="24"/>
      <c r="P76" s="24"/>
      <c r="Q76" s="24"/>
      <c r="R76" s="24"/>
      <c r="S76" s="24"/>
      <c r="T76" s="24"/>
      <c r="U76" s="24"/>
    </row>
    <row r="77" spans="1:25" ht="15.75" customHeight="1">
      <c r="A77" s="65" t="s">
        <v>67</v>
      </c>
      <c r="B77" s="115"/>
      <c r="C77" s="27"/>
      <c r="D77" s="50"/>
      <c r="E77" s="29"/>
      <c r="F77" s="30"/>
      <c r="G77" s="31"/>
      <c r="H77" s="31"/>
      <c r="I77" s="31"/>
      <c r="J77" s="31"/>
      <c r="K77" s="31"/>
      <c r="L77" s="31"/>
      <c r="M77" s="31"/>
      <c r="N77" s="31"/>
      <c r="O77" s="24"/>
      <c r="P77" s="24"/>
      <c r="Q77" s="24"/>
      <c r="R77" s="24"/>
      <c r="S77" s="24"/>
      <c r="T77" s="24"/>
      <c r="U77" s="24"/>
    </row>
    <row r="78" spans="1:25" ht="15.75" customHeight="1">
      <c r="A78" s="65" t="s">
        <v>67</v>
      </c>
      <c r="B78" s="115"/>
      <c r="C78" s="27"/>
      <c r="D78" s="50"/>
      <c r="E78" s="29"/>
      <c r="F78" s="30"/>
      <c r="G78" s="31"/>
      <c r="H78" s="31"/>
      <c r="I78" s="31"/>
      <c r="J78" s="31"/>
      <c r="K78" s="31"/>
      <c r="L78" s="31"/>
      <c r="M78" s="31"/>
      <c r="N78" s="31"/>
      <c r="O78" s="24"/>
      <c r="P78" s="24"/>
      <c r="Q78" s="24"/>
      <c r="R78" s="24"/>
      <c r="S78" s="24"/>
      <c r="T78" s="24"/>
      <c r="U78" s="24"/>
    </row>
    <row r="79" spans="1:25" ht="15.75" customHeight="1">
      <c r="A79" s="65" t="s">
        <v>67</v>
      </c>
      <c r="B79" s="115"/>
      <c r="C79" s="27"/>
      <c r="D79" s="69"/>
      <c r="E79" s="29"/>
      <c r="F79" s="30"/>
      <c r="G79" s="30"/>
      <c r="H79" s="31"/>
      <c r="I79" s="31"/>
      <c r="J79" s="31"/>
      <c r="K79" s="31"/>
      <c r="L79" s="31"/>
      <c r="M79" s="31"/>
      <c r="N79" s="31"/>
      <c r="O79" s="24"/>
      <c r="P79" s="24"/>
      <c r="Q79" s="24"/>
      <c r="R79" s="24"/>
      <c r="S79" s="24"/>
      <c r="T79" s="24"/>
      <c r="U79" s="24"/>
    </row>
    <row r="80" spans="1:25" ht="15.75" customHeight="1">
      <c r="A80" s="65" t="s">
        <v>67</v>
      </c>
      <c r="B80" s="116"/>
      <c r="C80" s="27"/>
      <c r="D80" s="69"/>
      <c r="E80" s="29"/>
      <c r="F80" s="30"/>
      <c r="G80" s="31"/>
      <c r="H80" s="31"/>
      <c r="I80" s="31"/>
      <c r="J80" s="31"/>
      <c r="K80" s="31"/>
      <c r="L80" s="31"/>
      <c r="M80" s="31"/>
      <c r="N80" s="31"/>
      <c r="O80" s="24"/>
      <c r="P80" s="24"/>
      <c r="Q80" s="24"/>
      <c r="R80" s="24"/>
      <c r="S80" s="24"/>
      <c r="T80" s="24"/>
      <c r="U80" s="24"/>
    </row>
    <row r="81" spans="1:21" ht="15.75" customHeight="1">
      <c r="A81" s="65" t="s">
        <v>82</v>
      </c>
      <c r="B81" s="114"/>
      <c r="C81" s="27" t="s">
        <v>83</v>
      </c>
      <c r="D81" s="70">
        <v>44206</v>
      </c>
      <c r="E81" s="29">
        <f t="shared" ref="E81:E85" si="41">D81+1</f>
        <v>44207</v>
      </c>
      <c r="F81" s="30">
        <f t="shared" ref="F81:F85" si="42">D81+3</f>
        <v>44209</v>
      </c>
      <c r="G81" s="30">
        <f t="shared" ref="G81:G85" si="43">D81+5</f>
        <v>44211</v>
      </c>
      <c r="H81" s="30">
        <f t="shared" ref="H81:H85" si="44">D81+7</f>
        <v>44213</v>
      </c>
      <c r="I81" s="30">
        <f t="shared" ref="I81:I85" si="45">D81+10</f>
        <v>44216</v>
      </c>
      <c r="J81" s="30">
        <f t="shared" ref="J81:J85" si="46">D81+15</f>
        <v>44221</v>
      </c>
      <c r="K81" s="30">
        <f t="shared" ref="K81:K85" si="47">D81+25</f>
        <v>44231</v>
      </c>
      <c r="L81" s="30"/>
      <c r="M81" s="27"/>
      <c r="N81" s="27"/>
      <c r="O81" s="24"/>
      <c r="P81" s="24"/>
      <c r="Q81" s="24"/>
      <c r="R81" s="24"/>
      <c r="S81" s="24"/>
      <c r="T81" s="24"/>
      <c r="U81" s="24"/>
    </row>
    <row r="82" spans="1:21" ht="15.75" customHeight="1">
      <c r="A82" s="65" t="s">
        <v>82</v>
      </c>
      <c r="B82" s="115"/>
      <c r="C82" s="27" t="s">
        <v>84</v>
      </c>
      <c r="D82" s="70">
        <v>44207</v>
      </c>
      <c r="E82" s="29">
        <f t="shared" si="41"/>
        <v>44208</v>
      </c>
      <c r="F82" s="30">
        <f t="shared" si="42"/>
        <v>44210</v>
      </c>
      <c r="G82" s="30">
        <f t="shared" si="43"/>
        <v>44212</v>
      </c>
      <c r="H82" s="30">
        <f t="shared" si="44"/>
        <v>44214</v>
      </c>
      <c r="I82" s="30">
        <f t="shared" si="45"/>
        <v>44217</v>
      </c>
      <c r="J82" s="30">
        <f t="shared" si="46"/>
        <v>44222</v>
      </c>
      <c r="K82" s="30">
        <f t="shared" si="47"/>
        <v>44232</v>
      </c>
      <c r="L82" s="30"/>
      <c r="M82" s="27"/>
      <c r="N82" s="27"/>
      <c r="O82" s="24"/>
      <c r="P82" s="24"/>
      <c r="Q82" s="24"/>
      <c r="R82" s="24"/>
      <c r="S82" s="24"/>
      <c r="T82" s="24"/>
      <c r="U82" s="24"/>
    </row>
    <row r="83" spans="1:21" ht="15.75" customHeight="1">
      <c r="A83" s="65" t="s">
        <v>82</v>
      </c>
      <c r="B83" s="115"/>
      <c r="C83" s="27" t="s">
        <v>85</v>
      </c>
      <c r="D83" s="70">
        <v>44213</v>
      </c>
      <c r="E83" s="29">
        <f t="shared" si="41"/>
        <v>44214</v>
      </c>
      <c r="F83" s="30">
        <f t="shared" si="42"/>
        <v>44216</v>
      </c>
      <c r="G83" s="30">
        <f t="shared" si="43"/>
        <v>44218</v>
      </c>
      <c r="H83" s="30">
        <f t="shared" si="44"/>
        <v>44220</v>
      </c>
      <c r="I83" s="30">
        <f t="shared" si="45"/>
        <v>44223</v>
      </c>
      <c r="J83" s="30">
        <f t="shared" si="46"/>
        <v>44228</v>
      </c>
      <c r="K83" s="30">
        <f t="shared" si="47"/>
        <v>44238</v>
      </c>
      <c r="L83" s="30"/>
      <c r="M83" s="27"/>
      <c r="N83" s="27"/>
      <c r="O83" s="24"/>
      <c r="P83" s="24"/>
      <c r="Q83" s="24"/>
      <c r="R83" s="24"/>
      <c r="S83" s="24"/>
      <c r="T83" s="24"/>
      <c r="U83" s="24"/>
    </row>
    <row r="84" spans="1:21" ht="15.75" customHeight="1">
      <c r="A84" s="65" t="s">
        <v>82</v>
      </c>
      <c r="B84" s="115"/>
      <c r="C84" s="27" t="s">
        <v>86</v>
      </c>
      <c r="D84" s="70">
        <v>44214</v>
      </c>
      <c r="E84" s="29">
        <f t="shared" si="41"/>
        <v>44215</v>
      </c>
      <c r="F84" s="30">
        <f t="shared" si="42"/>
        <v>44217</v>
      </c>
      <c r="G84" s="30">
        <f t="shared" si="43"/>
        <v>44219</v>
      </c>
      <c r="H84" s="30">
        <f t="shared" si="44"/>
        <v>44221</v>
      </c>
      <c r="I84" s="30">
        <f t="shared" si="45"/>
        <v>44224</v>
      </c>
      <c r="J84" s="30">
        <f t="shared" si="46"/>
        <v>44229</v>
      </c>
      <c r="K84" s="30">
        <f t="shared" si="47"/>
        <v>44239</v>
      </c>
      <c r="L84" s="30"/>
      <c r="M84" s="27"/>
      <c r="N84" s="27"/>
      <c r="O84" s="24"/>
      <c r="P84" s="24"/>
      <c r="Q84" s="24"/>
      <c r="R84" s="24"/>
      <c r="S84" s="24"/>
      <c r="T84" s="24"/>
      <c r="U84" s="24"/>
    </row>
    <row r="85" spans="1:21" ht="15.75" customHeight="1">
      <c r="A85" s="65" t="s">
        <v>82</v>
      </c>
      <c r="B85" s="115"/>
      <c r="C85" s="27" t="s">
        <v>87</v>
      </c>
      <c r="D85" s="71">
        <v>44214</v>
      </c>
      <c r="E85" s="29">
        <f t="shared" si="41"/>
        <v>44215</v>
      </c>
      <c r="F85" s="30">
        <f t="shared" si="42"/>
        <v>44217</v>
      </c>
      <c r="G85" s="30">
        <f t="shared" si="43"/>
        <v>44219</v>
      </c>
      <c r="H85" s="30">
        <f t="shared" si="44"/>
        <v>44221</v>
      </c>
      <c r="I85" s="30">
        <f t="shared" si="45"/>
        <v>44224</v>
      </c>
      <c r="J85" s="30">
        <f t="shared" si="46"/>
        <v>44229</v>
      </c>
      <c r="K85" s="30">
        <f t="shared" si="47"/>
        <v>44239</v>
      </c>
      <c r="L85" s="30"/>
      <c r="M85" s="27"/>
      <c r="N85" s="27"/>
      <c r="O85" s="24"/>
      <c r="P85" s="24"/>
      <c r="Q85" s="24"/>
      <c r="R85" s="24"/>
      <c r="S85" s="24"/>
      <c r="T85" s="24"/>
      <c r="U85" s="24"/>
    </row>
    <row r="86" spans="1:21" ht="15.75" customHeight="1">
      <c r="A86" s="65" t="s">
        <v>82</v>
      </c>
      <c r="B86" s="115"/>
      <c r="C86" s="72"/>
      <c r="D86" s="72"/>
      <c r="E86" s="73"/>
      <c r="F86" s="72"/>
      <c r="G86" s="72"/>
      <c r="H86" s="72"/>
      <c r="I86" s="72"/>
      <c r="J86" s="72"/>
      <c r="K86" s="72"/>
      <c r="L86" s="72"/>
      <c r="M86" s="74"/>
      <c r="N86" s="72"/>
      <c r="O86" s="24"/>
      <c r="P86" s="24"/>
      <c r="Q86" s="24"/>
      <c r="R86" s="24"/>
      <c r="S86" s="24"/>
      <c r="T86" s="24"/>
      <c r="U86" s="24"/>
    </row>
    <row r="87" spans="1:21" ht="15.75" customHeight="1">
      <c r="A87" s="65" t="s">
        <v>82</v>
      </c>
      <c r="B87" s="115"/>
      <c r="C87" s="75"/>
      <c r="D87" s="69"/>
      <c r="E87" s="69"/>
      <c r="F87" s="75"/>
      <c r="G87" s="75"/>
      <c r="H87" s="75"/>
      <c r="I87" s="75"/>
      <c r="J87" s="75"/>
      <c r="K87" s="75"/>
      <c r="L87" s="75"/>
      <c r="M87" s="75"/>
      <c r="N87" s="75"/>
      <c r="O87" s="24"/>
      <c r="P87" s="24"/>
      <c r="Q87" s="24"/>
      <c r="R87" s="24"/>
      <c r="S87" s="24"/>
      <c r="T87" s="24"/>
      <c r="U87" s="24"/>
    </row>
    <row r="88" spans="1:21" ht="15.75" customHeight="1">
      <c r="A88" s="65" t="s">
        <v>82</v>
      </c>
      <c r="B88" s="115"/>
      <c r="C88" s="75"/>
      <c r="D88" s="69"/>
      <c r="E88" s="27"/>
      <c r="F88" s="75"/>
      <c r="G88" s="75"/>
      <c r="H88" s="75"/>
      <c r="I88" s="75"/>
      <c r="J88" s="75"/>
      <c r="K88" s="75"/>
      <c r="L88" s="75"/>
      <c r="M88" s="75"/>
      <c r="N88" s="75"/>
      <c r="O88" s="24"/>
      <c r="P88" s="24"/>
      <c r="Q88" s="24"/>
      <c r="R88" s="24"/>
      <c r="S88" s="24"/>
      <c r="T88" s="24"/>
      <c r="U88" s="24"/>
    </row>
    <row r="89" spans="1:21" ht="15.75" customHeight="1">
      <c r="A89" s="65" t="s">
        <v>82</v>
      </c>
      <c r="B89" s="115"/>
      <c r="C89" s="75"/>
      <c r="D89" s="69"/>
      <c r="E89" s="27"/>
      <c r="F89" s="75"/>
      <c r="G89" s="75"/>
      <c r="H89" s="75"/>
      <c r="I89" s="75"/>
      <c r="J89" s="75"/>
      <c r="K89" s="75"/>
      <c r="L89" s="75"/>
      <c r="M89" s="75"/>
      <c r="N89" s="75"/>
      <c r="O89" s="24"/>
      <c r="P89" s="24"/>
      <c r="Q89" s="24"/>
      <c r="R89" s="24"/>
      <c r="S89" s="24"/>
      <c r="T89" s="24"/>
      <c r="U89" s="24"/>
    </row>
    <row r="90" spans="1:21" ht="15.75" customHeight="1">
      <c r="A90" s="65" t="s">
        <v>82</v>
      </c>
      <c r="B90" s="115"/>
      <c r="C90" s="75"/>
      <c r="D90" s="69"/>
      <c r="E90" s="27"/>
      <c r="F90" s="75"/>
      <c r="G90" s="75"/>
      <c r="H90" s="75"/>
      <c r="I90" s="75"/>
      <c r="J90" s="75"/>
      <c r="K90" s="75"/>
      <c r="L90" s="75"/>
      <c r="M90" s="75"/>
      <c r="N90" s="75"/>
      <c r="O90" s="24"/>
      <c r="P90" s="24"/>
      <c r="Q90" s="24"/>
      <c r="R90" s="24"/>
      <c r="S90" s="24"/>
      <c r="T90" s="24"/>
      <c r="U90" s="24"/>
    </row>
    <row r="91" spans="1:21" ht="15.75" customHeight="1">
      <c r="A91" s="65" t="s">
        <v>82</v>
      </c>
      <c r="B91" s="115"/>
      <c r="C91" s="75"/>
      <c r="D91" s="69"/>
      <c r="E91" s="27"/>
      <c r="F91" s="75"/>
      <c r="G91" s="75"/>
      <c r="H91" s="75"/>
      <c r="I91" s="75"/>
      <c r="J91" s="75"/>
      <c r="K91" s="75"/>
      <c r="L91" s="75"/>
      <c r="M91" s="75"/>
      <c r="N91" s="75"/>
      <c r="O91" s="24"/>
      <c r="P91" s="24"/>
      <c r="Q91" s="24"/>
      <c r="R91" s="24"/>
      <c r="S91" s="24"/>
      <c r="T91" s="24"/>
      <c r="U91" s="24"/>
    </row>
    <row r="92" spans="1:21" ht="15.75" customHeight="1">
      <c r="A92" s="65" t="s">
        <v>82</v>
      </c>
      <c r="B92" s="115"/>
      <c r="C92" s="75"/>
      <c r="D92" s="69"/>
      <c r="E92" s="27"/>
      <c r="F92" s="75"/>
      <c r="G92" s="75"/>
      <c r="H92" s="75"/>
      <c r="I92" s="75"/>
      <c r="J92" s="75"/>
      <c r="K92" s="75"/>
      <c r="L92" s="75"/>
      <c r="M92" s="75"/>
      <c r="N92" s="75"/>
      <c r="O92" s="24"/>
      <c r="P92" s="24"/>
      <c r="Q92" s="24"/>
      <c r="R92" s="24"/>
      <c r="S92" s="24"/>
      <c r="T92" s="24"/>
      <c r="U92" s="24"/>
    </row>
    <row r="93" spans="1:21" ht="15.75" customHeight="1">
      <c r="A93" s="65" t="s">
        <v>82</v>
      </c>
      <c r="B93" s="115"/>
      <c r="C93" s="75"/>
      <c r="D93" s="69"/>
      <c r="E93" s="27"/>
      <c r="F93" s="75"/>
      <c r="G93" s="75"/>
      <c r="H93" s="75"/>
      <c r="I93" s="75"/>
      <c r="J93" s="75"/>
      <c r="K93" s="75"/>
      <c r="L93" s="75"/>
      <c r="M93" s="75"/>
      <c r="N93" s="75"/>
      <c r="O93" s="24"/>
      <c r="P93" s="24"/>
      <c r="Q93" s="24"/>
      <c r="R93" s="24"/>
      <c r="S93" s="24"/>
      <c r="T93" s="24"/>
      <c r="U93" s="24"/>
    </row>
    <row r="94" spans="1:21" ht="15.75" customHeight="1">
      <c r="A94" s="65" t="s">
        <v>82</v>
      </c>
      <c r="B94" s="115"/>
      <c r="C94" s="75"/>
      <c r="D94" s="69"/>
      <c r="E94" s="27"/>
      <c r="F94" s="75"/>
      <c r="G94" s="75"/>
      <c r="H94" s="75"/>
      <c r="I94" s="75"/>
      <c r="J94" s="75"/>
      <c r="K94" s="75"/>
      <c r="L94" s="75"/>
      <c r="M94" s="75"/>
      <c r="N94" s="75"/>
      <c r="O94" s="24"/>
      <c r="P94" s="24"/>
      <c r="Q94" s="24"/>
      <c r="R94" s="24"/>
      <c r="S94" s="24"/>
      <c r="T94" s="24"/>
      <c r="U94" s="24"/>
    </row>
    <row r="95" spans="1:21" ht="15.75" customHeight="1">
      <c r="A95" s="65" t="s">
        <v>82</v>
      </c>
      <c r="B95" s="115"/>
      <c r="C95" s="75"/>
      <c r="D95" s="69"/>
      <c r="E95" s="50"/>
      <c r="F95" s="75"/>
      <c r="G95" s="75"/>
      <c r="H95" s="75"/>
      <c r="I95" s="75"/>
      <c r="J95" s="75"/>
      <c r="K95" s="75"/>
      <c r="L95" s="75"/>
      <c r="M95" s="75"/>
      <c r="N95" s="75"/>
      <c r="O95" s="24"/>
      <c r="P95" s="24"/>
      <c r="Q95" s="24"/>
      <c r="R95" s="24"/>
      <c r="S95" s="24"/>
      <c r="T95" s="24"/>
      <c r="U95" s="24"/>
    </row>
    <row r="96" spans="1:21" ht="15.75" customHeight="1">
      <c r="A96" s="65" t="s">
        <v>82</v>
      </c>
      <c r="B96" s="115"/>
      <c r="C96" s="75"/>
      <c r="D96" s="69"/>
      <c r="E96" s="50"/>
      <c r="F96" s="75"/>
      <c r="G96" s="75"/>
      <c r="H96" s="75"/>
      <c r="I96" s="75"/>
      <c r="J96" s="75"/>
      <c r="K96" s="75"/>
      <c r="L96" s="75"/>
      <c r="M96" s="75"/>
      <c r="N96" s="75"/>
      <c r="O96" s="24"/>
      <c r="P96" s="24"/>
      <c r="Q96" s="24"/>
      <c r="R96" s="24"/>
      <c r="S96" s="24"/>
      <c r="T96" s="24"/>
      <c r="U96" s="24"/>
    </row>
    <row r="97" spans="1:21" ht="15.75" customHeight="1">
      <c r="A97" s="65" t="s">
        <v>82</v>
      </c>
      <c r="B97" s="115"/>
      <c r="C97" s="75"/>
      <c r="D97" s="69"/>
      <c r="E97" s="50"/>
      <c r="F97" s="75"/>
      <c r="G97" s="75"/>
      <c r="H97" s="75"/>
      <c r="I97" s="75"/>
      <c r="J97" s="75"/>
      <c r="K97" s="75"/>
      <c r="L97" s="75"/>
      <c r="M97" s="75"/>
      <c r="N97" s="75"/>
      <c r="O97" s="24"/>
      <c r="P97" s="24"/>
      <c r="Q97" s="24"/>
      <c r="R97" s="24"/>
      <c r="S97" s="24"/>
      <c r="T97" s="24"/>
      <c r="U97" s="24"/>
    </row>
    <row r="98" spans="1:21" ht="15.75" customHeight="1">
      <c r="A98" s="65" t="s">
        <v>82</v>
      </c>
      <c r="B98" s="115"/>
      <c r="C98" s="75"/>
      <c r="D98" s="69"/>
      <c r="E98" s="50"/>
      <c r="F98" s="75"/>
      <c r="G98" s="75"/>
      <c r="H98" s="75"/>
      <c r="I98" s="75"/>
      <c r="J98" s="75"/>
      <c r="K98" s="75"/>
      <c r="L98" s="75"/>
      <c r="M98" s="75"/>
      <c r="N98" s="75"/>
      <c r="O98" s="24"/>
      <c r="P98" s="24"/>
      <c r="Q98" s="24"/>
      <c r="R98" s="24"/>
      <c r="S98" s="24"/>
      <c r="T98" s="24"/>
      <c r="U98" s="24"/>
    </row>
    <row r="99" spans="1:21" ht="15.75" customHeight="1">
      <c r="A99" s="65" t="s">
        <v>82</v>
      </c>
      <c r="B99" s="115"/>
      <c r="C99" s="75"/>
      <c r="D99" s="69"/>
      <c r="E99" s="50"/>
      <c r="F99" s="75"/>
      <c r="G99" s="75"/>
      <c r="H99" s="75"/>
      <c r="I99" s="75"/>
      <c r="J99" s="75"/>
      <c r="K99" s="75"/>
      <c r="L99" s="75"/>
      <c r="M99" s="75"/>
      <c r="N99" s="75"/>
      <c r="O99" s="24"/>
      <c r="P99" s="24"/>
      <c r="Q99" s="24"/>
      <c r="R99" s="24"/>
      <c r="S99" s="24"/>
      <c r="T99" s="24"/>
      <c r="U99" s="24"/>
    </row>
    <row r="100" spans="1:21" ht="15.75" customHeight="1">
      <c r="A100" s="65" t="s">
        <v>82</v>
      </c>
      <c r="B100" s="115"/>
      <c r="C100" s="75"/>
      <c r="D100" s="69"/>
      <c r="E100" s="50"/>
      <c r="F100" s="75"/>
      <c r="G100" s="75"/>
      <c r="H100" s="75"/>
      <c r="I100" s="75"/>
      <c r="J100" s="75"/>
      <c r="K100" s="75"/>
      <c r="L100" s="75"/>
      <c r="M100" s="75"/>
      <c r="N100" s="75"/>
      <c r="O100" s="24"/>
      <c r="P100" s="24"/>
      <c r="Q100" s="24"/>
      <c r="R100" s="24"/>
      <c r="S100" s="24"/>
      <c r="T100" s="24"/>
      <c r="U100" s="24"/>
    </row>
    <row r="101" spans="1:21" ht="15.75" customHeight="1">
      <c r="A101" s="65" t="s">
        <v>82</v>
      </c>
      <c r="B101" s="116"/>
      <c r="C101" s="75"/>
      <c r="D101" s="69"/>
      <c r="E101" s="50"/>
      <c r="F101" s="75"/>
      <c r="G101" s="75"/>
      <c r="H101" s="75"/>
      <c r="I101" s="75"/>
      <c r="J101" s="75"/>
      <c r="K101" s="75"/>
      <c r="L101" s="75"/>
      <c r="M101" s="75"/>
      <c r="N101" s="75"/>
      <c r="O101" s="24"/>
      <c r="P101" s="24"/>
      <c r="Q101" s="24"/>
      <c r="R101" s="24"/>
      <c r="S101" s="24"/>
      <c r="T101" s="24"/>
      <c r="U101" s="24"/>
    </row>
    <row r="102" spans="1:21" ht="15.75" customHeight="1">
      <c r="A102" s="24"/>
      <c r="B102" s="24"/>
      <c r="C102" s="24"/>
      <c r="D102" s="76"/>
      <c r="E102" s="77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5.75" customHeight="1">
      <c r="A103" s="24"/>
      <c r="B103" s="24"/>
      <c r="C103" s="24"/>
      <c r="D103" s="76"/>
      <c r="E103" s="77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5.75" customHeight="1">
      <c r="A104" s="24"/>
      <c r="B104" s="24"/>
      <c r="C104" s="24"/>
      <c r="D104" s="76"/>
      <c r="E104" s="77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5.75" customHeight="1">
      <c r="A105" s="24"/>
      <c r="B105" s="24"/>
      <c r="C105" s="24"/>
      <c r="D105" s="76"/>
      <c r="E105" s="77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5.75" customHeight="1">
      <c r="A106" s="24"/>
      <c r="B106" s="24"/>
      <c r="C106" s="24"/>
      <c r="D106" s="76"/>
      <c r="E106" s="77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5.75" customHeight="1">
      <c r="A107" s="24"/>
      <c r="B107" s="24"/>
      <c r="C107" s="24"/>
      <c r="D107" s="76"/>
      <c r="E107" s="77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5.75" customHeight="1">
      <c r="A108" s="24"/>
      <c r="B108" s="24"/>
      <c r="C108" s="24"/>
      <c r="D108" s="76"/>
      <c r="E108" s="77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5.75" customHeight="1">
      <c r="A109" s="24"/>
      <c r="B109" s="24"/>
      <c r="C109" s="24"/>
      <c r="D109" s="76"/>
      <c r="E109" s="77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5.75" customHeight="1">
      <c r="A110" s="24"/>
      <c r="B110" s="24"/>
      <c r="C110" s="24"/>
      <c r="D110" s="76"/>
      <c r="E110" s="77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5.75" customHeight="1">
      <c r="A111" s="24"/>
      <c r="B111" s="24"/>
      <c r="C111" s="24"/>
      <c r="D111" s="76"/>
      <c r="E111" s="7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5.75" customHeight="1">
      <c r="A112" s="24"/>
      <c r="B112" s="24"/>
      <c r="C112" s="24"/>
      <c r="D112" s="76"/>
      <c r="E112" s="77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5.75" customHeight="1">
      <c r="A113" s="24"/>
      <c r="B113" s="24"/>
      <c r="C113" s="24"/>
      <c r="D113" s="76"/>
      <c r="E113" s="77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5.75" customHeight="1">
      <c r="A114" s="24"/>
      <c r="B114" s="24"/>
      <c r="C114" s="24"/>
      <c r="D114" s="76"/>
      <c r="E114" s="77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5.75" customHeight="1">
      <c r="A115" s="24"/>
      <c r="B115" s="24"/>
      <c r="C115" s="24"/>
      <c r="D115" s="76"/>
      <c r="E115" s="77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5.75" customHeight="1">
      <c r="A116" s="24"/>
      <c r="B116" s="24"/>
      <c r="C116" s="24"/>
      <c r="D116" s="76"/>
      <c r="E116" s="77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5.75" customHeight="1">
      <c r="A117" s="24"/>
      <c r="B117" s="24"/>
      <c r="C117" s="24"/>
      <c r="D117" s="76"/>
      <c r="E117" s="77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5.75" customHeight="1">
      <c r="A118" s="24"/>
      <c r="B118" s="24"/>
      <c r="C118" s="24"/>
      <c r="D118" s="76"/>
      <c r="E118" s="77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5.75" customHeight="1">
      <c r="A119" s="24"/>
      <c r="B119" s="24"/>
      <c r="C119" s="24"/>
      <c r="D119" s="76"/>
      <c r="E119" s="77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5.75" customHeight="1">
      <c r="A120" s="24"/>
      <c r="B120" s="24"/>
      <c r="C120" s="24"/>
      <c r="D120" s="76"/>
      <c r="E120" s="77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5.75" customHeight="1">
      <c r="A121" s="24"/>
      <c r="B121" s="24"/>
      <c r="C121" s="24"/>
      <c r="D121" s="76"/>
      <c r="E121" s="77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5.75" customHeight="1">
      <c r="A122" s="24"/>
      <c r="B122" s="24"/>
      <c r="C122" s="24"/>
      <c r="D122" s="76"/>
      <c r="E122" s="77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5.75" customHeight="1">
      <c r="A123" s="24"/>
      <c r="B123" s="24"/>
      <c r="C123" s="24"/>
      <c r="D123" s="76"/>
      <c r="E123" s="77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5.75" customHeight="1">
      <c r="A124" s="24"/>
      <c r="B124" s="24"/>
      <c r="C124" s="24"/>
      <c r="D124" s="76"/>
      <c r="E124" s="77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5.75" customHeight="1">
      <c r="A125" s="24"/>
      <c r="B125" s="24"/>
      <c r="C125" s="24"/>
      <c r="D125" s="76"/>
      <c r="E125" s="77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5.75" customHeight="1">
      <c r="A126" s="24"/>
      <c r="B126" s="24"/>
      <c r="C126" s="24"/>
      <c r="D126" s="76"/>
      <c r="E126" s="77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5.75" customHeight="1">
      <c r="A127" s="24"/>
      <c r="B127" s="24"/>
      <c r="C127" s="24"/>
      <c r="D127" s="76"/>
      <c r="E127" s="77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5.75" customHeight="1">
      <c r="A128" s="24"/>
      <c r="B128" s="24"/>
      <c r="C128" s="24"/>
      <c r="D128" s="76"/>
      <c r="E128" s="77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5.75" customHeight="1">
      <c r="A129" s="24"/>
      <c r="B129" s="24"/>
      <c r="C129" s="24"/>
      <c r="D129" s="76"/>
      <c r="E129" s="77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5.75" customHeight="1">
      <c r="A130" s="24"/>
      <c r="B130" s="24"/>
      <c r="C130" s="24"/>
      <c r="D130" s="76"/>
      <c r="E130" s="77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5.75" customHeight="1">
      <c r="A131" s="24"/>
      <c r="B131" s="24"/>
      <c r="C131" s="24"/>
      <c r="D131" s="76"/>
      <c r="E131" s="77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5.75" customHeight="1">
      <c r="A132" s="24"/>
      <c r="B132" s="24"/>
      <c r="C132" s="24"/>
      <c r="D132" s="76"/>
      <c r="E132" s="77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5.75" customHeight="1">
      <c r="A133" s="24"/>
      <c r="B133" s="24"/>
      <c r="C133" s="24"/>
      <c r="D133" s="76"/>
      <c r="E133" s="77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5.75" customHeight="1">
      <c r="A134" s="24"/>
      <c r="B134" s="24"/>
      <c r="C134" s="24"/>
      <c r="D134" s="76"/>
      <c r="E134" s="77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5.75" customHeight="1">
      <c r="A135" s="24"/>
      <c r="B135" s="24"/>
      <c r="C135" s="24"/>
      <c r="D135" s="76"/>
      <c r="E135" s="77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5.75" customHeight="1">
      <c r="A136" s="24"/>
      <c r="B136" s="24"/>
      <c r="C136" s="24"/>
      <c r="D136" s="76"/>
      <c r="E136" s="7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5.75" customHeight="1">
      <c r="A137" s="24"/>
      <c r="B137" s="24"/>
      <c r="C137" s="24"/>
      <c r="D137" s="76"/>
      <c r="E137" s="77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5.75" customHeight="1">
      <c r="A138" s="24"/>
      <c r="B138" s="24"/>
      <c r="C138" s="24"/>
      <c r="D138" s="76"/>
      <c r="E138" s="77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5.75" customHeight="1">
      <c r="A139" s="24"/>
      <c r="B139" s="24"/>
      <c r="C139" s="24"/>
      <c r="D139" s="76"/>
      <c r="E139" s="77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5.75" customHeight="1">
      <c r="A140" s="24"/>
      <c r="B140" s="24"/>
      <c r="C140" s="24"/>
      <c r="D140" s="76"/>
      <c r="E140" s="77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5.75" customHeight="1">
      <c r="A141" s="24"/>
      <c r="B141" s="24"/>
      <c r="C141" s="24"/>
      <c r="D141" s="76"/>
      <c r="E141" s="77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5.75" customHeight="1">
      <c r="A142" s="24"/>
      <c r="B142" s="24"/>
      <c r="C142" s="24"/>
      <c r="D142" s="76"/>
      <c r="E142" s="77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5.75" customHeight="1">
      <c r="A143" s="24"/>
      <c r="B143" s="24"/>
      <c r="C143" s="24"/>
      <c r="D143" s="76"/>
      <c r="E143" s="77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5.75" customHeight="1">
      <c r="A144" s="24"/>
      <c r="B144" s="24"/>
      <c r="C144" s="24"/>
      <c r="D144" s="76"/>
      <c r="E144" s="77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5.75" customHeight="1">
      <c r="A145" s="24"/>
      <c r="B145" s="24"/>
      <c r="C145" s="24"/>
      <c r="D145" s="76"/>
      <c r="E145" s="77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5.75" customHeight="1">
      <c r="A146" s="24"/>
      <c r="B146" s="24"/>
      <c r="C146" s="24"/>
      <c r="D146" s="76"/>
      <c r="E146" s="77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5.75" customHeight="1">
      <c r="A147" s="24"/>
      <c r="B147" s="24"/>
      <c r="C147" s="24"/>
      <c r="D147" s="76"/>
      <c r="E147" s="77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5.75" customHeight="1">
      <c r="A148" s="24"/>
      <c r="B148" s="24"/>
      <c r="C148" s="24"/>
      <c r="D148" s="76"/>
      <c r="E148" s="77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5.75" customHeight="1">
      <c r="A149" s="24"/>
      <c r="B149" s="24"/>
      <c r="C149" s="24"/>
      <c r="D149" s="76"/>
      <c r="E149" s="77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5.75" customHeight="1">
      <c r="A150" s="24"/>
      <c r="B150" s="24"/>
      <c r="C150" s="24"/>
      <c r="D150" s="76"/>
      <c r="E150" s="77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5.75" customHeight="1">
      <c r="A151" s="24"/>
      <c r="B151" s="24"/>
      <c r="C151" s="24"/>
      <c r="D151" s="76"/>
      <c r="E151" s="77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5.75" customHeight="1">
      <c r="A152" s="24"/>
      <c r="B152" s="24"/>
      <c r="C152" s="24"/>
      <c r="D152" s="76"/>
      <c r="E152" s="77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5.75" customHeight="1">
      <c r="A153" s="24"/>
      <c r="B153" s="24"/>
      <c r="C153" s="24"/>
      <c r="D153" s="76"/>
      <c r="E153" s="77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5.75" customHeight="1">
      <c r="A154" s="24"/>
      <c r="B154" s="24"/>
      <c r="C154" s="24"/>
      <c r="D154" s="76"/>
      <c r="E154" s="77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5.75" customHeight="1">
      <c r="A155" s="24"/>
      <c r="B155" s="24"/>
      <c r="C155" s="24"/>
      <c r="D155" s="76"/>
      <c r="E155" s="77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5.75" customHeight="1">
      <c r="A156" s="24"/>
      <c r="B156" s="24"/>
      <c r="C156" s="24"/>
      <c r="D156" s="76"/>
      <c r="E156" s="77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5.75" customHeight="1">
      <c r="A157" s="24"/>
      <c r="B157" s="24"/>
      <c r="C157" s="24"/>
      <c r="D157" s="76"/>
      <c r="E157" s="77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5.75" customHeight="1">
      <c r="A158" s="24"/>
      <c r="B158" s="24"/>
      <c r="C158" s="24"/>
      <c r="D158" s="76"/>
      <c r="E158" s="77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5.75" customHeight="1">
      <c r="A159" s="24"/>
      <c r="B159" s="24"/>
      <c r="C159" s="24"/>
      <c r="D159" s="76"/>
      <c r="E159" s="77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5.75" customHeight="1">
      <c r="A160" s="24"/>
      <c r="B160" s="24"/>
      <c r="C160" s="24"/>
      <c r="D160" s="76"/>
      <c r="E160" s="77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5.75" customHeight="1">
      <c r="A161" s="24"/>
      <c r="B161" s="24"/>
      <c r="C161" s="24"/>
      <c r="D161" s="76"/>
      <c r="E161" s="77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5.75" customHeight="1">
      <c r="A162" s="24"/>
      <c r="B162" s="24"/>
      <c r="C162" s="24"/>
      <c r="D162" s="76"/>
      <c r="E162" s="77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5.75" customHeight="1">
      <c r="A163" s="24"/>
      <c r="B163" s="24"/>
      <c r="C163" s="24"/>
      <c r="D163" s="76"/>
      <c r="E163" s="77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5.75" customHeight="1">
      <c r="A164" s="24"/>
      <c r="B164" s="24"/>
      <c r="C164" s="24"/>
      <c r="D164" s="76"/>
      <c r="E164" s="77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5.75" customHeight="1">
      <c r="A165" s="24"/>
      <c r="B165" s="24"/>
      <c r="C165" s="24"/>
      <c r="D165" s="76"/>
      <c r="E165" s="77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5.75" customHeight="1">
      <c r="A166" s="24"/>
      <c r="B166" s="24"/>
      <c r="C166" s="24"/>
      <c r="D166" s="76"/>
      <c r="E166" s="77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5.75" customHeight="1">
      <c r="A167" s="24"/>
      <c r="B167" s="24"/>
      <c r="C167" s="24"/>
      <c r="D167" s="76"/>
      <c r="E167" s="77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5.75" customHeight="1">
      <c r="A168" s="24"/>
      <c r="B168" s="24"/>
      <c r="C168" s="24"/>
      <c r="D168" s="76"/>
      <c r="E168" s="77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5.75" customHeight="1">
      <c r="A169" s="24"/>
      <c r="B169" s="24"/>
      <c r="C169" s="24"/>
      <c r="D169" s="76"/>
      <c r="E169" s="77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5.75" customHeight="1">
      <c r="A170" s="24"/>
      <c r="B170" s="24"/>
      <c r="C170" s="24"/>
      <c r="D170" s="76"/>
      <c r="E170" s="77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5.75" customHeight="1">
      <c r="A171" s="24"/>
      <c r="B171" s="24"/>
      <c r="C171" s="24"/>
      <c r="D171" s="76"/>
      <c r="E171" s="77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5.75" customHeight="1">
      <c r="A172" s="24"/>
      <c r="B172" s="24"/>
      <c r="C172" s="24"/>
      <c r="D172" s="76"/>
      <c r="E172" s="77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5.75" customHeight="1">
      <c r="A173" s="24"/>
      <c r="B173" s="24"/>
      <c r="C173" s="24"/>
      <c r="D173" s="76"/>
      <c r="E173" s="77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5.75" customHeight="1">
      <c r="A174" s="24"/>
      <c r="B174" s="24"/>
      <c r="C174" s="24"/>
      <c r="D174" s="76"/>
      <c r="E174" s="77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5.75" customHeight="1">
      <c r="A175" s="24"/>
      <c r="B175" s="24"/>
      <c r="C175" s="24"/>
      <c r="D175" s="76"/>
      <c r="E175" s="77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5.75" customHeight="1">
      <c r="A176" s="24"/>
      <c r="B176" s="24"/>
      <c r="C176" s="24"/>
      <c r="D176" s="76"/>
      <c r="E176" s="77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5.75" customHeight="1">
      <c r="A177" s="24"/>
      <c r="B177" s="24"/>
      <c r="C177" s="24"/>
      <c r="D177" s="76"/>
      <c r="E177" s="77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5.75" customHeight="1">
      <c r="A178" s="24"/>
      <c r="B178" s="24"/>
      <c r="C178" s="24"/>
      <c r="D178" s="76"/>
      <c r="E178" s="77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5.75" customHeight="1">
      <c r="A179" s="24"/>
      <c r="B179" s="24"/>
      <c r="C179" s="24"/>
      <c r="D179" s="76"/>
      <c r="E179" s="77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5.75" customHeight="1">
      <c r="A180" s="24"/>
      <c r="B180" s="24"/>
      <c r="C180" s="24"/>
      <c r="D180" s="76"/>
      <c r="E180" s="77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5.75" customHeight="1">
      <c r="A181" s="24"/>
      <c r="B181" s="24"/>
      <c r="C181" s="24"/>
      <c r="D181" s="76"/>
      <c r="E181" s="77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5.75" customHeight="1">
      <c r="A182" s="24"/>
      <c r="B182" s="24"/>
      <c r="C182" s="24"/>
      <c r="D182" s="76"/>
      <c r="E182" s="77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5.75" customHeight="1">
      <c r="A183" s="24"/>
      <c r="B183" s="24"/>
      <c r="C183" s="24"/>
      <c r="D183" s="76"/>
      <c r="E183" s="77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5.75" customHeight="1">
      <c r="A184" s="24"/>
      <c r="B184" s="24"/>
      <c r="C184" s="24"/>
      <c r="D184" s="76"/>
      <c r="E184" s="77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5.75" customHeight="1">
      <c r="A185" s="24"/>
      <c r="B185" s="24"/>
      <c r="C185" s="24"/>
      <c r="D185" s="76"/>
      <c r="E185" s="77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5.75" customHeight="1">
      <c r="A186" s="24"/>
      <c r="B186" s="24"/>
      <c r="C186" s="24"/>
      <c r="D186" s="76"/>
      <c r="E186" s="77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5.75" customHeight="1">
      <c r="A187" s="24"/>
      <c r="B187" s="24"/>
      <c r="C187" s="24"/>
      <c r="D187" s="76"/>
      <c r="E187" s="77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5.75" customHeight="1">
      <c r="A188" s="24"/>
      <c r="B188" s="24"/>
      <c r="C188" s="24"/>
      <c r="D188" s="76"/>
      <c r="E188" s="77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5.75" customHeight="1">
      <c r="A189" s="24"/>
      <c r="B189" s="24"/>
      <c r="C189" s="24"/>
      <c r="D189" s="76"/>
      <c r="E189" s="77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5.75" customHeight="1">
      <c r="A190" s="24"/>
      <c r="B190" s="24"/>
      <c r="C190" s="24"/>
      <c r="D190" s="76"/>
      <c r="E190" s="77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5.75" customHeight="1">
      <c r="A191" s="24"/>
      <c r="B191" s="24"/>
      <c r="C191" s="24"/>
      <c r="D191" s="76"/>
      <c r="E191" s="77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5.75" customHeight="1">
      <c r="A192" s="24"/>
      <c r="B192" s="24"/>
      <c r="C192" s="24"/>
      <c r="D192" s="76"/>
      <c r="E192" s="77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5.75" customHeight="1">
      <c r="A193" s="24"/>
      <c r="B193" s="24"/>
      <c r="C193" s="24"/>
      <c r="D193" s="76"/>
      <c r="E193" s="77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5.75" customHeight="1">
      <c r="A194" s="24"/>
      <c r="B194" s="24"/>
      <c r="C194" s="24"/>
      <c r="D194" s="76"/>
      <c r="E194" s="77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5.75" customHeight="1">
      <c r="A195" s="24"/>
      <c r="B195" s="24"/>
      <c r="C195" s="24"/>
      <c r="D195" s="76"/>
      <c r="E195" s="77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5.75" customHeight="1">
      <c r="A196" s="24"/>
      <c r="B196" s="24"/>
      <c r="C196" s="24"/>
      <c r="D196" s="76"/>
      <c r="E196" s="77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5.75" customHeight="1">
      <c r="A197" s="24"/>
      <c r="B197" s="24"/>
      <c r="C197" s="24"/>
      <c r="D197" s="76"/>
      <c r="E197" s="77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5.75" customHeight="1">
      <c r="A198" s="24"/>
      <c r="B198" s="24"/>
      <c r="C198" s="24"/>
      <c r="D198" s="76"/>
      <c r="E198" s="77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5.75" customHeight="1">
      <c r="A199" s="24"/>
      <c r="B199" s="24"/>
      <c r="C199" s="24"/>
      <c r="D199" s="76"/>
      <c r="E199" s="77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5.75" customHeight="1">
      <c r="A200" s="24"/>
      <c r="B200" s="24"/>
      <c r="C200" s="24"/>
      <c r="D200" s="76"/>
      <c r="E200" s="77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5.75" customHeight="1">
      <c r="A201" s="24"/>
      <c r="B201" s="24"/>
      <c r="C201" s="24"/>
      <c r="D201" s="76"/>
      <c r="E201" s="77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5.75" customHeight="1">
      <c r="A202" s="24"/>
      <c r="B202" s="24"/>
      <c r="C202" s="24"/>
      <c r="D202" s="76"/>
      <c r="E202" s="77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5.75" customHeight="1">
      <c r="A203" s="24"/>
      <c r="B203" s="24"/>
      <c r="C203" s="24"/>
      <c r="D203" s="76"/>
      <c r="E203" s="77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5.75" customHeight="1">
      <c r="A204" s="24"/>
      <c r="B204" s="24"/>
      <c r="C204" s="24"/>
      <c r="D204" s="76"/>
      <c r="E204" s="77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5.75" customHeight="1">
      <c r="A205" s="24"/>
      <c r="B205" s="24"/>
      <c r="C205" s="24"/>
      <c r="D205" s="76"/>
      <c r="E205" s="77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5.75" customHeight="1">
      <c r="A206" s="24"/>
      <c r="B206" s="24"/>
      <c r="C206" s="24"/>
      <c r="D206" s="76"/>
      <c r="E206" s="77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5.75" customHeight="1">
      <c r="A207" s="24"/>
      <c r="B207" s="24"/>
      <c r="C207" s="24"/>
      <c r="D207" s="76"/>
      <c r="E207" s="77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5.75" customHeight="1">
      <c r="A208" s="24"/>
      <c r="B208" s="24"/>
      <c r="C208" s="24"/>
      <c r="D208" s="76"/>
      <c r="E208" s="77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5.75" customHeight="1">
      <c r="A209" s="24"/>
      <c r="B209" s="24"/>
      <c r="C209" s="24"/>
      <c r="D209" s="76"/>
      <c r="E209" s="77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5.75" customHeight="1">
      <c r="A210" s="24"/>
      <c r="B210" s="24"/>
      <c r="C210" s="24"/>
      <c r="D210" s="76"/>
      <c r="E210" s="77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5.75" customHeight="1">
      <c r="A211" s="24"/>
      <c r="B211" s="24"/>
      <c r="C211" s="24"/>
      <c r="D211" s="76"/>
      <c r="E211" s="77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5.75" customHeight="1">
      <c r="A212" s="24"/>
      <c r="B212" s="24"/>
      <c r="C212" s="24"/>
      <c r="D212" s="76"/>
      <c r="E212" s="77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5.75" customHeight="1">
      <c r="A213" s="78"/>
      <c r="B213" s="78"/>
      <c r="C213" s="24"/>
      <c r="D213" s="79"/>
      <c r="E213" s="77"/>
      <c r="F213" s="78"/>
      <c r="G213" s="78"/>
      <c r="H213" s="78"/>
      <c r="I213" s="78"/>
      <c r="J213" s="78"/>
    </row>
    <row r="214" spans="1:21" ht="15.75" customHeight="1">
      <c r="A214" s="78"/>
      <c r="B214" s="78"/>
      <c r="C214" s="78"/>
      <c r="D214" s="79"/>
      <c r="E214" s="77"/>
      <c r="F214" s="78"/>
      <c r="G214" s="78"/>
      <c r="H214" s="78"/>
      <c r="I214" s="78"/>
      <c r="J214" s="78"/>
    </row>
    <row r="215" spans="1:21" ht="15.75" customHeight="1">
      <c r="A215" s="78"/>
      <c r="B215" s="78"/>
      <c r="C215" s="78"/>
      <c r="D215" s="79"/>
      <c r="E215" s="77"/>
      <c r="F215" s="78"/>
      <c r="G215" s="78"/>
      <c r="H215" s="78"/>
      <c r="I215" s="78"/>
      <c r="J215" s="78"/>
    </row>
    <row r="216" spans="1:21" ht="15.75" customHeight="1">
      <c r="A216" s="78"/>
      <c r="B216" s="78"/>
      <c r="C216" s="78"/>
      <c r="D216" s="79"/>
      <c r="E216" s="77"/>
      <c r="F216" s="78"/>
      <c r="G216" s="78"/>
      <c r="H216" s="78"/>
      <c r="I216" s="78"/>
      <c r="J216" s="78"/>
    </row>
    <row r="217" spans="1:21" ht="15.75" customHeight="1">
      <c r="A217" s="78"/>
      <c r="B217" s="78"/>
      <c r="C217" s="78"/>
      <c r="D217" s="79"/>
      <c r="E217" s="77"/>
      <c r="F217" s="78"/>
      <c r="G217" s="78"/>
      <c r="H217" s="78"/>
      <c r="I217" s="78"/>
      <c r="J217" s="78"/>
    </row>
    <row r="218" spans="1:21" ht="15.75" customHeight="1">
      <c r="A218" s="78"/>
      <c r="B218" s="78"/>
      <c r="C218" s="78"/>
      <c r="D218" s="79"/>
      <c r="E218" s="77"/>
      <c r="F218" s="78"/>
      <c r="G218" s="78"/>
      <c r="H218" s="78"/>
      <c r="I218" s="78"/>
      <c r="J218" s="78"/>
    </row>
    <row r="219" spans="1:21" ht="15.75" customHeight="1">
      <c r="A219" s="78"/>
      <c r="B219" s="78"/>
      <c r="C219" s="78"/>
      <c r="D219" s="79"/>
      <c r="E219" s="77"/>
      <c r="F219" s="78"/>
      <c r="G219" s="78"/>
      <c r="H219" s="78"/>
      <c r="I219" s="78"/>
      <c r="J219" s="78"/>
    </row>
    <row r="220" spans="1:21" ht="15.75" customHeight="1">
      <c r="A220" s="78"/>
      <c r="B220" s="78"/>
      <c r="C220" s="78"/>
      <c r="D220" s="79"/>
      <c r="E220" s="77"/>
      <c r="F220" s="78"/>
      <c r="G220" s="78"/>
      <c r="H220" s="78"/>
      <c r="I220" s="78"/>
      <c r="J220" s="78"/>
    </row>
    <row r="221" spans="1:21" ht="15.75" customHeight="1">
      <c r="A221" s="78"/>
      <c r="B221" s="78"/>
      <c r="C221" s="78"/>
      <c r="D221" s="79"/>
      <c r="E221" s="80"/>
      <c r="F221" s="78"/>
      <c r="G221" s="78"/>
      <c r="H221" s="78"/>
      <c r="I221" s="78"/>
      <c r="J221" s="78"/>
    </row>
    <row r="222" spans="1:21" ht="15.75" customHeight="1">
      <c r="A222" s="78"/>
      <c r="B222" s="78"/>
      <c r="C222" s="78"/>
      <c r="D222" s="79"/>
      <c r="E222" s="80"/>
      <c r="F222" s="78"/>
      <c r="G222" s="78"/>
      <c r="H222" s="78"/>
      <c r="I222" s="78"/>
      <c r="J222" s="78"/>
    </row>
    <row r="223" spans="1:21" ht="15.75" customHeight="1">
      <c r="A223" s="78"/>
      <c r="B223" s="78"/>
      <c r="C223" s="78"/>
      <c r="D223" s="79"/>
      <c r="E223" s="80"/>
      <c r="F223" s="78"/>
      <c r="G223" s="78"/>
      <c r="H223" s="78"/>
      <c r="I223" s="78"/>
      <c r="J223" s="78"/>
    </row>
    <row r="224" spans="1:21" ht="15.75" customHeight="1">
      <c r="A224" s="78"/>
      <c r="B224" s="78"/>
      <c r="C224" s="78"/>
      <c r="D224" s="79"/>
      <c r="E224" s="80"/>
      <c r="F224" s="78"/>
      <c r="G224" s="78"/>
      <c r="H224" s="78"/>
      <c r="I224" s="78"/>
      <c r="J224" s="78"/>
    </row>
    <row r="225" spans="1:10" ht="15.75" customHeight="1">
      <c r="A225" s="78"/>
      <c r="B225" s="78"/>
      <c r="C225" s="78"/>
      <c r="D225" s="79"/>
      <c r="E225" s="80"/>
      <c r="F225" s="78"/>
      <c r="G225" s="78"/>
      <c r="H225" s="78"/>
      <c r="I225" s="78"/>
      <c r="J225" s="78"/>
    </row>
    <row r="226" spans="1:10" ht="15.75" customHeight="1">
      <c r="A226" s="78"/>
      <c r="B226" s="78"/>
      <c r="C226" s="78"/>
      <c r="D226" s="79"/>
      <c r="E226" s="80"/>
      <c r="F226" s="78"/>
      <c r="G226" s="78"/>
      <c r="H226" s="78"/>
      <c r="I226" s="78"/>
      <c r="J226" s="78"/>
    </row>
    <row r="227" spans="1:10" ht="15.75" customHeight="1">
      <c r="A227" s="78"/>
      <c r="B227" s="78"/>
      <c r="C227" s="78"/>
      <c r="D227" s="79"/>
      <c r="E227" s="80"/>
      <c r="F227" s="78"/>
      <c r="G227" s="78"/>
      <c r="H227" s="78"/>
      <c r="I227" s="78"/>
      <c r="J227" s="78"/>
    </row>
    <row r="228" spans="1:10" ht="15.75" customHeight="1">
      <c r="A228" s="78"/>
      <c r="B228" s="78"/>
      <c r="C228" s="78"/>
      <c r="D228" s="79"/>
      <c r="E228" s="80"/>
      <c r="F228" s="78"/>
      <c r="G228" s="78"/>
      <c r="H228" s="78"/>
      <c r="I228" s="78"/>
      <c r="J228" s="78"/>
    </row>
    <row r="229" spans="1:10" ht="15.75" customHeight="1">
      <c r="A229" s="78"/>
      <c r="B229" s="78"/>
      <c r="C229" s="78"/>
      <c r="D229" s="79"/>
      <c r="E229" s="80"/>
      <c r="F229" s="78"/>
      <c r="G229" s="78"/>
      <c r="H229" s="78"/>
      <c r="I229" s="78"/>
      <c r="J229" s="78"/>
    </row>
    <row r="230" spans="1:10" ht="15.75" customHeight="1">
      <c r="A230" s="78"/>
      <c r="B230" s="78"/>
      <c r="C230" s="78"/>
      <c r="D230" s="79"/>
      <c r="E230" s="80"/>
      <c r="F230" s="78"/>
      <c r="G230" s="78"/>
      <c r="H230" s="78"/>
      <c r="I230" s="78"/>
      <c r="J230" s="78"/>
    </row>
    <row r="231" spans="1:10" ht="15.75" customHeight="1">
      <c r="A231" s="78"/>
      <c r="B231" s="78"/>
      <c r="C231" s="78"/>
      <c r="D231" s="79"/>
      <c r="E231" s="80"/>
      <c r="F231" s="78"/>
      <c r="G231" s="78"/>
      <c r="H231" s="78"/>
      <c r="I231" s="78"/>
      <c r="J231" s="78"/>
    </row>
    <row r="232" spans="1:10" ht="15.75" customHeight="1">
      <c r="A232" s="78"/>
      <c r="B232" s="78"/>
      <c r="C232" s="78"/>
      <c r="D232" s="79"/>
      <c r="E232" s="80"/>
      <c r="F232" s="78"/>
      <c r="G232" s="78"/>
      <c r="H232" s="78"/>
      <c r="I232" s="78"/>
      <c r="J232" s="78"/>
    </row>
    <row r="233" spans="1:10" ht="15.75" customHeight="1">
      <c r="A233" s="78"/>
      <c r="B233" s="78"/>
      <c r="C233" s="78"/>
      <c r="D233" s="79"/>
      <c r="E233" s="80"/>
      <c r="F233" s="78"/>
      <c r="G233" s="78"/>
      <c r="H233" s="78"/>
      <c r="I233" s="78"/>
      <c r="J233" s="78"/>
    </row>
    <row r="234" spans="1:10" ht="15.75" customHeight="1">
      <c r="A234" s="78"/>
      <c r="B234" s="78"/>
      <c r="C234" s="78"/>
      <c r="D234" s="79"/>
      <c r="E234" s="80"/>
      <c r="F234" s="78"/>
      <c r="G234" s="78"/>
      <c r="H234" s="78"/>
      <c r="I234" s="78"/>
      <c r="J234" s="78"/>
    </row>
    <row r="235" spans="1:10" ht="15.75" customHeight="1">
      <c r="A235" s="78"/>
      <c r="B235" s="78"/>
      <c r="C235" s="78"/>
      <c r="D235" s="79"/>
      <c r="E235" s="80"/>
      <c r="F235" s="78"/>
      <c r="G235" s="78"/>
      <c r="H235" s="78"/>
      <c r="I235" s="78"/>
      <c r="J235" s="78"/>
    </row>
    <row r="236" spans="1:10" ht="15.75" customHeight="1">
      <c r="A236" s="78"/>
      <c r="B236" s="78"/>
      <c r="C236" s="78"/>
      <c r="D236" s="79"/>
      <c r="E236" s="80"/>
      <c r="F236" s="78"/>
      <c r="G236" s="78"/>
      <c r="H236" s="78"/>
      <c r="I236" s="78"/>
      <c r="J236" s="78"/>
    </row>
    <row r="237" spans="1:10" ht="15.75" customHeight="1">
      <c r="A237" s="78"/>
      <c r="B237" s="78"/>
      <c r="C237" s="78"/>
      <c r="D237" s="79"/>
      <c r="E237" s="80"/>
      <c r="F237" s="78"/>
      <c r="G237" s="78"/>
      <c r="H237" s="78"/>
      <c r="I237" s="78"/>
      <c r="J237" s="78"/>
    </row>
    <row r="238" spans="1:10" ht="15.75" customHeight="1">
      <c r="A238" s="78"/>
      <c r="B238" s="78"/>
      <c r="C238" s="78"/>
      <c r="D238" s="79"/>
      <c r="E238" s="80"/>
      <c r="F238" s="78"/>
      <c r="G238" s="78"/>
      <c r="H238" s="78"/>
      <c r="I238" s="78"/>
      <c r="J238" s="78"/>
    </row>
    <row r="239" spans="1:10" ht="15.75" customHeight="1">
      <c r="A239" s="78"/>
      <c r="B239" s="78"/>
      <c r="C239" s="78"/>
      <c r="D239" s="79"/>
      <c r="E239" s="80"/>
      <c r="F239" s="78"/>
      <c r="G239" s="78"/>
      <c r="H239" s="78"/>
      <c r="I239" s="78"/>
      <c r="J239" s="78"/>
    </row>
    <row r="240" spans="1:10" ht="15.75" customHeight="1">
      <c r="A240" s="78"/>
      <c r="B240" s="78"/>
      <c r="C240" s="78"/>
      <c r="D240" s="79"/>
      <c r="E240" s="80"/>
      <c r="F240" s="78"/>
      <c r="G240" s="78"/>
      <c r="H240" s="78"/>
      <c r="I240" s="78"/>
      <c r="J240" s="78"/>
    </row>
    <row r="241" spans="1:10" ht="15.75" customHeight="1">
      <c r="A241" s="78"/>
      <c r="B241" s="78"/>
      <c r="C241" s="78"/>
      <c r="D241" s="79"/>
      <c r="E241" s="80"/>
      <c r="F241" s="78"/>
      <c r="G241" s="78"/>
      <c r="H241" s="78"/>
      <c r="I241" s="78"/>
      <c r="J241" s="78"/>
    </row>
    <row r="242" spans="1:10" ht="15.75" customHeight="1">
      <c r="A242" s="78"/>
      <c r="B242" s="78"/>
      <c r="C242" s="78"/>
      <c r="D242" s="79"/>
      <c r="E242" s="80"/>
      <c r="F242" s="78"/>
      <c r="G242" s="78"/>
      <c r="H242" s="78"/>
      <c r="I242" s="78"/>
      <c r="J242" s="78"/>
    </row>
    <row r="243" spans="1:10" ht="15.75" customHeight="1">
      <c r="A243" s="78"/>
      <c r="B243" s="78"/>
      <c r="C243" s="78"/>
      <c r="D243" s="79"/>
      <c r="E243" s="80"/>
      <c r="F243" s="78"/>
      <c r="G243" s="78"/>
      <c r="H243" s="78"/>
      <c r="I243" s="78"/>
      <c r="J243" s="78"/>
    </row>
    <row r="244" spans="1:10" ht="15.75" customHeight="1">
      <c r="A244" s="78"/>
      <c r="B244" s="78"/>
      <c r="C244" s="78"/>
      <c r="D244" s="79"/>
      <c r="E244" s="80"/>
      <c r="F244" s="78"/>
      <c r="G244" s="78"/>
      <c r="H244" s="78"/>
      <c r="I244" s="78"/>
      <c r="J244" s="78"/>
    </row>
    <row r="245" spans="1:10" ht="15.75" customHeight="1">
      <c r="A245" s="78"/>
      <c r="B245" s="78"/>
      <c r="C245" s="78"/>
      <c r="D245" s="79"/>
      <c r="E245" s="80"/>
      <c r="F245" s="78"/>
      <c r="G245" s="78"/>
      <c r="H245" s="78"/>
      <c r="I245" s="78"/>
      <c r="J245" s="78"/>
    </row>
    <row r="246" spans="1:10" ht="15.75" customHeight="1">
      <c r="A246" s="78"/>
      <c r="B246" s="78"/>
      <c r="C246" s="78"/>
      <c r="D246" s="79"/>
      <c r="E246" s="80"/>
      <c r="F246" s="78"/>
      <c r="G246" s="78"/>
      <c r="H246" s="78"/>
      <c r="I246" s="78"/>
      <c r="J246" s="78"/>
    </row>
    <row r="247" spans="1:10" ht="15.75" customHeight="1">
      <c r="A247" s="78"/>
      <c r="B247" s="78"/>
      <c r="C247" s="78"/>
      <c r="D247" s="79"/>
      <c r="E247" s="80"/>
      <c r="F247" s="78"/>
      <c r="G247" s="78"/>
      <c r="H247" s="78"/>
      <c r="I247" s="78"/>
      <c r="J247" s="78"/>
    </row>
    <row r="248" spans="1:10" ht="15.75" customHeight="1">
      <c r="A248" s="78"/>
      <c r="B248" s="78"/>
      <c r="C248" s="78"/>
      <c r="D248" s="79"/>
      <c r="E248" s="80"/>
      <c r="F248" s="78"/>
      <c r="G248" s="78"/>
      <c r="H248" s="78"/>
      <c r="I248" s="78"/>
      <c r="J248" s="78"/>
    </row>
    <row r="249" spans="1:10" ht="15.75" customHeight="1">
      <c r="A249" s="78"/>
      <c r="B249" s="78"/>
      <c r="C249" s="78"/>
      <c r="D249" s="79"/>
      <c r="E249" s="80"/>
      <c r="F249" s="78"/>
      <c r="G249" s="78"/>
      <c r="H249" s="78"/>
      <c r="I249" s="78"/>
      <c r="J249" s="78"/>
    </row>
    <row r="250" spans="1:10" ht="15.75" customHeight="1">
      <c r="A250" s="78"/>
      <c r="B250" s="78"/>
      <c r="C250" s="78"/>
      <c r="D250" s="79"/>
      <c r="E250" s="80"/>
      <c r="F250" s="78"/>
      <c r="G250" s="78"/>
      <c r="H250" s="78"/>
      <c r="I250" s="78"/>
      <c r="J250" s="78"/>
    </row>
    <row r="251" spans="1:10" ht="15.75" customHeight="1">
      <c r="A251" s="78"/>
      <c r="B251" s="78"/>
      <c r="C251" s="78"/>
      <c r="D251" s="79"/>
      <c r="E251" s="80"/>
      <c r="F251" s="78"/>
      <c r="G251" s="78"/>
      <c r="H251" s="78"/>
      <c r="I251" s="78"/>
      <c r="J251" s="78"/>
    </row>
    <row r="252" spans="1:10" ht="15.75" customHeight="1">
      <c r="A252" s="78"/>
      <c r="B252" s="78"/>
      <c r="C252" s="78"/>
      <c r="D252" s="79"/>
      <c r="E252" s="80"/>
      <c r="F252" s="78"/>
      <c r="G252" s="78"/>
      <c r="H252" s="78"/>
      <c r="I252" s="78"/>
      <c r="J252" s="78"/>
    </row>
    <row r="253" spans="1:10" ht="15.75" customHeight="1">
      <c r="A253" s="78"/>
      <c r="B253" s="78"/>
      <c r="C253" s="78"/>
      <c r="D253" s="79"/>
      <c r="E253" s="80"/>
      <c r="F253" s="78"/>
      <c r="G253" s="78"/>
      <c r="H253" s="78"/>
      <c r="I253" s="78"/>
      <c r="J253" s="78"/>
    </row>
    <row r="254" spans="1:10" ht="15.75" customHeight="1">
      <c r="A254" s="78"/>
      <c r="B254" s="78"/>
      <c r="C254" s="78"/>
      <c r="D254" s="79"/>
      <c r="E254" s="80"/>
      <c r="F254" s="78"/>
      <c r="G254" s="78"/>
      <c r="H254" s="78"/>
      <c r="I254" s="78"/>
      <c r="J254" s="78"/>
    </row>
    <row r="255" spans="1:10" ht="15.75" customHeight="1">
      <c r="A255" s="78"/>
      <c r="B255" s="78"/>
      <c r="C255" s="78"/>
      <c r="D255" s="79"/>
      <c r="E255" s="80"/>
      <c r="F255" s="78"/>
      <c r="G255" s="78"/>
      <c r="H255" s="78"/>
      <c r="I255" s="78"/>
      <c r="J255" s="78"/>
    </row>
    <row r="256" spans="1:10" ht="15.75" customHeight="1">
      <c r="A256" s="78"/>
      <c r="B256" s="78"/>
      <c r="C256" s="78"/>
      <c r="D256" s="79"/>
      <c r="E256" s="80"/>
      <c r="F256" s="78"/>
      <c r="G256" s="78"/>
      <c r="H256" s="78"/>
      <c r="I256" s="78"/>
      <c r="J256" s="78"/>
    </row>
    <row r="257" spans="1:10" ht="15.75" customHeight="1">
      <c r="A257" s="78"/>
      <c r="B257" s="78"/>
      <c r="C257" s="78"/>
      <c r="D257" s="79"/>
      <c r="E257" s="80"/>
      <c r="F257" s="78"/>
      <c r="G257" s="78"/>
      <c r="H257" s="78"/>
      <c r="I257" s="78"/>
      <c r="J257" s="78"/>
    </row>
    <row r="258" spans="1:10" ht="15.75" customHeight="1">
      <c r="A258" s="78"/>
      <c r="B258" s="78"/>
      <c r="C258" s="78"/>
      <c r="D258" s="79"/>
      <c r="E258" s="80"/>
      <c r="F258" s="78"/>
      <c r="G258" s="78"/>
      <c r="H258" s="78"/>
      <c r="I258" s="78"/>
      <c r="J258" s="78"/>
    </row>
    <row r="259" spans="1:10" ht="15.75" customHeight="1">
      <c r="A259" s="78"/>
      <c r="B259" s="78"/>
      <c r="C259" s="78"/>
      <c r="D259" s="79"/>
      <c r="E259" s="80"/>
      <c r="F259" s="78"/>
      <c r="G259" s="78"/>
      <c r="H259" s="78"/>
      <c r="I259" s="78"/>
      <c r="J259" s="78"/>
    </row>
    <row r="260" spans="1:10" ht="15.75" customHeight="1">
      <c r="A260" s="78"/>
      <c r="B260" s="78"/>
      <c r="C260" s="78"/>
      <c r="D260" s="79"/>
      <c r="E260" s="80"/>
      <c r="F260" s="78"/>
      <c r="G260" s="78"/>
      <c r="H260" s="78"/>
      <c r="I260" s="78"/>
      <c r="J260" s="78"/>
    </row>
    <row r="261" spans="1:10" ht="15.75" customHeight="1">
      <c r="A261" s="78"/>
      <c r="B261" s="78"/>
      <c r="C261" s="78"/>
      <c r="D261" s="79"/>
      <c r="E261" s="80"/>
      <c r="F261" s="78"/>
      <c r="G261" s="78"/>
      <c r="H261" s="78"/>
      <c r="I261" s="78"/>
      <c r="J261" s="78"/>
    </row>
    <row r="262" spans="1:10" ht="15.75" customHeight="1">
      <c r="A262" s="78"/>
      <c r="B262" s="78"/>
      <c r="C262" s="78"/>
      <c r="D262" s="79"/>
      <c r="E262" s="80"/>
      <c r="F262" s="78"/>
      <c r="G262" s="78"/>
      <c r="H262" s="78"/>
      <c r="I262" s="78"/>
      <c r="J262" s="78"/>
    </row>
    <row r="263" spans="1:10" ht="15.75" customHeight="1">
      <c r="A263" s="78"/>
      <c r="B263" s="78"/>
      <c r="C263" s="78"/>
      <c r="D263" s="79"/>
      <c r="E263" s="80"/>
      <c r="F263" s="78"/>
      <c r="G263" s="78"/>
      <c r="H263" s="78"/>
      <c r="I263" s="78"/>
      <c r="J263" s="78"/>
    </row>
    <row r="264" spans="1:10" ht="15.75" customHeight="1">
      <c r="A264" s="78"/>
      <c r="B264" s="78"/>
      <c r="C264" s="78"/>
      <c r="D264" s="79"/>
      <c r="E264" s="80"/>
      <c r="F264" s="78"/>
      <c r="G264" s="78"/>
      <c r="H264" s="78"/>
      <c r="I264" s="78"/>
      <c r="J264" s="78"/>
    </row>
    <row r="265" spans="1:10" ht="15.75" customHeight="1">
      <c r="A265" s="78"/>
      <c r="B265" s="78"/>
      <c r="C265" s="78"/>
      <c r="D265" s="79"/>
      <c r="E265" s="80"/>
      <c r="F265" s="78"/>
      <c r="G265" s="78"/>
      <c r="H265" s="78"/>
      <c r="I265" s="78"/>
      <c r="J265" s="78"/>
    </row>
    <row r="266" spans="1:10" ht="15.75" customHeight="1">
      <c r="A266" s="78"/>
      <c r="B266" s="78"/>
      <c r="C266" s="78"/>
      <c r="D266" s="79"/>
      <c r="E266" s="80"/>
      <c r="F266" s="78"/>
      <c r="G266" s="78"/>
      <c r="H266" s="78"/>
      <c r="I266" s="78"/>
      <c r="J266" s="78"/>
    </row>
    <row r="267" spans="1:10" ht="15.75" customHeight="1">
      <c r="A267" s="78"/>
      <c r="B267" s="78"/>
      <c r="C267" s="78"/>
      <c r="D267" s="79"/>
      <c r="E267" s="80"/>
      <c r="F267" s="78"/>
      <c r="G267" s="78"/>
      <c r="H267" s="78"/>
      <c r="I267" s="78"/>
      <c r="J267" s="78"/>
    </row>
    <row r="268" spans="1:10" ht="15.75" customHeight="1">
      <c r="A268" s="78"/>
      <c r="B268" s="78"/>
      <c r="C268" s="78"/>
      <c r="D268" s="79"/>
      <c r="E268" s="80"/>
      <c r="F268" s="78"/>
      <c r="G268" s="78"/>
      <c r="H268" s="78"/>
      <c r="I268" s="78"/>
      <c r="J268" s="78"/>
    </row>
    <row r="269" spans="1:10" ht="15.75" customHeight="1">
      <c r="A269" s="78"/>
      <c r="B269" s="78"/>
      <c r="C269" s="78"/>
      <c r="D269" s="79"/>
      <c r="E269" s="80"/>
      <c r="F269" s="78"/>
      <c r="G269" s="78"/>
      <c r="H269" s="78"/>
      <c r="I269" s="78"/>
      <c r="J269" s="78"/>
    </row>
    <row r="270" spans="1:10" ht="15.75" customHeight="1">
      <c r="A270" s="78"/>
      <c r="B270" s="78"/>
      <c r="C270" s="78"/>
      <c r="D270" s="79"/>
      <c r="E270" s="80"/>
      <c r="F270" s="78"/>
      <c r="G270" s="78"/>
      <c r="H270" s="78"/>
      <c r="I270" s="78"/>
      <c r="J270" s="78"/>
    </row>
    <row r="271" spans="1:10" ht="15.75" customHeight="1">
      <c r="A271" s="78"/>
      <c r="B271" s="78"/>
      <c r="C271" s="78"/>
      <c r="D271" s="79"/>
      <c r="E271" s="80"/>
      <c r="F271" s="78"/>
      <c r="G271" s="78"/>
      <c r="H271" s="78"/>
      <c r="I271" s="78"/>
      <c r="J271" s="78"/>
    </row>
    <row r="272" spans="1:10" ht="15.75" customHeight="1">
      <c r="A272" s="78"/>
      <c r="B272" s="78"/>
      <c r="C272" s="78"/>
      <c r="D272" s="79"/>
      <c r="E272" s="80"/>
      <c r="F272" s="78"/>
      <c r="G272" s="78"/>
      <c r="H272" s="78"/>
      <c r="I272" s="78"/>
      <c r="J272" s="78"/>
    </row>
    <row r="273" spans="1:10" ht="15.75" customHeight="1">
      <c r="A273" s="78"/>
      <c r="B273" s="78"/>
      <c r="C273" s="78"/>
      <c r="D273" s="79"/>
      <c r="E273" s="80"/>
      <c r="F273" s="78"/>
      <c r="G273" s="78"/>
      <c r="H273" s="78"/>
      <c r="I273" s="78"/>
      <c r="J273" s="78"/>
    </row>
    <row r="274" spans="1:10" ht="15.75" customHeight="1">
      <c r="A274" s="78"/>
      <c r="B274" s="78"/>
      <c r="C274" s="78"/>
      <c r="D274" s="79"/>
      <c r="E274" s="80"/>
      <c r="F274" s="78"/>
      <c r="G274" s="78"/>
      <c r="H274" s="78"/>
      <c r="I274" s="78"/>
      <c r="J274" s="78"/>
    </row>
    <row r="275" spans="1:10" ht="15.75" customHeight="1">
      <c r="A275" s="78"/>
      <c r="B275" s="78"/>
      <c r="C275" s="78"/>
      <c r="D275" s="79"/>
      <c r="E275" s="80"/>
      <c r="F275" s="78"/>
      <c r="G275" s="78"/>
      <c r="H275" s="78"/>
      <c r="I275" s="78"/>
      <c r="J275" s="78"/>
    </row>
    <row r="276" spans="1:10" ht="15.75" customHeight="1">
      <c r="A276" s="78"/>
      <c r="B276" s="78"/>
      <c r="C276" s="78"/>
      <c r="D276" s="79"/>
      <c r="E276" s="80"/>
      <c r="F276" s="78"/>
      <c r="G276" s="78"/>
      <c r="H276" s="78"/>
      <c r="I276" s="78"/>
      <c r="J276" s="78"/>
    </row>
    <row r="277" spans="1:10" ht="15.75" customHeight="1">
      <c r="A277" s="78"/>
      <c r="B277" s="78"/>
      <c r="C277" s="78"/>
      <c r="D277" s="79"/>
      <c r="E277" s="80"/>
      <c r="F277" s="78"/>
      <c r="G277" s="78"/>
      <c r="H277" s="78"/>
      <c r="I277" s="78"/>
      <c r="J277" s="78"/>
    </row>
    <row r="278" spans="1:10" ht="15.75" customHeight="1">
      <c r="A278" s="78"/>
      <c r="B278" s="78"/>
      <c r="C278" s="78"/>
      <c r="D278" s="79"/>
      <c r="E278" s="80"/>
      <c r="F278" s="78"/>
      <c r="G278" s="78"/>
      <c r="H278" s="78"/>
      <c r="I278" s="78"/>
      <c r="J278" s="78"/>
    </row>
    <row r="279" spans="1:10" ht="15.75" customHeight="1">
      <c r="A279" s="78"/>
      <c r="B279" s="78"/>
      <c r="C279" s="78"/>
      <c r="D279" s="79"/>
      <c r="E279" s="80"/>
      <c r="F279" s="78"/>
      <c r="G279" s="78"/>
      <c r="H279" s="78"/>
      <c r="I279" s="78"/>
      <c r="J279" s="78"/>
    </row>
    <row r="280" spans="1:10" ht="15.75" customHeight="1">
      <c r="A280" s="78"/>
      <c r="B280" s="78"/>
      <c r="C280" s="78"/>
      <c r="D280" s="79"/>
      <c r="E280" s="80"/>
      <c r="F280" s="78"/>
      <c r="G280" s="78"/>
      <c r="H280" s="78"/>
      <c r="I280" s="78"/>
      <c r="J280" s="78"/>
    </row>
    <row r="281" spans="1:10" ht="15.75" customHeight="1">
      <c r="A281" s="78"/>
      <c r="B281" s="78"/>
      <c r="C281" s="78"/>
      <c r="D281" s="79"/>
      <c r="E281" s="80"/>
      <c r="F281" s="78"/>
      <c r="G281" s="78"/>
      <c r="H281" s="78"/>
      <c r="I281" s="78"/>
      <c r="J281" s="78"/>
    </row>
    <row r="282" spans="1:10" ht="15.75" customHeight="1">
      <c r="A282" s="78"/>
      <c r="B282" s="78"/>
      <c r="C282" s="78"/>
      <c r="D282" s="79"/>
      <c r="E282" s="80"/>
      <c r="F282" s="78"/>
      <c r="G282" s="78"/>
      <c r="H282" s="78"/>
      <c r="I282" s="78"/>
      <c r="J282" s="78"/>
    </row>
    <row r="283" spans="1:10" ht="15.75" customHeight="1">
      <c r="A283" s="78"/>
      <c r="B283" s="78"/>
      <c r="C283" s="78"/>
      <c r="D283" s="79"/>
      <c r="E283" s="80"/>
      <c r="F283" s="78"/>
      <c r="G283" s="78"/>
      <c r="H283" s="78"/>
      <c r="I283" s="78"/>
      <c r="J283" s="78"/>
    </row>
    <row r="284" spans="1:10" ht="15.75" customHeight="1">
      <c r="A284" s="78"/>
      <c r="B284" s="78"/>
      <c r="C284" s="78"/>
      <c r="D284" s="79"/>
      <c r="E284" s="80"/>
      <c r="F284" s="78"/>
      <c r="G284" s="78"/>
      <c r="H284" s="78"/>
      <c r="I284" s="78"/>
      <c r="J284" s="78"/>
    </row>
    <row r="285" spans="1:10" ht="15.75" customHeight="1">
      <c r="A285" s="78"/>
      <c r="B285" s="78"/>
      <c r="C285" s="78"/>
      <c r="D285" s="79"/>
      <c r="E285" s="80"/>
      <c r="F285" s="78"/>
      <c r="G285" s="78"/>
      <c r="H285" s="78"/>
      <c r="I285" s="78"/>
      <c r="J285" s="78"/>
    </row>
    <row r="286" spans="1:10" ht="15.75" customHeight="1">
      <c r="A286" s="78"/>
      <c r="B286" s="78"/>
      <c r="C286" s="78"/>
      <c r="D286" s="79"/>
      <c r="E286" s="80"/>
      <c r="F286" s="78"/>
      <c r="G286" s="78"/>
      <c r="H286" s="78"/>
      <c r="I286" s="78"/>
      <c r="J286" s="78"/>
    </row>
    <row r="287" spans="1:10" ht="15.75" customHeight="1">
      <c r="A287" s="78"/>
      <c r="B287" s="78"/>
      <c r="C287" s="78"/>
      <c r="D287" s="79"/>
      <c r="E287" s="80"/>
      <c r="F287" s="78"/>
      <c r="G287" s="78"/>
      <c r="H287" s="78"/>
      <c r="I287" s="78"/>
      <c r="J287" s="78"/>
    </row>
    <row r="288" spans="1:10" ht="15.75" customHeight="1">
      <c r="A288" s="78"/>
      <c r="B288" s="78"/>
      <c r="C288" s="78"/>
      <c r="D288" s="79"/>
      <c r="E288" s="80"/>
      <c r="F288" s="78"/>
      <c r="G288" s="78"/>
      <c r="H288" s="78"/>
      <c r="I288" s="78"/>
      <c r="J288" s="78"/>
    </row>
    <row r="289" spans="1:10" ht="15.75" customHeight="1">
      <c r="A289" s="78"/>
      <c r="B289" s="78"/>
      <c r="C289" s="78"/>
      <c r="D289" s="79"/>
      <c r="E289" s="80"/>
      <c r="F289" s="78"/>
      <c r="G289" s="78"/>
      <c r="H289" s="78"/>
      <c r="I289" s="78"/>
      <c r="J289" s="78"/>
    </row>
    <row r="290" spans="1:10" ht="15.75" customHeight="1">
      <c r="A290" s="78"/>
      <c r="B290" s="78"/>
      <c r="C290" s="78"/>
      <c r="D290" s="79"/>
      <c r="E290" s="80"/>
      <c r="F290" s="78"/>
      <c r="G290" s="78"/>
      <c r="H290" s="78"/>
      <c r="I290" s="78"/>
      <c r="J290" s="78"/>
    </row>
    <row r="291" spans="1:10" ht="15.75" customHeight="1">
      <c r="A291" s="78"/>
      <c r="B291" s="78"/>
      <c r="C291" s="78"/>
      <c r="D291" s="79"/>
      <c r="E291" s="80"/>
      <c r="F291" s="78"/>
      <c r="G291" s="78"/>
      <c r="H291" s="78"/>
      <c r="I291" s="78"/>
      <c r="J291" s="78"/>
    </row>
    <row r="292" spans="1:10" ht="15.75" customHeight="1">
      <c r="A292" s="78"/>
      <c r="B292" s="78"/>
      <c r="C292" s="78"/>
      <c r="D292" s="79"/>
      <c r="E292" s="80"/>
      <c r="F292" s="78"/>
      <c r="G292" s="78"/>
      <c r="H292" s="78"/>
      <c r="I292" s="78"/>
      <c r="J292" s="78"/>
    </row>
    <row r="293" spans="1:10" ht="15.75" customHeight="1">
      <c r="A293" s="78"/>
      <c r="B293" s="78"/>
      <c r="C293" s="78"/>
      <c r="D293" s="79"/>
      <c r="E293" s="80"/>
      <c r="F293" s="78"/>
      <c r="G293" s="78"/>
      <c r="H293" s="78"/>
      <c r="I293" s="78"/>
      <c r="J293" s="78"/>
    </row>
    <row r="294" spans="1:10" ht="15.75" customHeight="1">
      <c r="A294" s="78"/>
      <c r="B294" s="78"/>
      <c r="C294" s="78"/>
      <c r="D294" s="79"/>
      <c r="E294" s="80"/>
      <c r="F294" s="78"/>
      <c r="G294" s="78"/>
      <c r="H294" s="78"/>
      <c r="I294" s="78"/>
      <c r="J294" s="78"/>
    </row>
    <row r="295" spans="1:10" ht="15.75" customHeight="1">
      <c r="A295" s="78"/>
      <c r="B295" s="78"/>
      <c r="C295" s="78"/>
      <c r="D295" s="79"/>
      <c r="E295" s="80"/>
      <c r="F295" s="78"/>
      <c r="G295" s="78"/>
      <c r="H295" s="78"/>
      <c r="I295" s="78"/>
      <c r="J295" s="78"/>
    </row>
    <row r="296" spans="1:10" ht="15.75" customHeight="1">
      <c r="A296" s="78"/>
      <c r="B296" s="78"/>
      <c r="C296" s="78"/>
      <c r="D296" s="79"/>
      <c r="E296" s="80"/>
      <c r="F296" s="78"/>
      <c r="G296" s="78"/>
      <c r="H296" s="78"/>
      <c r="I296" s="78"/>
      <c r="J296" s="78"/>
    </row>
    <row r="297" spans="1:10" ht="15.75" customHeight="1">
      <c r="A297" s="78"/>
      <c r="B297" s="78"/>
      <c r="C297" s="78"/>
      <c r="D297" s="79"/>
      <c r="E297" s="80"/>
      <c r="F297" s="78"/>
      <c r="G297" s="78"/>
      <c r="H297" s="78"/>
      <c r="I297" s="78"/>
      <c r="J297" s="78"/>
    </row>
    <row r="298" spans="1:10" ht="15.75" customHeight="1">
      <c r="A298" s="78"/>
      <c r="B298" s="78"/>
      <c r="C298" s="78"/>
      <c r="D298" s="79"/>
      <c r="E298" s="80"/>
      <c r="F298" s="78"/>
      <c r="G298" s="78"/>
      <c r="H298" s="78"/>
      <c r="I298" s="78"/>
      <c r="J298" s="78"/>
    </row>
    <row r="299" spans="1:10" ht="15.75" customHeight="1">
      <c r="A299" s="78"/>
      <c r="B299" s="78"/>
      <c r="C299" s="78"/>
      <c r="D299" s="79"/>
      <c r="E299" s="80"/>
      <c r="F299" s="78"/>
      <c r="G299" s="78"/>
      <c r="H299" s="78"/>
      <c r="I299" s="78"/>
      <c r="J299" s="78"/>
    </row>
    <row r="300" spans="1:10" ht="15.75" customHeight="1">
      <c r="A300" s="78"/>
      <c r="B300" s="78"/>
      <c r="C300" s="78"/>
      <c r="D300" s="79"/>
      <c r="E300" s="80"/>
      <c r="F300" s="78"/>
      <c r="G300" s="78"/>
      <c r="H300" s="78"/>
      <c r="I300" s="78"/>
      <c r="J300" s="78"/>
    </row>
    <row r="301" spans="1:10" ht="15.75" customHeight="1">
      <c r="A301" s="78"/>
      <c r="B301" s="78"/>
      <c r="C301" s="78"/>
      <c r="D301" s="79"/>
      <c r="E301" s="80"/>
      <c r="F301" s="78"/>
      <c r="G301" s="78"/>
      <c r="H301" s="78"/>
      <c r="I301" s="78"/>
      <c r="J301" s="78"/>
    </row>
    <row r="302" spans="1:10" ht="15.75" customHeight="1"/>
    <row r="303" spans="1:10" ht="15.75" customHeight="1"/>
    <row r="304" spans="1:10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N1"/>
    <mergeCell ref="B57:B80"/>
    <mergeCell ref="B81:B10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s8</vt:lpstr>
      <vt:lpstr>Robin version</vt:lpstr>
      <vt:lpstr>Exemple de Ilona (onemorebookwo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tool</cp:lastModifiedBy>
  <dcterms:created xsi:type="dcterms:W3CDTF">2021-11-11T16:53:59Z</dcterms:created>
  <dcterms:modified xsi:type="dcterms:W3CDTF">2026-02-09T15:17:51Z</dcterms:modified>
</cp:coreProperties>
</file>