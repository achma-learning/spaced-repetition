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Review Tracker" sheetId="1" state="visible" r:id="rId3"/>
    <sheet name="📚 To Study Today" sheetId="2" state="visible" r:id="rId4"/>
    <sheet name="🔴 Must Complete" sheetId="3" state="visible" r:id="rId5"/>
    <sheet name="📊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<sst xmlns="http://schemas.openxmlformats.org/spreadsheetml/2006/main" count="72" uniqueCount="64">
  <si>
    <t xml:space="preserve">REVIEW TRACKER - Add Your Lessons Here</t>
  </si>
  <si>
    <t xml:space="preserve">HOW TO USE: 1) Enter lesson details (columns A-D)  2) Enter first study date in column E  3) As you complete reviews, enter dates in columns F-L</t>
  </si>
  <si>
    <t xml:space="preserve">Category</t>
  </si>
  <si>
    <t xml:space="preserve">Sub-category</t>
  </si>
  <si>
    <t xml:space="preserve">Lesson Name</t>
  </si>
  <si>
    <t xml:space="preserve">Notes</t>
  </si>
  <si>
    <t xml:space="preserve">J0 (First)</t>
  </si>
  <si>
    <t xml:space="preserve">J1 (+1d)</t>
  </si>
  <si>
    <t xml:space="preserve">J3 (+3d)</t>
  </si>
  <si>
    <t xml:space="preserve">J7 (+7d)</t>
  </si>
  <si>
    <t xml:space="preserve">J15 (+15d)</t>
  </si>
  <si>
    <t xml:space="preserve">J30 (+30d)</t>
  </si>
  <si>
    <t xml:space="preserve">J60 (+60d)</t>
  </si>
  <si>
    <t xml:space="preserve">J90 (+90d)</t>
  </si>
  <si>
    <t xml:space="preserve">Next Review</t>
  </si>
  <si>
    <t xml:space="preserve">Days Until</t>
  </si>
  <si>
    <t xml:space="preserve">Status</t>
  </si>
  <si>
    <t xml:space="preserve">Anatomy</t>
  </si>
  <si>
    <t xml:space="preserve">Cardiology</t>
  </si>
  <si>
    <t xml:space="preserve">Heart structure</t>
  </si>
  <si>
    <t xml:space="preserve">Chambers &amp; valves</t>
  </si>
  <si>
    <t xml:space="preserve">Microbiology</t>
  </si>
  <si>
    <t xml:space="preserve">Virology</t>
  </si>
  <si>
    <t xml:space="preserve">Viral replication</t>
  </si>
  <si>
    <t xml:space="preserve">DNA vs RNA</t>
  </si>
  <si>
    <t xml:space="preserve">Pharmacology</t>
  </si>
  <si>
    <t xml:space="preserve">CNS</t>
  </si>
  <si>
    <t xml:space="preserve">Benzodiazepines</t>
  </si>
  <si>
    <t xml:space="preserve">GABA mechanism</t>
  </si>
  <si>
    <t xml:space="preserve">📚 LESSONS TO STUDY TODAY</t>
  </si>
  <si>
    <t xml:space="preserve">Today:</t>
  </si>
  <si>
    <t xml:space="preserve">Due/Overdue Count:</t>
  </si>
  <si>
    <t xml:space="preserve">✏️ Mark lessons as "✅ Done" in column I, then COPY the date from column H and PASTE it into the correct review column in the Review Tracker sheet</t>
  </si>
  <si>
    <t xml:space="preserve">#</t>
  </si>
  <si>
    <t xml:space="preserve">Lesson</t>
  </si>
  <si>
    <t xml:space="preserve">Scheduled</t>
  </si>
  <si>
    <t xml:space="preserve">Days Late</t>
  </si>
  <si>
    <t xml:space="preserve">Review Type</t>
  </si>
  <si>
    <t xml:space="preserve">Priority</t>
  </si>
  <si>
    <t xml:space="preserve">Enter Date</t>
  </si>
  <si>
    <t xml:space="preserve">Mark Done</t>
  </si>
  <si>
    <t xml:space="preserve">🔴 OVERDUE - ACTION REQUIRED!</t>
  </si>
  <si>
    <t xml:space="preserve">Total Overdue:</t>
  </si>
  <si>
    <t xml:space="preserve">⚠️ These reviews are PAST DUE. Study them immediately! Then enter today's date in the Review Tracker.</t>
  </si>
  <si>
    <t xml:space="preserve">Was Due</t>
  </si>
  <si>
    <t xml:space="preserve">📊 YOUR STUDY DASHBOARD</t>
  </si>
  <si>
    <t xml:space="preserve">STUDY STATUS</t>
  </si>
  <si>
    <t xml:space="preserve">🔴 OVERDUE:</t>
  </si>
  <si>
    <t xml:space="preserve">🟡 DUE TODAY:</t>
  </si>
  <si>
    <t xml:space="preserve">🟠 DUE SOON (≤3 days):</t>
  </si>
  <si>
    <t xml:space="preserve">🟢 LATER:</t>
  </si>
  <si>
    <t xml:space="preserve">✅ COMPLETED:</t>
  </si>
  <si>
    <t xml:space="preserve">📚 TOTAL ACTIVE:</t>
  </si>
  <si>
    <t xml:space="preserve">🎯 DAILY WORKFLOW</t>
  </si>
  <si>
    <t xml:space="preserve">1️⃣ Check your stats above</t>
  </si>
  <si>
    <t xml:space="preserve">2️⃣ Go to "📚 To Study Today"</t>
  </si>
  <si>
    <t xml:space="preserve">3️⃣ Study each lesson listed</t>
  </si>
  <si>
    <t xml:space="preserve">4️⃣ Mark as "✅ Done" in column I</t>
  </si>
  <si>
    <t xml:space="preserve">5️⃣ COPY the date from column H</t>
  </si>
  <si>
    <t xml:space="preserve">6️⃣ Go to "📖 Review Tracker"</t>
  </si>
  <si>
    <t xml:space="preserve">7️⃣ Find that row number</t>
  </si>
  <si>
    <t xml:space="preserve">8️⃣ PASTE date in the correct review column</t>
  </si>
  <si>
    <t xml:space="preserve">   (Column shown in "Review Type")</t>
  </si>
  <si>
    <t xml:space="preserve">9️⃣ Sheet auto-updates!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</si>
</sst>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9"/>
      <color rgb="FF0066CC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8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C00000"/>
      <name val="Cambria"/>
      <family val="0"/>
      <charset val="1"/>
    </font>
    <font>
      <b val="true"/>
      <i val="true"/>
      <sz val="9"/>
      <color rgb="FF0066CC"/>
      <name val="Cambria"/>
      <family val="0"/>
      <charset val="1"/>
    </font>
    <font>
      <b val="true"/>
      <sz val="14"/>
      <color rgb="FFC00000"/>
      <name val="Cambria"/>
      <family val="0"/>
      <charset val="1"/>
    </font>
    <font>
      <b val="true"/>
      <i val="true"/>
      <sz val="9"/>
      <color rgb="FFC00000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3"/>
      <color rgb="FFC00000"/>
      <name val="Cambria"/>
      <family val="0"/>
      <charset val="1"/>
    </font>
    <font>
      <b val="true"/>
      <sz val="13"/>
      <color rgb="FFFF6600"/>
      <name val="Cambria"/>
      <family val="0"/>
      <charset val="1"/>
    </font>
    <font>
      <b val="true"/>
      <sz val="13"/>
      <color rgb="FFFF9900"/>
      <name val="Cambria"/>
      <family val="0"/>
      <charset val="1"/>
    </font>
    <font>
      <b val="true"/>
      <sz val="13"/>
      <color rgb="FF00B050"/>
      <name val="Cambria"/>
      <family val="0"/>
      <charset val="1"/>
    </font>
    <font>
      <b val="true"/>
      <sz val="13"/>
      <color rgb="FF000000"/>
      <name val="Cambria"/>
      <family val="0"/>
      <charset val="1"/>
    </font>
    <font>
      <b val="true"/>
      <u val="single"/>
      <sz val="13"/>
      <color rgb="FF1F4788"/>
      <name val="Cambria"/>
      <family val="0"/>
      <charset val="1"/>
    </font>
    <font>
      <sz val="1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788"/>
        <bgColor rgb="FF366092"/>
      </patternFill>
    </fill>
    <fill>
      <patternFill patternType="solid">
        <fgColor rgb="FF366092"/>
        <bgColor rgb="FF1F4788"/>
      </patternFill>
    </fill>
    <fill>
      <patternFill patternType="solid">
        <fgColor rgb="FFFF6600"/>
        <bgColor rgb="FFFF9900"/>
      </patternFill>
    </fill>
    <fill>
      <patternFill patternType="solid">
        <fgColor rgb="FFC0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00B050"/>
      <rgbColor rgb="FF003300"/>
      <rgbColor rgb="FF333300"/>
      <rgbColor rgb="FF993300"/>
      <rgbColor rgb="FF993366"/>
      <rgbColor rgb="FF1F47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12" min="5" style="1" width="11"/>
    <col collapsed="false" customWidth="true" hidden="false" outlineLevel="0" max="13" min="13" style="1" width="12"/>
    <col collapsed="false" customWidth="true" hidden="false" outlineLevel="0" max="14" min="14" style="1" width="10"/>
    <col collapsed="false" customWidth="true" hidden="false" outlineLevel="0" max="15" min="15" style="1" width="13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4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</row>
    <row r="4" customFormat="false" ht="15" hidden="false" customHeight="true" outlineLevel="0" collapsed="false">
      <c r="A4" s="1" t="s">
        <v>17</v>
      </c>
      <c r="B4" s="1" t="s">
        <v>18</v>
      </c>
      <c r="C4" s="1" t="s">
        <v>19</v>
      </c>
      <c r="D4" s="1" t="s">
        <v>20</v>
      </c>
      <c r="E4" s="5" t="n">
        <v>46037</v>
      </c>
      <c r="F4" s="5" t="n">
        <v>46038</v>
      </c>
      <c r="G4" s="5" t="n">
        <v>46041</v>
      </c>
      <c r="H4" s="5" t="n">
        <f aca="false">IF(OR(E4="",G4=""),"",MAX(E4,F4,G4)+7)</f>
        <v>46048</v>
      </c>
      <c r="I4" s="5" t="n">
        <f aca="false">IF(OR(E4="",H4=""),"",MAX(E4,F4,G4,H4)+15)</f>
        <v>46063</v>
      </c>
      <c r="J4" s="5" t="n">
        <f aca="false">IF(OR(E4="",I4=""),"",MAX(E4,F4,G4,H4,I4)+30)</f>
        <v>46093</v>
      </c>
      <c r="K4" s="5" t="n">
        <f aca="false">IF(OR(E4="",J4=""),"",MAX(E4,F4,G4,H4,I4,J4)+60)</f>
        <v>46153</v>
      </c>
      <c r="L4" s="5" t="n">
        <f aca="false">IF(OR(E4="",K4=""),"",MAX(E4,F4,G4,H4,I4,J4,K4)+90)</f>
        <v>46243</v>
      </c>
      <c r="M4" s="5" t="str">
        <f aca="false">IF(E4="","",IF(F4="",F4,IF(G4="",G4,IF(H4="",H4,IF(I4="",I4,IF(J4="",J4,IF(K4="",K4,IF(L4="",L4,"DONE"))))))))</f>
        <v>DONE</v>
      </c>
      <c r="N4" s="1" t="str">
        <f aca="true">IF(OR(E4="",M4="DONE"),"",M4-TODAY())</f>
        <v/>
      </c>
      <c r="O4" s="1" t="str">
        <f aca="false">IF(E4="","",IF(M4="DONE","✅ Complete",IF(N4&lt;0,"🔴 OVERDUE",IF(N4=0,"🟡 TODAY",IF(N4&lt;=3,"🟠 SOON","🟢 Later")))))</f>
        <v>✅ Complete</v>
      </c>
    </row>
    <row r="5" customFormat="false" ht="15" hidden="false" customHeight="true" outlineLevel="0" collapsed="false">
      <c r="A5" s="1" t="s">
        <v>21</v>
      </c>
      <c r="B5" s="1" t="s">
        <v>22</v>
      </c>
      <c r="C5" s="1" t="s">
        <v>23</v>
      </c>
      <c r="D5" s="1" t="s">
        <v>24</v>
      </c>
      <c r="E5" s="5" t="n">
        <v>46042</v>
      </c>
      <c r="F5" s="5" t="n">
        <f aca="false">IF(E5="","",E5+1)</f>
        <v>46043</v>
      </c>
      <c r="G5" s="5" t="n">
        <f aca="false">IF(OR(E5="",F5=""),"",MAX(E5,F5)+3)</f>
        <v>46046</v>
      </c>
      <c r="H5" s="5" t="n">
        <f aca="false">IF(OR(E5="",G5=""),"",MAX(E5,F5,G5)+7)</f>
        <v>46053</v>
      </c>
      <c r="I5" s="5" t="n">
        <f aca="false">IF(OR(E5="",H5=""),"",MAX(E5,F5,G5,H5)+15)</f>
        <v>46068</v>
      </c>
      <c r="J5" s="5" t="n">
        <f aca="false">IF(OR(E5="",I5=""),"",MAX(E5,F5,G5,H5,I5)+30)</f>
        <v>46098</v>
      </c>
      <c r="K5" s="5" t="n">
        <f aca="false">IF(OR(E5="",J5=""),"",MAX(E5,F5,G5,H5,I5,J5)+60)</f>
        <v>46158</v>
      </c>
      <c r="L5" s="5" t="n">
        <f aca="false">IF(OR(E5="",K5=""),"",MAX(E5,F5,G5,H5,I5,J5,K5)+90)</f>
        <v>46248</v>
      </c>
      <c r="M5" s="5" t="str">
        <f aca="false">IF(E5="","",IF(F5="",F5,IF(G5="",G5,IF(H5="",H5,IF(I5="",I5,IF(J5="",J5,IF(K5="",K5,IF(L5="",L5,"DONE"))))))))</f>
        <v>DONE</v>
      </c>
      <c r="N5" s="1" t="str">
        <f aca="true">IF(OR(E5="",M5="DONE"),"",M5-TODAY())</f>
        <v/>
      </c>
      <c r="O5" s="1" t="str">
        <f aca="false">IF(E5="","",IF(M5="DONE","✅ Complete",IF(N5&lt;0,"🔴 OVERDUE",IF(N5=0,"🟡 TODAY",IF(N5&lt;=3,"🟠 SOON","🟢 Later")))))</f>
        <v>✅ Complete</v>
      </c>
    </row>
    <row r="6" customFormat="false" ht="15" hidden="false" customHeight="true" outlineLevel="0" collapsed="false">
      <c r="A6" s="1" t="s">
        <v>25</v>
      </c>
      <c r="B6" s="1" t="s">
        <v>26</v>
      </c>
      <c r="C6" s="1" t="s">
        <v>27</v>
      </c>
      <c r="D6" s="1" t="s">
        <v>28</v>
      </c>
      <c r="E6" s="5" t="n">
        <v>46054</v>
      </c>
      <c r="F6" s="5" t="n">
        <f aca="false">IF(E6="","",E6+1)</f>
        <v>46055</v>
      </c>
      <c r="G6" s="5" t="n">
        <f aca="false">IF(OR(E6="",F6=""),"",MAX(E6,F6)+3)</f>
        <v>46058</v>
      </c>
      <c r="H6" s="5" t="n">
        <f aca="false">IF(OR(E6="",G6=""),"",MAX(E6,F6,G6)+7)</f>
        <v>46065</v>
      </c>
      <c r="I6" s="5" t="n">
        <f aca="false">IF(OR(E6="",H6=""),"",MAX(E6,F6,G6,H6)+15)</f>
        <v>46080</v>
      </c>
      <c r="J6" s="5" t="n">
        <f aca="false">IF(OR(E6="",I6=""),"",MAX(E6,F6,G6,H6,I6)+30)</f>
        <v>46110</v>
      </c>
      <c r="K6" s="5" t="n">
        <f aca="false">IF(OR(E6="",J6=""),"",MAX(E6,F6,G6,H6,I6,J6)+60)</f>
        <v>46170</v>
      </c>
      <c r="L6" s="5" t="n">
        <f aca="false">IF(OR(E6="",K6=""),"",MAX(E6,F6,G6,H6,I6,J6,K6)+90)</f>
        <v>46260</v>
      </c>
      <c r="M6" s="5" t="str">
        <f aca="false">IF(E6="","",IF(F6="",F6,IF(G6="",G6,IF(H6="",H6,IF(I6="",I6,IF(J6="",J6,IF(K6="",K6,IF(L6="",L6,"DONE"))))))))</f>
        <v>DONE</v>
      </c>
      <c r="N6" s="1" t="str">
        <f aca="true">IF(OR(E6="",M6="DONE"),"",M6-TODAY())</f>
        <v/>
      </c>
      <c r="O6" s="1" t="str">
        <f aca="false">IF(E6="","",IF(M6="DONE","✅ Complete",IF(N6&lt;0,"🔴 OVERDUE",IF(N6=0,"🟡 TODAY",IF(N6&lt;=3,"🟠 SOON","🟢 Later")))))</f>
        <v>✅ Complete</v>
      </c>
    </row>
    <row r="7" customFormat="false" ht="15" hidden="false" customHeight="true" outlineLevel="0" collapsed="false">
      <c r="E7" s="5"/>
      <c r="F7" s="5" t="str">
        <f aca="false">IF(E7="","",E7+1)</f>
        <v/>
      </c>
      <c r="G7" s="5" t="str">
        <f aca="false">IF(OR(E7="",F7=""),"",MAX(E7,F7)+3)</f>
        <v/>
      </c>
      <c r="H7" s="5" t="str">
        <f aca="false">IF(OR(E7="",G7=""),"",MAX(E7,F7,G7)+7)</f>
        <v/>
      </c>
      <c r="I7" s="5" t="str">
        <f aca="false">IF(OR(E7="",H7=""),"",MAX(E7,F7,G7,H7)+15)</f>
        <v/>
      </c>
      <c r="J7" s="5" t="str">
        <f aca="false">IF(OR(E7="",I7=""),"",MAX(E7,F7,G7,H7,I7)+30)</f>
        <v/>
      </c>
      <c r="K7" s="5" t="str">
        <f aca="false">IF(OR(E7="",J7=""),"",MAX(E7,F7,G7,H7,I7,J7)+60)</f>
        <v/>
      </c>
      <c r="L7" s="5" t="str">
        <f aca="false">IF(OR(E7="",K7=""),"",MAX(E7,F7,G7,H7,I7,J7,K7)+90)</f>
        <v/>
      </c>
      <c r="M7" s="5" t="str">
        <f aca="false">IF(E7="","",IF(F7="",F7,IF(G7="",G7,IF(H7="",H7,IF(I7="",I7,IF(J7="",J7,IF(K7="",K7,IF(L7="",L7,"DONE"))))))))</f>
        <v/>
      </c>
      <c r="N7" s="1" t="str">
        <f aca="true">IF(OR(E7="",M7="DONE"),"",M7-TODAY())</f>
        <v/>
      </c>
      <c r="O7" s="1" t="str">
        <f aca="false">IF(E7="","",IF(M7="DONE","✅ Complete",IF(N7&lt;0,"🔴 OVERDUE",IF(N7=0,"🟡 TODAY",IF(N7&lt;=3,"🟠 SOON","🟢 Later")))))</f>
        <v/>
      </c>
    </row>
    <row r="8" customFormat="false" ht="15" hidden="false" customHeight="true" outlineLevel="0" collapsed="false">
      <c r="E8" s="5"/>
      <c r="F8" s="5" t="str">
        <f aca="false">IF(E8="","",E8+1)</f>
        <v/>
      </c>
      <c r="G8" s="5" t="str">
        <f aca="false">IF(OR(E8="",F8=""),"",MAX(E8,F8)+3)</f>
        <v/>
      </c>
      <c r="H8" s="5" t="str">
        <f aca="false">IF(OR(E8="",G8=""),"",MAX(E8,F8,G8)+7)</f>
        <v/>
      </c>
      <c r="I8" s="5" t="str">
        <f aca="false">IF(OR(E8="",H8=""),"",MAX(E8,F8,G8,H8)+15)</f>
        <v/>
      </c>
      <c r="J8" s="5" t="str">
        <f aca="false">IF(OR(E8="",I8=""),"",MAX(E8,F8,G8,H8,I8)+30)</f>
        <v/>
      </c>
      <c r="K8" s="5" t="str">
        <f aca="false">IF(OR(E8="",J8=""),"",MAX(E8,F8,G8,H8,I8,J8)+60)</f>
        <v/>
      </c>
      <c r="L8" s="5" t="str">
        <f aca="false">IF(OR(E8="",K8=""),"",MAX(E8,F8,G8,H8,I8,J8,K8)+90)</f>
        <v/>
      </c>
      <c r="M8" s="5" t="str">
        <f aca="false">IF(E8="","",IF(F8="",F8,IF(G8="",G8,IF(H8="",H8,IF(I8="",I8,IF(J8="",J8,IF(K8="",K8,IF(L8="",L8,"DONE"))))))))</f>
        <v/>
      </c>
      <c r="N8" s="1" t="str">
        <f aca="true">IF(OR(E8="",M8="DONE"),"",M8-TODAY())</f>
        <v/>
      </c>
      <c r="O8" s="1" t="str">
        <f aca="false">IF(E8="","",IF(M8="DONE","✅ Complete",IF(N8&lt;0,"🔴 OVERDUE",IF(N8=0,"🟡 TODAY",IF(N8&lt;=3,"🟠 SOON","🟢 Later")))))</f>
        <v/>
      </c>
    </row>
    <row r="9" customFormat="false" ht="15" hidden="false" customHeight="true" outlineLevel="0" collapsed="false">
      <c r="E9" s="5"/>
      <c r="F9" s="5" t="str">
        <f aca="false">IF(E9="","",E9+1)</f>
        <v/>
      </c>
      <c r="G9" s="5" t="str">
        <f aca="false">IF(OR(E9="",F9=""),"",MAX(E9,F9)+3)</f>
        <v/>
      </c>
      <c r="H9" s="5" t="str">
        <f aca="false">IF(OR(E9="",G9=""),"",MAX(E9,F9,G9)+7)</f>
        <v/>
      </c>
      <c r="I9" s="5" t="str">
        <f aca="false">IF(OR(E9="",H9=""),"",MAX(E9,F9,G9,H9)+15)</f>
        <v/>
      </c>
      <c r="J9" s="5" t="str">
        <f aca="false">IF(OR(E9="",I9=""),"",MAX(E9,F9,G9,H9,I9)+30)</f>
        <v/>
      </c>
      <c r="K9" s="5" t="str">
        <f aca="false">IF(OR(E9="",J9=""),"",MAX(E9,F9,G9,H9,I9,J9)+60)</f>
        <v/>
      </c>
      <c r="L9" s="5" t="str">
        <f aca="false">IF(OR(E9="",K9=""),"",MAX(E9,F9,G9,H9,I9,J9,K9)+90)</f>
        <v/>
      </c>
      <c r="M9" s="5" t="str">
        <f aca="false">IF(E9="","",IF(F9="",F9,IF(G9="",G9,IF(H9="",H9,IF(I9="",I9,IF(J9="",J9,IF(K9="",K9,IF(L9="",L9,"DONE"))))))))</f>
        <v/>
      </c>
      <c r="N9" s="1" t="str">
        <f aca="true">IF(OR(E9="",M9="DONE"),"",M9-TODAY())</f>
        <v/>
      </c>
      <c r="O9" s="1" t="str">
        <f aca="false">IF(E9="","",IF(M9="DONE","✅ Complete",IF(N9&lt;0,"🔴 OVERDUE",IF(N9=0,"🟡 TODAY",IF(N9&lt;=3,"🟠 SOON","🟢 Later")))))</f>
        <v/>
      </c>
    </row>
    <row r="10" customFormat="false" ht="15" hidden="false" customHeight="true" outlineLevel="0" collapsed="false">
      <c r="E10" s="5"/>
      <c r="F10" s="5" t="str">
        <f aca="false">IF(E10="","",E10+1)</f>
        <v/>
      </c>
      <c r="G10" s="5" t="str">
        <f aca="false">IF(OR(E10="",F10=""),"",MAX(E10,F10)+3)</f>
        <v/>
      </c>
      <c r="H10" s="5" t="str">
        <f aca="false">IF(OR(E10="",G10=""),"",MAX(E10,F10,G10)+7)</f>
        <v/>
      </c>
      <c r="I10" s="5" t="str">
        <f aca="false">IF(OR(E10="",H10=""),"",MAX(E10,F10,G10,H10)+15)</f>
        <v/>
      </c>
      <c r="J10" s="5" t="str">
        <f aca="false">IF(OR(E10="",I10=""),"",MAX(E10,F10,G10,H10,I10)+30)</f>
        <v/>
      </c>
      <c r="K10" s="5" t="str">
        <f aca="false">IF(OR(E10="",J10=""),"",MAX(E10,F10,G10,H10,I10,J10)+60)</f>
        <v/>
      </c>
      <c r="L10" s="5" t="str">
        <f aca="false">IF(OR(E10="",K10=""),"",MAX(E10,F10,G10,H10,I10,J10,K10)+90)</f>
        <v/>
      </c>
      <c r="M10" s="5" t="str">
        <f aca="false">IF(E10="","",IF(F10="",F10,IF(G10="",G10,IF(H10="",H10,IF(I10="",I10,IF(J10="",J10,IF(K10="",K10,IF(L10="",L10,"DONE"))))))))</f>
        <v/>
      </c>
      <c r="N10" s="1" t="str">
        <f aca="true">IF(OR(E10="",M10="DONE"),"",M10-TODAY())</f>
        <v/>
      </c>
      <c r="O10" s="1" t="str">
        <f aca="false">IF(E10="","",IF(M10="DONE","✅ Complete",IF(N10&lt;0,"🔴 OVERDUE",IF(N10=0,"🟡 TODAY",IF(N10&lt;=3,"🟠 SOON","🟢 Later")))))</f>
        <v/>
      </c>
    </row>
    <row r="11" customFormat="false" ht="15" hidden="false" customHeight="true" outlineLevel="0" collapsed="false">
      <c r="E11" s="5"/>
      <c r="F11" s="5" t="str">
        <f aca="false">IF(E11="","",E11+1)</f>
        <v/>
      </c>
      <c r="G11" s="5" t="str">
        <f aca="false">IF(OR(E11="",F11=""),"",MAX(E11,F11)+3)</f>
        <v/>
      </c>
      <c r="H11" s="5" t="str">
        <f aca="false">IF(OR(E11="",G11=""),"",MAX(E11,F11,G11)+7)</f>
        <v/>
      </c>
      <c r="I11" s="5" t="str">
        <f aca="false">IF(OR(E11="",H11=""),"",MAX(E11,F11,G11,H11)+15)</f>
        <v/>
      </c>
      <c r="J11" s="5" t="str">
        <f aca="false">IF(OR(E11="",I11=""),"",MAX(E11,F11,G11,H11,I11)+30)</f>
        <v/>
      </c>
      <c r="K11" s="5" t="str">
        <f aca="false">IF(OR(E11="",J11=""),"",MAX(E11,F11,G11,H11,I11,J11)+60)</f>
        <v/>
      </c>
      <c r="L11" s="5" t="str">
        <f aca="false">IF(OR(E11="",K11=""),"",MAX(E11,F11,G11,H11,I11,J11,K11)+90)</f>
        <v/>
      </c>
      <c r="M11" s="5" t="str">
        <f aca="false">IF(E11="","",IF(F11="",F11,IF(G11="",G11,IF(H11="",H11,IF(I11="",I11,IF(J11="",J11,IF(K11="",K11,IF(L11="",L11,"DONE"))))))))</f>
        <v/>
      </c>
      <c r="N11" s="1" t="str">
        <f aca="true">IF(OR(E11="",M11="DONE"),"",M11-TODAY())</f>
        <v/>
      </c>
      <c r="O11" s="1" t="str">
        <f aca="false">IF(E11="","",IF(M11="DONE","✅ Complete",IF(N11&lt;0,"🔴 OVERDUE",IF(N11=0,"🟡 TODAY",IF(N11&lt;=3,"🟠 SOON","🟢 Later")))))</f>
        <v/>
      </c>
    </row>
    <row r="12" customFormat="false" ht="15" hidden="false" customHeight="true" outlineLevel="0" collapsed="false">
      <c r="E12" s="5"/>
      <c r="F12" s="5" t="str">
        <f aca="false">IF(E12="","",E12+1)</f>
        <v/>
      </c>
      <c r="G12" s="5" t="str">
        <f aca="false">IF(OR(E12="",F12=""),"",MAX(E12,F12)+3)</f>
        <v/>
      </c>
      <c r="H12" s="5" t="str">
        <f aca="false">IF(OR(E12="",G12=""),"",MAX(E12,F12,G12)+7)</f>
        <v/>
      </c>
      <c r="I12" s="5" t="str">
        <f aca="false">IF(OR(E12="",H12=""),"",MAX(E12,F12,G12,H12)+15)</f>
        <v/>
      </c>
      <c r="J12" s="5" t="str">
        <f aca="false">IF(OR(E12="",I12=""),"",MAX(E12,F12,G12,H12,I12)+30)</f>
        <v/>
      </c>
      <c r="K12" s="5" t="str">
        <f aca="false">IF(OR(E12="",J12=""),"",MAX(E12,F12,G12,H12,I12,J12)+60)</f>
        <v/>
      </c>
      <c r="L12" s="5" t="str">
        <f aca="false">IF(OR(E12="",K12=""),"",MAX(E12,F12,G12,H12,I12,J12,K12)+90)</f>
        <v/>
      </c>
      <c r="M12" s="5" t="str">
        <f aca="false">IF(E12="","",IF(F12="",F12,IF(G12="",G12,IF(H12="",H12,IF(I12="",I12,IF(J12="",J12,IF(K12="",K12,IF(L12="",L12,"DONE"))))))))</f>
        <v/>
      </c>
      <c r="N12" s="1" t="str">
        <f aca="true">IF(OR(E12="",M12="DONE"),"",M12-TODAY())</f>
        <v/>
      </c>
      <c r="O12" s="1" t="str">
        <f aca="false">IF(E12="","",IF(M12="DONE","✅ Complete",IF(N12&lt;0,"🔴 OVERDUE",IF(N12=0,"🟡 TODAY",IF(N12&lt;=3,"🟠 SOON","🟢 Later")))))</f>
        <v/>
      </c>
    </row>
    <row r="13" customFormat="false" ht="15" hidden="false" customHeight="true" outlineLevel="0" collapsed="false">
      <c r="E13" s="5"/>
      <c r="F13" s="5" t="str">
        <f aca="false">IF(E13="","",E13+1)</f>
        <v/>
      </c>
      <c r="G13" s="5" t="str">
        <f aca="false">IF(OR(E13="",F13=""),"",MAX(E13,F13)+3)</f>
        <v/>
      </c>
      <c r="H13" s="5" t="str">
        <f aca="false">IF(OR(E13="",G13=""),"",MAX(E13,F13,G13)+7)</f>
        <v/>
      </c>
      <c r="I13" s="5" t="str">
        <f aca="false">IF(OR(E13="",H13=""),"",MAX(E13,F13,G13,H13)+15)</f>
        <v/>
      </c>
      <c r="J13" s="5" t="str">
        <f aca="false">IF(OR(E13="",I13=""),"",MAX(E13,F13,G13,H13,I13)+30)</f>
        <v/>
      </c>
      <c r="K13" s="5" t="str">
        <f aca="false">IF(OR(E13="",J13=""),"",MAX(E13,F13,G13,H13,I13,J13)+60)</f>
        <v/>
      </c>
      <c r="L13" s="5" t="str">
        <f aca="false">IF(OR(E13="",K13=""),"",MAX(E13,F13,G13,H13,I13,J13,K13)+90)</f>
        <v/>
      </c>
      <c r="M13" s="5" t="str">
        <f aca="false">IF(E13="","",IF(F13="",F13,IF(G13="",G13,IF(H13="",H13,IF(I13="",I13,IF(J13="",J13,IF(K13="",K13,IF(L13="",L13,"DONE"))))))))</f>
        <v/>
      </c>
      <c r="N13" s="1" t="str">
        <f aca="true">IF(OR(E13="",M13="DONE"),"",M13-TODAY())</f>
        <v/>
      </c>
      <c r="O13" s="1" t="str">
        <f aca="false">IF(E13="","",IF(M13="DONE","✅ Complete",IF(N13&lt;0,"🔴 OVERDUE",IF(N13=0,"🟡 TODAY",IF(N13&lt;=3,"🟠 SOON","🟢 Later")))))</f>
        <v/>
      </c>
    </row>
    <row r="14" customFormat="false" ht="15" hidden="false" customHeight="true" outlineLevel="0" collapsed="false">
      <c r="E14" s="5"/>
      <c r="F14" s="5" t="str">
        <f aca="false">IF(E14="","",E14+1)</f>
        <v/>
      </c>
      <c r="G14" s="5" t="str">
        <f aca="false">IF(OR(E14="",F14=""),"",MAX(E14,F14)+3)</f>
        <v/>
      </c>
      <c r="H14" s="5" t="str">
        <f aca="false">IF(OR(E14="",G14=""),"",MAX(E14,F14,G14)+7)</f>
        <v/>
      </c>
      <c r="I14" s="5" t="str">
        <f aca="false">IF(OR(E14="",H14=""),"",MAX(E14,F14,G14,H14)+15)</f>
        <v/>
      </c>
      <c r="J14" s="5" t="str">
        <f aca="false">IF(OR(E14="",I14=""),"",MAX(E14,F14,G14,H14,I14)+30)</f>
        <v/>
      </c>
      <c r="K14" s="5" t="str">
        <f aca="false">IF(OR(E14="",J14=""),"",MAX(E14,F14,G14,H14,I14,J14)+60)</f>
        <v/>
      </c>
      <c r="L14" s="5" t="str">
        <f aca="false">IF(OR(E14="",K14=""),"",MAX(E14,F14,G14,H14,I14,J14,K14)+90)</f>
        <v/>
      </c>
      <c r="M14" s="5" t="str">
        <f aca="false">IF(E14="","",IF(F14="",F14,IF(G14="",G14,IF(H14="",H14,IF(I14="",I14,IF(J14="",J14,IF(K14="",K14,IF(L14="",L14,"DONE"))))))))</f>
        <v/>
      </c>
      <c r="N14" s="1" t="str">
        <f aca="true">IF(OR(E14="",M14="DONE"),"",M14-TODAY())</f>
        <v/>
      </c>
      <c r="O14" s="1" t="str">
        <f aca="false">IF(E14="","",IF(M14="DONE","✅ Complete",IF(N14&lt;0,"🔴 OVERDUE",IF(N14=0,"🟡 TODAY",IF(N14&lt;=3,"🟠 SOON","🟢 Later")))))</f>
        <v/>
      </c>
    </row>
    <row r="15" customFormat="false" ht="15" hidden="false" customHeight="true" outlineLevel="0" collapsed="false">
      <c r="E15" s="5"/>
      <c r="F15" s="5" t="str">
        <f aca="false">IF(E15="","",E15+1)</f>
        <v/>
      </c>
      <c r="G15" s="5" t="str">
        <f aca="false">IF(OR(E15="",F15=""),"",MAX(E15,F15)+3)</f>
        <v/>
      </c>
      <c r="H15" s="5" t="str">
        <f aca="false">IF(OR(E15="",G15=""),"",MAX(E15,F15,G15)+7)</f>
        <v/>
      </c>
      <c r="I15" s="5" t="str">
        <f aca="false">IF(OR(E15="",H15=""),"",MAX(E15,F15,G15,H15)+15)</f>
        <v/>
      </c>
      <c r="J15" s="5" t="str">
        <f aca="false">IF(OR(E15="",I15=""),"",MAX(E15,F15,G15,H15,I15)+30)</f>
        <v/>
      </c>
      <c r="K15" s="5" t="str">
        <f aca="false">IF(OR(E15="",J15=""),"",MAX(E15,F15,G15,H15,I15,J15)+60)</f>
        <v/>
      </c>
      <c r="L15" s="5" t="str">
        <f aca="false">IF(OR(E15="",K15=""),"",MAX(E15,F15,G15,H15,I15,J15,K15)+90)</f>
        <v/>
      </c>
      <c r="M15" s="5" t="str">
        <f aca="false">IF(E15="","",IF(F15="",F15,IF(G15="",G15,IF(H15="",H15,IF(I15="",I15,IF(J15="",J15,IF(K15="",K15,IF(L15="",L15,"DONE"))))))))</f>
        <v/>
      </c>
      <c r="N15" s="1" t="str">
        <f aca="true">IF(OR(E15="",M15="DONE"),"",M15-TODAY())</f>
        <v/>
      </c>
      <c r="O15" s="1" t="str">
        <f aca="false">IF(E15="","",IF(M15="DONE","✅ Complete",IF(N15&lt;0,"🔴 OVERDUE",IF(N15=0,"🟡 TODAY",IF(N15&lt;=3,"🟠 SOON","🟢 Later")))))</f>
        <v/>
      </c>
    </row>
    <row r="16" customFormat="false" ht="15" hidden="false" customHeight="true" outlineLevel="0" collapsed="false">
      <c r="E16" s="5"/>
      <c r="F16" s="5" t="str">
        <f aca="false">IF(E16="","",E16+1)</f>
        <v/>
      </c>
      <c r="G16" s="5" t="str">
        <f aca="false">IF(OR(E16="",F16=""),"",MAX(E16,F16)+3)</f>
        <v/>
      </c>
      <c r="H16" s="5" t="str">
        <f aca="false">IF(OR(E16="",G16=""),"",MAX(E16,F16,G16)+7)</f>
        <v/>
      </c>
      <c r="I16" s="5" t="str">
        <f aca="false">IF(OR(E16="",H16=""),"",MAX(E16,F16,G16,H16)+15)</f>
        <v/>
      </c>
      <c r="J16" s="5" t="str">
        <f aca="false">IF(OR(E16="",I16=""),"",MAX(E16,F16,G16,H16,I16)+30)</f>
        <v/>
      </c>
      <c r="K16" s="5" t="str">
        <f aca="false">IF(OR(E16="",J16=""),"",MAX(E16,F16,G16,H16,I16,J16)+60)</f>
        <v/>
      </c>
      <c r="L16" s="5" t="str">
        <f aca="false">IF(OR(E16="",K16=""),"",MAX(E16,F16,G16,H16,I16,J16,K16)+90)</f>
        <v/>
      </c>
      <c r="M16" s="5" t="str">
        <f aca="false">IF(E16="","",IF(F16="",F16,IF(G16="",G16,IF(H16="",H16,IF(I16="",I16,IF(J16="",J16,IF(K16="",K16,IF(L16="",L16,"DONE"))))))))</f>
        <v/>
      </c>
      <c r="N16" s="1" t="str">
        <f aca="true">IF(OR(E16="",M16="DONE"),"",M16-TODAY())</f>
        <v/>
      </c>
      <c r="O16" s="1" t="str">
        <f aca="false">IF(E16="","",IF(M16="DONE","✅ Complete",IF(N16&lt;0,"🔴 OVERDUE",IF(N16=0,"🟡 TODAY",IF(N16&lt;=3,"🟠 SOON","🟢 Later")))))</f>
        <v/>
      </c>
    </row>
    <row r="17" customFormat="false" ht="15" hidden="false" customHeight="true" outlineLevel="0" collapsed="false">
      <c r="E17" s="5"/>
      <c r="F17" s="5" t="str">
        <f aca="false">IF(E17="","",E17+1)</f>
        <v/>
      </c>
      <c r="G17" s="5" t="str">
        <f aca="false">IF(OR(E17="",F17=""),"",MAX(E17,F17)+3)</f>
        <v/>
      </c>
      <c r="H17" s="5" t="str">
        <f aca="false">IF(OR(E17="",G17=""),"",MAX(E17,F17,G17)+7)</f>
        <v/>
      </c>
      <c r="I17" s="5" t="str">
        <f aca="false">IF(OR(E17="",H17=""),"",MAX(E17,F17,G17,H17)+15)</f>
        <v/>
      </c>
      <c r="J17" s="5" t="str">
        <f aca="false">IF(OR(E17="",I17=""),"",MAX(E17,F17,G17,H17,I17)+30)</f>
        <v/>
      </c>
      <c r="K17" s="5" t="str">
        <f aca="false">IF(OR(E17="",J17=""),"",MAX(E17,F17,G17,H17,I17,J17)+60)</f>
        <v/>
      </c>
      <c r="L17" s="5" t="str">
        <f aca="false">IF(OR(E17="",K17=""),"",MAX(E17,F17,G17,H17,I17,J17,K17)+90)</f>
        <v/>
      </c>
      <c r="M17" s="5" t="str">
        <f aca="false">IF(E17="","",IF(F17="",F17,IF(G17="",G17,IF(H17="",H17,IF(I17="",I17,IF(J17="",J17,IF(K17="",K17,IF(L17="",L17,"DONE"))))))))</f>
        <v/>
      </c>
      <c r="N17" s="1" t="str">
        <f aca="true">IF(OR(E17="",M17="DONE"),"",M17-TODAY())</f>
        <v/>
      </c>
      <c r="O17" s="1" t="str">
        <f aca="false">IF(E17="","",IF(M17="DONE","✅ Complete",IF(N17&lt;0,"🔴 OVERDUE",IF(N17=0,"🟡 TODAY",IF(N17&lt;=3,"🟠 SOON","🟢 Later")))))</f>
        <v/>
      </c>
    </row>
    <row r="18" customFormat="false" ht="15" hidden="false" customHeight="true" outlineLevel="0" collapsed="false">
      <c r="E18" s="5"/>
      <c r="F18" s="5" t="str">
        <f aca="false">IF(E18="","",E18+1)</f>
        <v/>
      </c>
      <c r="G18" s="5" t="str">
        <f aca="false">IF(OR(E18="",F18=""),"",MAX(E18,F18)+3)</f>
        <v/>
      </c>
      <c r="H18" s="5" t="str">
        <f aca="false">IF(OR(E18="",G18=""),"",MAX(E18,F18,G18)+7)</f>
        <v/>
      </c>
      <c r="I18" s="5" t="str">
        <f aca="false">IF(OR(E18="",H18=""),"",MAX(E18,F18,G18,H18)+15)</f>
        <v/>
      </c>
      <c r="J18" s="5" t="str">
        <f aca="false">IF(OR(E18="",I18=""),"",MAX(E18,F18,G18,H18,I18)+30)</f>
        <v/>
      </c>
      <c r="K18" s="5" t="str">
        <f aca="false">IF(OR(E18="",J18=""),"",MAX(E18,F18,G18,H18,I18,J18)+60)</f>
        <v/>
      </c>
      <c r="L18" s="5" t="str">
        <f aca="false">IF(OR(E18="",K18=""),"",MAX(E18,F18,G18,H18,I18,J18,K18)+90)</f>
        <v/>
      </c>
      <c r="M18" s="5" t="str">
        <f aca="false">IF(E18="","",IF(F18="",F18,IF(G18="",G18,IF(H18="",H18,IF(I18="",I18,IF(J18="",J18,IF(K18="",K18,IF(L18="",L18,"DONE"))))))))</f>
        <v/>
      </c>
      <c r="N18" s="1" t="str">
        <f aca="true">IF(OR(E18="",M18="DONE"),"",M18-TODAY())</f>
        <v/>
      </c>
      <c r="O18" s="1" t="str">
        <f aca="false">IF(E18="","",IF(M18="DONE","✅ Complete",IF(N18&lt;0,"🔴 OVERDUE",IF(N18=0,"🟡 TODAY",IF(N18&lt;=3,"🟠 SOON","🟢 Later")))))</f>
        <v/>
      </c>
    </row>
    <row r="19" customFormat="false" ht="15" hidden="false" customHeight="true" outlineLevel="0" collapsed="false">
      <c r="E19" s="5"/>
      <c r="F19" s="5" t="str">
        <f aca="false">IF(E19="","",E19+1)</f>
        <v/>
      </c>
      <c r="G19" s="5" t="str">
        <f aca="false">IF(OR(E19="",F19=""),"",MAX(E19,F19)+3)</f>
        <v/>
      </c>
      <c r="H19" s="5" t="str">
        <f aca="false">IF(OR(E19="",G19=""),"",MAX(E19,F19,G19)+7)</f>
        <v/>
      </c>
      <c r="I19" s="5" t="str">
        <f aca="false">IF(OR(E19="",H19=""),"",MAX(E19,F19,G19,H19)+15)</f>
        <v/>
      </c>
      <c r="J19" s="5" t="str">
        <f aca="false">IF(OR(E19="",I19=""),"",MAX(E19,F19,G19,H19,I19)+30)</f>
        <v/>
      </c>
      <c r="K19" s="5" t="str">
        <f aca="false">IF(OR(E19="",J19=""),"",MAX(E19,F19,G19,H19,I19,J19)+60)</f>
        <v/>
      </c>
      <c r="L19" s="5" t="str">
        <f aca="false">IF(OR(E19="",K19=""),"",MAX(E19,F19,G19,H19,I19,J19,K19)+90)</f>
        <v/>
      </c>
      <c r="M19" s="5" t="str">
        <f aca="false">IF(E19="","",IF(F19="",F19,IF(G19="",G19,IF(H19="",H19,IF(I19="",I19,IF(J19="",J19,IF(K19="",K19,IF(L19="",L19,"DONE"))))))))</f>
        <v/>
      </c>
      <c r="N19" s="1" t="str">
        <f aca="true">IF(OR(E19="",M19="DONE"),"",M19-TODAY())</f>
        <v/>
      </c>
      <c r="O19" s="1" t="str">
        <f aca="false">IF(E19="","",IF(M19="DONE","✅ Complete",IF(N19&lt;0,"🔴 OVERDUE",IF(N19=0,"🟡 TODAY",IF(N19&lt;=3,"🟠 SOON","🟢 Later")))))</f>
        <v/>
      </c>
    </row>
    <row r="20" customFormat="false" ht="15" hidden="false" customHeight="true" outlineLevel="0" collapsed="false">
      <c r="E20" s="5"/>
      <c r="F20" s="5" t="str">
        <f aca="false">IF(E20="","",E20+1)</f>
        <v/>
      </c>
      <c r="G20" s="5" t="str">
        <f aca="false">IF(OR(E20="",F20=""),"",MAX(E20,F20)+3)</f>
        <v/>
      </c>
      <c r="H20" s="5" t="str">
        <f aca="false">IF(OR(E20="",G20=""),"",MAX(E20,F20,G20)+7)</f>
        <v/>
      </c>
      <c r="I20" s="5" t="str">
        <f aca="false">IF(OR(E20="",H20=""),"",MAX(E20,F20,G20,H20)+15)</f>
        <v/>
      </c>
      <c r="J20" s="5" t="str">
        <f aca="false">IF(OR(E20="",I20=""),"",MAX(E20,F20,G20,H20,I20)+30)</f>
        <v/>
      </c>
      <c r="K20" s="5" t="str">
        <f aca="false">IF(OR(E20="",J20=""),"",MAX(E20,F20,G20,H20,I20,J20)+60)</f>
        <v/>
      </c>
      <c r="L20" s="5" t="str">
        <f aca="false">IF(OR(E20="",K20=""),"",MAX(E20,F20,G20,H20,I20,J20,K20)+90)</f>
        <v/>
      </c>
      <c r="M20" s="5" t="str">
        <f aca="false">IF(E20="","",IF(F20="",F20,IF(G20="",G20,IF(H20="",H20,IF(I20="",I20,IF(J20="",J20,IF(K20="",K20,IF(L20="",L20,"DONE"))))))))</f>
        <v/>
      </c>
      <c r="N20" s="1" t="str">
        <f aca="true">IF(OR(E20="",M20="DONE"),"",M20-TODAY())</f>
        <v/>
      </c>
      <c r="O20" s="1" t="str">
        <f aca="false">IF(E20="","",IF(M20="DONE","✅ Complete",IF(N20&lt;0,"🔴 OVERDUE",IF(N20=0,"🟡 TODAY",IF(N20&lt;=3,"🟠 SOON","🟢 Later")))))</f>
        <v/>
      </c>
    </row>
    <row r="21" customFormat="false" ht="15" hidden="false" customHeight="true" outlineLevel="0" collapsed="false">
      <c r="E21" s="5"/>
      <c r="F21" s="5" t="str">
        <f aca="false">IF(E21="","",E21+1)</f>
        <v/>
      </c>
      <c r="G21" s="5" t="str">
        <f aca="false">IF(OR(E21="",F21=""),"",MAX(E21,F21)+3)</f>
        <v/>
      </c>
      <c r="H21" s="5" t="str">
        <f aca="false">IF(OR(E21="",G21=""),"",MAX(E21,F21,G21)+7)</f>
        <v/>
      </c>
      <c r="I21" s="5" t="str">
        <f aca="false">IF(OR(E21="",H21=""),"",MAX(E21,F21,G21,H21)+15)</f>
        <v/>
      </c>
      <c r="J21" s="5" t="str">
        <f aca="false">IF(OR(E21="",I21=""),"",MAX(E21,F21,G21,H21,I21)+30)</f>
        <v/>
      </c>
      <c r="K21" s="5" t="str">
        <f aca="false">IF(OR(E21="",J21=""),"",MAX(E21,F21,G21,H21,I21,J21)+60)</f>
        <v/>
      </c>
      <c r="L21" s="5" t="str">
        <f aca="false">IF(OR(E21="",K21=""),"",MAX(E21,F21,G21,H21,I21,J21,K21)+90)</f>
        <v/>
      </c>
      <c r="M21" s="5" t="str">
        <f aca="false">IF(E21="","",IF(F21="",F21,IF(G21="",G21,IF(H21="",H21,IF(I21="",I21,IF(J21="",J21,IF(K21="",K21,IF(L21="",L21,"DONE"))))))))</f>
        <v/>
      </c>
      <c r="N21" s="1" t="str">
        <f aca="true">IF(OR(E21="",M21="DONE"),"",M21-TODAY())</f>
        <v/>
      </c>
      <c r="O21" s="1" t="str">
        <f aca="false">IF(E21="","",IF(M21="DONE","✅ Complete",IF(N21&lt;0,"🔴 OVERDUE",IF(N21=0,"🟡 TODAY",IF(N21&lt;=3,"🟠 SOON","🟢 Later")))))</f>
        <v/>
      </c>
    </row>
    <row r="22" customFormat="false" ht="15" hidden="false" customHeight="true" outlineLevel="0" collapsed="false">
      <c r="E22" s="5"/>
      <c r="F22" s="5" t="str">
        <f aca="false">IF(E22="","",E22+1)</f>
        <v/>
      </c>
      <c r="G22" s="5" t="str">
        <f aca="false">IF(OR(E22="",F22=""),"",MAX(E22,F22)+3)</f>
        <v/>
      </c>
      <c r="H22" s="5" t="str">
        <f aca="false">IF(OR(E22="",G22=""),"",MAX(E22,F22,G22)+7)</f>
        <v/>
      </c>
      <c r="I22" s="5" t="str">
        <f aca="false">IF(OR(E22="",H22=""),"",MAX(E22,F22,G22,H22)+15)</f>
        <v/>
      </c>
      <c r="J22" s="5" t="str">
        <f aca="false">IF(OR(E22="",I22=""),"",MAX(E22,F22,G22,H22,I22)+30)</f>
        <v/>
      </c>
      <c r="K22" s="5" t="str">
        <f aca="false">IF(OR(E22="",J22=""),"",MAX(E22,F22,G22,H22,I22,J22)+60)</f>
        <v/>
      </c>
      <c r="L22" s="5" t="str">
        <f aca="false">IF(OR(E22="",K22=""),"",MAX(E22,F22,G22,H22,I22,J22,K22)+90)</f>
        <v/>
      </c>
      <c r="M22" s="5" t="str">
        <f aca="false">IF(E22="","",IF(F22="",F22,IF(G22="",G22,IF(H22="",H22,IF(I22="",I22,IF(J22="",J22,IF(K22="",K22,IF(L22="",L22,"DONE"))))))))</f>
        <v/>
      </c>
      <c r="N22" s="1" t="str">
        <f aca="true">IF(OR(E22="",M22="DONE"),"",M22-TODAY())</f>
        <v/>
      </c>
      <c r="O22" s="1" t="str">
        <f aca="false">IF(E22="","",IF(M22="DONE","✅ Complete",IF(N22&lt;0,"🔴 OVERDUE",IF(N22=0,"🟡 TODAY",IF(N22&lt;=3,"🟠 SOON","🟢 Later")))))</f>
        <v/>
      </c>
    </row>
    <row r="23" customFormat="false" ht="15" hidden="false" customHeight="true" outlineLevel="0" collapsed="false">
      <c r="E23" s="5"/>
      <c r="F23" s="5" t="str">
        <f aca="false">IF(E23="","",E23+1)</f>
        <v/>
      </c>
      <c r="G23" s="5" t="str">
        <f aca="false">IF(OR(E23="",F23=""),"",MAX(E23,F23)+3)</f>
        <v/>
      </c>
      <c r="H23" s="5" t="str">
        <f aca="false">IF(OR(E23="",G23=""),"",MAX(E23,F23,G23)+7)</f>
        <v/>
      </c>
      <c r="I23" s="5" t="str">
        <f aca="false">IF(OR(E23="",H23=""),"",MAX(E23,F23,G23,H23)+15)</f>
        <v/>
      </c>
      <c r="J23" s="5" t="str">
        <f aca="false">IF(OR(E23="",I23=""),"",MAX(E23,F23,G23,H23,I23)+30)</f>
        <v/>
      </c>
      <c r="K23" s="5" t="str">
        <f aca="false">IF(OR(E23="",J23=""),"",MAX(E23,F23,G23,H23,I23,J23)+60)</f>
        <v/>
      </c>
      <c r="L23" s="5" t="str">
        <f aca="false">IF(OR(E23="",K23=""),"",MAX(E23,F23,G23,H23,I23,J23,K23)+90)</f>
        <v/>
      </c>
      <c r="M23" s="5" t="str">
        <f aca="false">IF(E23="","",IF(F23="",F23,IF(G23="",G23,IF(H23="",H23,IF(I23="",I23,IF(J23="",J23,IF(K23="",K23,IF(L23="",L23,"DONE"))))))))</f>
        <v/>
      </c>
      <c r="N23" s="1" t="str">
        <f aca="true">IF(OR(E23="",M23="DONE"),"",M23-TODAY())</f>
        <v/>
      </c>
      <c r="O23" s="1" t="str">
        <f aca="false">IF(E23="","",IF(M23="DONE","✅ Complete",IF(N23&lt;0,"🔴 OVERDUE",IF(N23=0,"🟡 TODAY",IF(N23&lt;=3,"🟠 SOON","🟢 Later")))))</f>
        <v/>
      </c>
    </row>
    <row r="24" customFormat="false" ht="15" hidden="false" customHeight="true" outlineLevel="0" collapsed="false">
      <c r="E24" s="5"/>
      <c r="F24" s="5" t="str">
        <f aca="false">IF(E24="","",E24+1)</f>
        <v/>
      </c>
      <c r="G24" s="5" t="str">
        <f aca="false">IF(OR(E24="",F24=""),"",MAX(E24,F24)+3)</f>
        <v/>
      </c>
      <c r="H24" s="5" t="str">
        <f aca="false">IF(OR(E24="",G24=""),"",MAX(E24,F24,G24)+7)</f>
        <v/>
      </c>
      <c r="I24" s="5" t="str">
        <f aca="false">IF(OR(E24="",H24=""),"",MAX(E24,F24,G24,H24)+15)</f>
        <v/>
      </c>
      <c r="J24" s="5" t="str">
        <f aca="false">IF(OR(E24="",I24=""),"",MAX(E24,F24,G24,H24,I24)+30)</f>
        <v/>
      </c>
      <c r="K24" s="5" t="str">
        <f aca="false">IF(OR(E24="",J24=""),"",MAX(E24,F24,G24,H24,I24,J24)+60)</f>
        <v/>
      </c>
      <c r="L24" s="5" t="str">
        <f aca="false">IF(OR(E24="",K24=""),"",MAX(E24,F24,G24,H24,I24,J24,K24)+90)</f>
        <v/>
      </c>
      <c r="M24" s="5" t="str">
        <f aca="false">IF(E24="","",IF(F24="",F24,IF(G24="",G24,IF(H24="",H24,IF(I24="",I24,IF(J24="",J24,IF(K24="",K24,IF(L24="",L24,"DONE"))))))))</f>
        <v/>
      </c>
      <c r="N24" s="1" t="str">
        <f aca="true">IF(OR(E24="",M24="DONE"),"",M24-TODAY())</f>
        <v/>
      </c>
      <c r="O24" s="1" t="str">
        <f aca="false">IF(E24="","",IF(M24="DONE","✅ Complete",IF(N24&lt;0,"🔴 OVERDUE",IF(N24=0,"🟡 TODAY",IF(N24&lt;=3,"🟠 SOON","🟢 Later")))))</f>
        <v/>
      </c>
    </row>
    <row r="25" customFormat="false" ht="15" hidden="false" customHeight="true" outlineLevel="0" collapsed="false">
      <c r="E25" s="5"/>
      <c r="F25" s="5" t="str">
        <f aca="false">IF(E25="","",E25+1)</f>
        <v/>
      </c>
      <c r="G25" s="5" t="str">
        <f aca="false">IF(OR(E25="",F25=""),"",MAX(E25,F25)+3)</f>
        <v/>
      </c>
      <c r="H25" s="5" t="str">
        <f aca="false">IF(OR(E25="",G25=""),"",MAX(E25,F25,G25)+7)</f>
        <v/>
      </c>
      <c r="I25" s="5" t="str">
        <f aca="false">IF(OR(E25="",H25=""),"",MAX(E25,F25,G25,H25)+15)</f>
        <v/>
      </c>
      <c r="J25" s="5" t="str">
        <f aca="false">IF(OR(E25="",I25=""),"",MAX(E25,F25,G25,H25,I25)+30)</f>
        <v/>
      </c>
      <c r="K25" s="5" t="str">
        <f aca="false">IF(OR(E25="",J25=""),"",MAX(E25,F25,G25,H25,I25,J25)+60)</f>
        <v/>
      </c>
      <c r="L25" s="5" t="str">
        <f aca="false">IF(OR(E25="",K25=""),"",MAX(E25,F25,G25,H25,I25,J25,K25)+90)</f>
        <v/>
      </c>
      <c r="M25" s="5" t="str">
        <f aca="false">IF(E25="","",IF(F25="",F25,IF(G25="",G25,IF(H25="",H25,IF(I25="",I25,IF(J25="",J25,IF(K25="",K25,IF(L25="",L25,"DONE"))))))))</f>
        <v/>
      </c>
      <c r="N25" s="1" t="str">
        <f aca="true">IF(OR(E25="",M25="DONE"),"",M25-TODAY())</f>
        <v/>
      </c>
      <c r="O25" s="1" t="str">
        <f aca="false">IF(E25="","",IF(M25="DONE","✅ Complete",IF(N25&lt;0,"🔴 OVERDUE",IF(N25=0,"🟡 TODAY",IF(N25&lt;=3,"🟠 SOON","🟢 Later")))))</f>
        <v/>
      </c>
    </row>
    <row r="26" customFormat="false" ht="15" hidden="false" customHeight="true" outlineLevel="0" collapsed="false">
      <c r="E26" s="5"/>
      <c r="F26" s="5" t="str">
        <f aca="false">IF(E26="","",E26+1)</f>
        <v/>
      </c>
      <c r="G26" s="5" t="str">
        <f aca="false">IF(OR(E26="",F26=""),"",MAX(E26,F26)+3)</f>
        <v/>
      </c>
      <c r="H26" s="5" t="str">
        <f aca="false">IF(OR(E26="",G26=""),"",MAX(E26,F26,G26)+7)</f>
        <v/>
      </c>
      <c r="I26" s="5" t="str">
        <f aca="false">IF(OR(E26="",H26=""),"",MAX(E26,F26,G26,H26)+15)</f>
        <v/>
      </c>
      <c r="J26" s="5" t="str">
        <f aca="false">IF(OR(E26="",I26=""),"",MAX(E26,F26,G26,H26,I26)+30)</f>
        <v/>
      </c>
      <c r="K26" s="5" t="str">
        <f aca="false">IF(OR(E26="",J26=""),"",MAX(E26,F26,G26,H26,I26,J26)+60)</f>
        <v/>
      </c>
      <c r="L26" s="5" t="str">
        <f aca="false">IF(OR(E26="",K26=""),"",MAX(E26,F26,G26,H26,I26,J26,K26)+90)</f>
        <v/>
      </c>
      <c r="M26" s="5" t="str">
        <f aca="false">IF(E26="","",IF(F26="",F26,IF(G26="",G26,IF(H26="",H26,IF(I26="",I26,IF(J26="",J26,IF(K26="",K26,IF(L26="",L26,"DONE"))))))))</f>
        <v/>
      </c>
      <c r="N26" s="1" t="str">
        <f aca="true">IF(OR(E26="",M26="DONE"),"",M26-TODAY())</f>
        <v/>
      </c>
      <c r="O26" s="1" t="str">
        <f aca="false">IF(E26="","",IF(M26="DONE","✅ Complete",IF(N26&lt;0,"🔴 OVERDUE",IF(N26=0,"🟡 TODAY",IF(N26&lt;=3,"🟠 SOON","🟢 Later")))))</f>
        <v/>
      </c>
    </row>
    <row r="27" customFormat="false" ht="15" hidden="false" customHeight="true" outlineLevel="0" collapsed="false">
      <c r="E27" s="5"/>
      <c r="F27" s="5" t="str">
        <f aca="false">IF(E27="","",E27+1)</f>
        <v/>
      </c>
      <c r="G27" s="5" t="str">
        <f aca="false">IF(OR(E27="",F27=""),"",MAX(E27,F27)+3)</f>
        <v/>
      </c>
      <c r="H27" s="5" t="str">
        <f aca="false">IF(OR(E27="",G27=""),"",MAX(E27,F27,G27)+7)</f>
        <v/>
      </c>
      <c r="I27" s="5" t="str">
        <f aca="false">IF(OR(E27="",H27=""),"",MAX(E27,F27,G27,H27)+15)</f>
        <v/>
      </c>
      <c r="J27" s="5" t="str">
        <f aca="false">IF(OR(E27="",I27=""),"",MAX(E27,F27,G27,H27,I27)+30)</f>
        <v/>
      </c>
      <c r="K27" s="5" t="str">
        <f aca="false">IF(OR(E27="",J27=""),"",MAX(E27,F27,G27,H27,I27,J27)+60)</f>
        <v/>
      </c>
      <c r="L27" s="5" t="str">
        <f aca="false">IF(OR(E27="",K27=""),"",MAX(E27,F27,G27,H27,I27,J27,K27)+90)</f>
        <v/>
      </c>
      <c r="M27" s="5" t="str">
        <f aca="false">IF(E27="","",IF(F27="",F27,IF(G27="",G27,IF(H27="",H27,IF(I27="",I27,IF(J27="",J27,IF(K27="",K27,IF(L27="",L27,"DONE"))))))))</f>
        <v/>
      </c>
      <c r="N27" s="1" t="str">
        <f aca="true">IF(OR(E27="",M27="DONE"),"",M27-TODAY())</f>
        <v/>
      </c>
      <c r="O27" s="1" t="str">
        <f aca="false">IF(E27="","",IF(M27="DONE","✅ Complete",IF(N27&lt;0,"🔴 OVERDUE",IF(N27=0,"🟡 TODAY",IF(N27&lt;=3,"🟠 SOON","🟢 Later")))))</f>
        <v/>
      </c>
    </row>
    <row r="28" customFormat="false" ht="15" hidden="false" customHeight="true" outlineLevel="0" collapsed="false">
      <c r="E28" s="5"/>
      <c r="F28" s="5" t="str">
        <f aca="false">IF(E28="","",E28+1)</f>
        <v/>
      </c>
      <c r="G28" s="5" t="str">
        <f aca="false">IF(OR(E28="",F28=""),"",MAX(E28,F28)+3)</f>
        <v/>
      </c>
      <c r="H28" s="5" t="str">
        <f aca="false">IF(OR(E28="",G28=""),"",MAX(E28,F28,G28)+7)</f>
        <v/>
      </c>
      <c r="I28" s="5" t="str">
        <f aca="false">IF(OR(E28="",H28=""),"",MAX(E28,F28,G28,H28)+15)</f>
        <v/>
      </c>
      <c r="J28" s="5" t="str">
        <f aca="false">IF(OR(E28="",I28=""),"",MAX(E28,F28,G28,H28,I28)+30)</f>
        <v/>
      </c>
      <c r="K28" s="5" t="str">
        <f aca="false">IF(OR(E28="",J28=""),"",MAX(E28,F28,G28,H28,I28,J28)+60)</f>
        <v/>
      </c>
      <c r="L28" s="5" t="str">
        <f aca="false">IF(OR(E28="",K28=""),"",MAX(E28,F28,G28,H28,I28,J28,K28)+90)</f>
        <v/>
      </c>
      <c r="M28" s="5" t="str">
        <f aca="false">IF(E28="","",IF(F28="",F28,IF(G28="",G28,IF(H28="",H28,IF(I28="",I28,IF(J28="",J28,IF(K28="",K28,IF(L28="",L28,"DONE"))))))))</f>
        <v/>
      </c>
      <c r="N28" s="1" t="str">
        <f aca="true">IF(OR(E28="",M28="DONE"),"",M28-TODAY())</f>
        <v/>
      </c>
      <c r="O28" s="1" t="str">
        <f aca="false">IF(E28="","",IF(M28="DONE","✅ Complete",IF(N28&lt;0,"🔴 OVERDUE",IF(N28=0,"🟡 TODAY",IF(N28&lt;=3,"🟠 SOON","🟢 Later")))))</f>
        <v/>
      </c>
    </row>
    <row r="29" customFormat="false" ht="15" hidden="false" customHeight="true" outlineLevel="0" collapsed="false">
      <c r="E29" s="5"/>
      <c r="F29" s="5" t="str">
        <f aca="false">IF(E29="","",E29+1)</f>
        <v/>
      </c>
      <c r="G29" s="5" t="str">
        <f aca="false">IF(OR(E29="",F29=""),"",MAX(E29,F29)+3)</f>
        <v/>
      </c>
      <c r="H29" s="5" t="str">
        <f aca="false">IF(OR(E29="",G29=""),"",MAX(E29,F29,G29)+7)</f>
        <v/>
      </c>
      <c r="I29" s="5" t="str">
        <f aca="false">IF(OR(E29="",H29=""),"",MAX(E29,F29,G29,H29)+15)</f>
        <v/>
      </c>
      <c r="J29" s="5" t="str">
        <f aca="false">IF(OR(E29="",I29=""),"",MAX(E29,F29,G29,H29,I29)+30)</f>
        <v/>
      </c>
      <c r="K29" s="5" t="str">
        <f aca="false">IF(OR(E29="",J29=""),"",MAX(E29,F29,G29,H29,I29,J29)+60)</f>
        <v/>
      </c>
      <c r="L29" s="5" t="str">
        <f aca="false">IF(OR(E29="",K29=""),"",MAX(E29,F29,G29,H29,I29,J29,K29)+90)</f>
        <v/>
      </c>
      <c r="M29" s="5" t="str">
        <f aca="false">IF(E29="","",IF(F29="",F29,IF(G29="",G29,IF(H29="",H29,IF(I29="",I29,IF(J29="",J29,IF(K29="",K29,IF(L29="",L29,"DONE"))))))))</f>
        <v/>
      </c>
      <c r="N29" s="1" t="str">
        <f aca="true">IF(OR(E29="",M29="DONE"),"",M29-TODAY())</f>
        <v/>
      </c>
      <c r="O29" s="1" t="str">
        <f aca="false">IF(E29="","",IF(M29="DONE","✅ Complete",IF(N29&lt;0,"🔴 OVERDUE",IF(N29=0,"🟡 TODAY",IF(N29&lt;=3,"🟠 SOON","🟢 Later")))))</f>
        <v/>
      </c>
    </row>
    <row r="30" customFormat="false" ht="15" hidden="false" customHeight="true" outlineLevel="0" collapsed="false">
      <c r="E30" s="5"/>
      <c r="F30" s="5" t="str">
        <f aca="false">IF(E30="","",E30+1)</f>
        <v/>
      </c>
      <c r="G30" s="5" t="str">
        <f aca="false">IF(OR(E30="",F30=""),"",MAX(E30,F30)+3)</f>
        <v/>
      </c>
      <c r="H30" s="5" t="str">
        <f aca="false">IF(OR(E30="",G30=""),"",MAX(E30,F30,G30)+7)</f>
        <v/>
      </c>
      <c r="I30" s="5" t="str">
        <f aca="false">IF(OR(E30="",H30=""),"",MAX(E30,F30,G30,H30)+15)</f>
        <v/>
      </c>
      <c r="J30" s="5" t="str">
        <f aca="false">IF(OR(E30="",I30=""),"",MAX(E30,F30,G30,H30,I30)+30)</f>
        <v/>
      </c>
      <c r="K30" s="5" t="str">
        <f aca="false">IF(OR(E30="",J30=""),"",MAX(E30,F30,G30,H30,I30,J30)+60)</f>
        <v/>
      </c>
      <c r="L30" s="5" t="str">
        <f aca="false">IF(OR(E30="",K30=""),"",MAX(E30,F30,G30,H30,I30,J30,K30)+90)</f>
        <v/>
      </c>
      <c r="M30" s="5" t="str">
        <f aca="false">IF(E30="","",IF(F30="",F30,IF(G30="",G30,IF(H30="",H30,IF(I30="",I30,IF(J30="",J30,IF(K30="",K30,IF(L30="",L30,"DONE"))))))))</f>
        <v/>
      </c>
      <c r="N30" s="1" t="str">
        <f aca="true">IF(OR(E30="",M30="DONE"),"",M30-TODAY())</f>
        <v/>
      </c>
      <c r="O30" s="1" t="str">
        <f aca="false">IF(E30="","",IF(M30="DONE","✅ Complete",IF(N30&lt;0,"🔴 OVERDUE",IF(N30=0,"🟡 TODAY",IF(N30&lt;=3,"🟠 SOON","🟢 Later")))))</f>
        <v/>
      </c>
    </row>
    <row r="31" customFormat="false" ht="15" hidden="false" customHeight="true" outlineLevel="0" collapsed="false">
      <c r="E31" s="5"/>
      <c r="F31" s="5" t="str">
        <f aca="false">IF(E31="","",E31+1)</f>
        <v/>
      </c>
      <c r="G31" s="5" t="str">
        <f aca="false">IF(OR(E31="",F31=""),"",MAX(E31,F31)+3)</f>
        <v/>
      </c>
      <c r="H31" s="5" t="str">
        <f aca="false">IF(OR(E31="",G31=""),"",MAX(E31,F31,G31)+7)</f>
        <v/>
      </c>
      <c r="I31" s="5" t="str">
        <f aca="false">IF(OR(E31="",H31=""),"",MAX(E31,F31,G31,H31)+15)</f>
        <v/>
      </c>
      <c r="J31" s="5" t="str">
        <f aca="false">IF(OR(E31="",I31=""),"",MAX(E31,F31,G31,H31,I31)+30)</f>
        <v/>
      </c>
      <c r="K31" s="5" t="str">
        <f aca="false">IF(OR(E31="",J31=""),"",MAX(E31,F31,G31,H31,I31,J31)+60)</f>
        <v/>
      </c>
      <c r="L31" s="5" t="str">
        <f aca="false">IF(OR(E31="",K31=""),"",MAX(E31,F31,G31,H31,I31,J31,K31)+90)</f>
        <v/>
      </c>
      <c r="M31" s="5" t="str">
        <f aca="false">IF(E31="","",IF(F31="",F31,IF(G31="",G31,IF(H31="",H31,IF(I31="",I31,IF(J31="",J31,IF(K31="",K31,IF(L31="",L31,"DONE"))))))))</f>
        <v/>
      </c>
      <c r="N31" s="1" t="str">
        <f aca="true">IF(OR(E31="",M31="DONE"),"",M31-TODAY())</f>
        <v/>
      </c>
      <c r="O31" s="1" t="str">
        <f aca="false">IF(E31="","",IF(M31="DONE","✅ Complete",IF(N31&lt;0,"🔴 OVERDUE",IF(N31=0,"🟡 TODAY",IF(N31&lt;=3,"🟠 SOON","🟢 Later")))))</f>
        <v/>
      </c>
    </row>
    <row r="32" customFormat="false" ht="15" hidden="false" customHeight="true" outlineLevel="0" collapsed="false">
      <c r="E32" s="5"/>
      <c r="F32" s="5" t="str">
        <f aca="false">IF(E32="","",E32+1)</f>
        <v/>
      </c>
      <c r="G32" s="5" t="str">
        <f aca="false">IF(OR(E32="",F32=""),"",MAX(E32,F32)+3)</f>
        <v/>
      </c>
      <c r="H32" s="5" t="str">
        <f aca="false">IF(OR(E32="",G32=""),"",MAX(E32,F32,G32)+7)</f>
        <v/>
      </c>
      <c r="I32" s="5" t="str">
        <f aca="false">IF(OR(E32="",H32=""),"",MAX(E32,F32,G32,H32)+15)</f>
        <v/>
      </c>
      <c r="J32" s="5" t="str">
        <f aca="false">IF(OR(E32="",I32=""),"",MAX(E32,F32,G32,H32,I32)+30)</f>
        <v/>
      </c>
      <c r="K32" s="5" t="str">
        <f aca="false">IF(OR(E32="",J32=""),"",MAX(E32,F32,G32,H32,I32,J32)+60)</f>
        <v/>
      </c>
      <c r="L32" s="5" t="str">
        <f aca="false">IF(OR(E32="",K32=""),"",MAX(E32,F32,G32,H32,I32,J32,K32)+90)</f>
        <v/>
      </c>
      <c r="M32" s="5" t="str">
        <f aca="false">IF(E32="","",IF(F32="",F32,IF(G32="",G32,IF(H32="",H32,IF(I32="",I32,IF(J32="",J32,IF(K32="",K32,IF(L32="",L32,"DONE"))))))))</f>
        <v/>
      </c>
      <c r="N32" s="1" t="str">
        <f aca="true">IF(OR(E32="",M32="DONE"),"",M32-TODAY())</f>
        <v/>
      </c>
      <c r="O32" s="1" t="str">
        <f aca="false">IF(E32="","",IF(M32="DONE","✅ Complete",IF(N32&lt;0,"🔴 OVERDUE",IF(N32=0,"🟡 TODAY",IF(N32&lt;=3,"🟠 SOON","🟢 Later")))))</f>
        <v/>
      </c>
    </row>
    <row r="33" customFormat="false" ht="15" hidden="false" customHeight="true" outlineLevel="0" collapsed="false">
      <c r="E33" s="5"/>
      <c r="F33" s="5" t="str">
        <f aca="false">IF(E33="","",E33+1)</f>
        <v/>
      </c>
      <c r="G33" s="5" t="str">
        <f aca="false">IF(OR(E33="",F33=""),"",MAX(E33,F33)+3)</f>
        <v/>
      </c>
      <c r="H33" s="5" t="str">
        <f aca="false">IF(OR(E33="",G33=""),"",MAX(E33,F33,G33)+7)</f>
        <v/>
      </c>
      <c r="I33" s="5" t="str">
        <f aca="false">IF(OR(E33="",H33=""),"",MAX(E33,F33,G33,H33)+15)</f>
        <v/>
      </c>
      <c r="J33" s="5" t="str">
        <f aca="false">IF(OR(E33="",I33=""),"",MAX(E33,F33,G33,H33,I33)+30)</f>
        <v/>
      </c>
      <c r="K33" s="5" t="str">
        <f aca="false">IF(OR(E33="",J33=""),"",MAX(E33,F33,G33,H33,I33,J33)+60)</f>
        <v/>
      </c>
      <c r="L33" s="5" t="str">
        <f aca="false">IF(OR(E33="",K33=""),"",MAX(E33,F33,G33,H33,I33,J33,K33)+90)</f>
        <v/>
      </c>
      <c r="M33" s="5" t="str">
        <f aca="false">IF(E33="","",IF(F33="",F33,IF(G33="",G33,IF(H33="",H33,IF(I33="",I33,IF(J33="",J33,IF(K33="",K33,IF(L33="",L33,"DONE"))))))))</f>
        <v/>
      </c>
      <c r="N33" s="1" t="str">
        <f aca="true">IF(OR(E33="",M33="DONE"),"",M33-TODAY())</f>
        <v/>
      </c>
      <c r="O33" s="1" t="str">
        <f aca="false">IF(E33="","",IF(M33="DONE","✅ Complete",IF(N33&lt;0,"🔴 OVERDUE",IF(N33=0,"🟡 TODAY",IF(N33&lt;=3,"🟠 SOON","🟢 Later")))))</f>
        <v/>
      </c>
    </row>
    <row r="34" customFormat="false" ht="15" hidden="false" customHeight="true" outlineLevel="0" collapsed="false">
      <c r="E34" s="5"/>
      <c r="F34" s="5" t="str">
        <f aca="false">IF(E34="","",E34+1)</f>
        <v/>
      </c>
      <c r="G34" s="5" t="str">
        <f aca="false">IF(OR(E34="",F34=""),"",MAX(E34,F34)+3)</f>
        <v/>
      </c>
      <c r="H34" s="5" t="str">
        <f aca="false">IF(OR(E34="",G34=""),"",MAX(E34,F34,G34)+7)</f>
        <v/>
      </c>
      <c r="I34" s="5" t="str">
        <f aca="false">IF(OR(E34="",H34=""),"",MAX(E34,F34,G34,H34)+15)</f>
        <v/>
      </c>
      <c r="J34" s="5" t="str">
        <f aca="false">IF(OR(E34="",I34=""),"",MAX(E34,F34,G34,H34,I34)+30)</f>
        <v/>
      </c>
      <c r="K34" s="5" t="str">
        <f aca="false">IF(OR(E34="",J34=""),"",MAX(E34,F34,G34,H34,I34,J34)+60)</f>
        <v/>
      </c>
      <c r="L34" s="5" t="str">
        <f aca="false">IF(OR(E34="",K34=""),"",MAX(E34,F34,G34,H34,I34,J34,K34)+90)</f>
        <v/>
      </c>
      <c r="M34" s="5" t="str">
        <f aca="false">IF(E34="","",IF(F34="",F34,IF(G34="",G34,IF(H34="",H34,IF(I34="",I34,IF(J34="",J34,IF(K34="",K34,IF(L34="",L34,"DONE"))))))))</f>
        <v/>
      </c>
      <c r="N34" s="1" t="str">
        <f aca="true">IF(OR(E34="",M34="DONE"),"",M34-TODAY())</f>
        <v/>
      </c>
      <c r="O34" s="1" t="str">
        <f aca="false">IF(E34="","",IF(M34="DONE","✅ Complete",IF(N34&lt;0,"🔴 OVERDUE",IF(N34=0,"🟡 TODAY",IF(N34&lt;=3,"🟠 SOON","🟢 Later")))))</f>
        <v/>
      </c>
    </row>
    <row r="35" customFormat="false" ht="15" hidden="false" customHeight="true" outlineLevel="0" collapsed="false">
      <c r="E35" s="5"/>
      <c r="F35" s="5" t="str">
        <f aca="false">IF(E35="","",E35+1)</f>
        <v/>
      </c>
      <c r="G35" s="5" t="str">
        <f aca="false">IF(OR(E35="",F35=""),"",MAX(E35,F35)+3)</f>
        <v/>
      </c>
      <c r="H35" s="5" t="str">
        <f aca="false">IF(OR(E35="",G35=""),"",MAX(E35,F35,G35)+7)</f>
        <v/>
      </c>
      <c r="I35" s="5" t="str">
        <f aca="false">IF(OR(E35="",H35=""),"",MAX(E35,F35,G35,H35)+15)</f>
        <v/>
      </c>
      <c r="J35" s="5" t="str">
        <f aca="false">IF(OR(E35="",I35=""),"",MAX(E35,F35,G35,H35,I35)+30)</f>
        <v/>
      </c>
      <c r="K35" s="5" t="str">
        <f aca="false">IF(OR(E35="",J35=""),"",MAX(E35,F35,G35,H35,I35,J35)+60)</f>
        <v/>
      </c>
      <c r="L35" s="5" t="str">
        <f aca="false">IF(OR(E35="",K35=""),"",MAX(E35,F35,G35,H35,I35,J35,K35)+90)</f>
        <v/>
      </c>
      <c r="M35" s="5" t="str">
        <f aca="false">IF(E35="","",IF(F35="",F35,IF(G35="",G35,IF(H35="",H35,IF(I35="",I35,IF(J35="",J35,IF(K35="",K35,IF(L35="",L35,"DONE"))))))))</f>
        <v/>
      </c>
      <c r="N35" s="1" t="str">
        <f aca="true">IF(OR(E35="",M35="DONE"),"",M35-TODAY())</f>
        <v/>
      </c>
      <c r="O35" s="1" t="str">
        <f aca="false">IF(E35="","",IF(M35="DONE","✅ Complete",IF(N35&lt;0,"🔴 OVERDUE",IF(N35=0,"🟡 TODAY",IF(N35&lt;=3,"🟠 SOON","🟢 Later")))))</f>
        <v/>
      </c>
    </row>
    <row r="36" customFormat="false" ht="15" hidden="false" customHeight="true" outlineLevel="0" collapsed="false">
      <c r="E36" s="5"/>
      <c r="F36" s="5" t="str">
        <f aca="false">IF(E36="","",E36+1)</f>
        <v/>
      </c>
      <c r="G36" s="5" t="str">
        <f aca="false">IF(OR(E36="",F36=""),"",MAX(E36,F36)+3)</f>
        <v/>
      </c>
      <c r="H36" s="5" t="str">
        <f aca="false">IF(OR(E36="",G36=""),"",MAX(E36,F36,G36)+7)</f>
        <v/>
      </c>
      <c r="I36" s="5" t="str">
        <f aca="false">IF(OR(E36="",H36=""),"",MAX(E36,F36,G36,H36)+15)</f>
        <v/>
      </c>
      <c r="J36" s="5" t="str">
        <f aca="false">IF(OR(E36="",I36=""),"",MAX(E36,F36,G36,H36,I36)+30)</f>
        <v/>
      </c>
      <c r="K36" s="5" t="str">
        <f aca="false">IF(OR(E36="",J36=""),"",MAX(E36,F36,G36,H36,I36,J36)+60)</f>
        <v/>
      </c>
      <c r="L36" s="5" t="str">
        <f aca="false">IF(OR(E36="",K36=""),"",MAX(E36,F36,G36,H36,I36,J36,K36)+90)</f>
        <v/>
      </c>
      <c r="M36" s="5" t="str">
        <f aca="false">IF(E36="","",IF(F36="",F36,IF(G36="",G36,IF(H36="",H36,IF(I36="",I36,IF(J36="",J36,IF(K36="",K36,IF(L36="",L36,"DONE"))))))))</f>
        <v/>
      </c>
      <c r="N36" s="1" t="str">
        <f aca="true">IF(OR(E36="",M36="DONE"),"",M36-TODAY())</f>
        <v/>
      </c>
      <c r="O36" s="1" t="str">
        <f aca="false">IF(E36="","",IF(M36="DONE","✅ Complete",IF(N36&lt;0,"🔴 OVERDUE",IF(N36=0,"🟡 TODAY",IF(N36&lt;=3,"🟠 SOON","🟢 Later")))))</f>
        <v/>
      </c>
    </row>
    <row r="37" customFormat="false" ht="15" hidden="false" customHeight="true" outlineLevel="0" collapsed="false">
      <c r="E37" s="5"/>
      <c r="F37" s="5" t="str">
        <f aca="false">IF(E37="","",E37+1)</f>
        <v/>
      </c>
      <c r="G37" s="5" t="str">
        <f aca="false">IF(OR(E37="",F37=""),"",MAX(E37,F37)+3)</f>
        <v/>
      </c>
      <c r="H37" s="5" t="str">
        <f aca="false">IF(OR(E37="",G37=""),"",MAX(E37,F37,G37)+7)</f>
        <v/>
      </c>
      <c r="I37" s="5" t="str">
        <f aca="false">IF(OR(E37="",H37=""),"",MAX(E37,F37,G37,H37)+15)</f>
        <v/>
      </c>
      <c r="J37" s="5" t="str">
        <f aca="false">IF(OR(E37="",I37=""),"",MAX(E37,F37,G37,H37,I37)+30)</f>
        <v/>
      </c>
      <c r="K37" s="5" t="str">
        <f aca="false">IF(OR(E37="",J37=""),"",MAX(E37,F37,G37,H37,I37,J37)+60)</f>
        <v/>
      </c>
      <c r="L37" s="5" t="str">
        <f aca="false">IF(OR(E37="",K37=""),"",MAX(E37,F37,G37,H37,I37,J37,K37)+90)</f>
        <v/>
      </c>
      <c r="M37" s="5" t="str">
        <f aca="false">IF(E37="","",IF(F37="",F37,IF(G37="",G37,IF(H37="",H37,IF(I37="",I37,IF(J37="",J37,IF(K37="",K37,IF(L37="",L37,"DONE"))))))))</f>
        <v/>
      </c>
      <c r="N37" s="1" t="str">
        <f aca="true">IF(OR(E37="",M37="DONE"),"",M37-TODAY())</f>
        <v/>
      </c>
      <c r="O37" s="1" t="str">
        <f aca="false">IF(E37="","",IF(M37="DONE","✅ Complete",IF(N37&lt;0,"🔴 OVERDUE",IF(N37=0,"🟡 TODAY",IF(N37&lt;=3,"🟠 SOON","🟢 Later")))))</f>
        <v/>
      </c>
    </row>
    <row r="38" customFormat="false" ht="15" hidden="false" customHeight="true" outlineLevel="0" collapsed="false">
      <c r="E38" s="5"/>
      <c r="F38" s="5" t="str">
        <f aca="false">IF(E38="","",E38+1)</f>
        <v/>
      </c>
      <c r="G38" s="5" t="str">
        <f aca="false">IF(OR(E38="",F38=""),"",MAX(E38,F38)+3)</f>
        <v/>
      </c>
      <c r="H38" s="5" t="str">
        <f aca="false">IF(OR(E38="",G38=""),"",MAX(E38,F38,G38)+7)</f>
        <v/>
      </c>
      <c r="I38" s="5" t="str">
        <f aca="false">IF(OR(E38="",H38=""),"",MAX(E38,F38,G38,H38)+15)</f>
        <v/>
      </c>
      <c r="J38" s="5" t="str">
        <f aca="false">IF(OR(E38="",I38=""),"",MAX(E38,F38,G38,H38,I38)+30)</f>
        <v/>
      </c>
      <c r="K38" s="5" t="str">
        <f aca="false">IF(OR(E38="",J38=""),"",MAX(E38,F38,G38,H38,I38,J38)+60)</f>
        <v/>
      </c>
      <c r="L38" s="5" t="str">
        <f aca="false">IF(OR(E38="",K38=""),"",MAX(E38,F38,G38,H38,I38,J38,K38)+90)</f>
        <v/>
      </c>
      <c r="M38" s="5" t="str">
        <f aca="false">IF(E38="","",IF(F38="",F38,IF(G38="",G38,IF(H38="",H38,IF(I38="",I38,IF(J38="",J38,IF(K38="",K38,IF(L38="",L38,"DONE"))))))))</f>
        <v/>
      </c>
      <c r="N38" s="1" t="str">
        <f aca="true">IF(OR(E38="",M38="DONE"),"",M38-TODAY())</f>
        <v/>
      </c>
      <c r="O38" s="1" t="str">
        <f aca="false">IF(E38="","",IF(M38="DONE","✅ Complete",IF(N38&lt;0,"🔴 OVERDUE",IF(N38=0,"🟡 TODAY",IF(N38&lt;=3,"🟠 SOON","🟢 Later")))))</f>
        <v/>
      </c>
    </row>
    <row r="39" customFormat="false" ht="15" hidden="false" customHeight="true" outlineLevel="0" collapsed="false">
      <c r="E39" s="5"/>
      <c r="F39" s="5" t="str">
        <f aca="false">IF(E39="","",E39+1)</f>
        <v/>
      </c>
      <c r="G39" s="5" t="str">
        <f aca="false">IF(OR(E39="",F39=""),"",MAX(E39,F39)+3)</f>
        <v/>
      </c>
      <c r="H39" s="5" t="str">
        <f aca="false">IF(OR(E39="",G39=""),"",MAX(E39,F39,G39)+7)</f>
        <v/>
      </c>
      <c r="I39" s="5" t="str">
        <f aca="false">IF(OR(E39="",H39=""),"",MAX(E39,F39,G39,H39)+15)</f>
        <v/>
      </c>
      <c r="J39" s="5" t="str">
        <f aca="false">IF(OR(E39="",I39=""),"",MAX(E39,F39,G39,H39,I39)+30)</f>
        <v/>
      </c>
      <c r="K39" s="5" t="str">
        <f aca="false">IF(OR(E39="",J39=""),"",MAX(E39,F39,G39,H39,I39,J39)+60)</f>
        <v/>
      </c>
      <c r="L39" s="5" t="str">
        <f aca="false">IF(OR(E39="",K39=""),"",MAX(E39,F39,G39,H39,I39,J39,K39)+90)</f>
        <v/>
      </c>
      <c r="M39" s="5" t="str">
        <f aca="false">IF(E39="","",IF(F39="",F39,IF(G39="",G39,IF(H39="",H39,IF(I39="",I39,IF(J39="",J39,IF(K39="",K39,IF(L39="",L39,"DONE"))))))))</f>
        <v/>
      </c>
      <c r="N39" s="1" t="str">
        <f aca="true">IF(OR(E39="",M39="DONE"),"",M39-TODAY())</f>
        <v/>
      </c>
      <c r="O39" s="1" t="str">
        <f aca="false">IF(E39="","",IF(M39="DONE","✅ Complete",IF(N39&lt;0,"🔴 OVERDUE",IF(N39=0,"🟡 TODAY",IF(N39&lt;=3,"🟠 SOON","🟢 Later")))))</f>
        <v/>
      </c>
    </row>
    <row r="40" customFormat="false" ht="15" hidden="false" customHeight="true" outlineLevel="0" collapsed="false">
      <c r="E40" s="5"/>
      <c r="F40" s="5" t="str">
        <f aca="false">IF(E40="","",E40+1)</f>
        <v/>
      </c>
      <c r="G40" s="5" t="str">
        <f aca="false">IF(OR(E40="",F40=""),"",MAX(E40,F40)+3)</f>
        <v/>
      </c>
      <c r="H40" s="5" t="str">
        <f aca="false">IF(OR(E40="",G40=""),"",MAX(E40,F40,G40)+7)</f>
        <v/>
      </c>
      <c r="I40" s="5" t="str">
        <f aca="false">IF(OR(E40="",H40=""),"",MAX(E40,F40,G40,H40)+15)</f>
        <v/>
      </c>
      <c r="J40" s="5" t="str">
        <f aca="false">IF(OR(E40="",I40=""),"",MAX(E40,F40,G40,H40,I40)+30)</f>
        <v/>
      </c>
      <c r="K40" s="5" t="str">
        <f aca="false">IF(OR(E40="",J40=""),"",MAX(E40,F40,G40,H40,I40,J40)+60)</f>
        <v/>
      </c>
      <c r="L40" s="5" t="str">
        <f aca="false">IF(OR(E40="",K40=""),"",MAX(E40,F40,G40,H40,I40,J40,K40)+90)</f>
        <v/>
      </c>
      <c r="M40" s="5" t="str">
        <f aca="false">IF(E40="","",IF(F40="",F40,IF(G40="",G40,IF(H40="",H40,IF(I40="",I40,IF(J40="",J40,IF(K40="",K40,IF(L40="",L40,"DONE"))))))))</f>
        <v/>
      </c>
      <c r="N40" s="1" t="str">
        <f aca="true">IF(OR(E40="",M40="DONE"),"",M40-TODAY())</f>
        <v/>
      </c>
      <c r="O40" s="1" t="str">
        <f aca="false">IF(E40="","",IF(M40="DONE","✅ Complete",IF(N40&lt;0,"🔴 OVERDUE",IF(N40=0,"🟡 TODAY",IF(N40&lt;=3,"🟠 SOON","🟢 Later")))))</f>
        <v/>
      </c>
    </row>
    <row r="41" customFormat="false" ht="15" hidden="false" customHeight="true" outlineLevel="0" collapsed="false">
      <c r="E41" s="5"/>
      <c r="F41" s="5" t="str">
        <f aca="false">IF(E41="","",E41+1)</f>
        <v/>
      </c>
      <c r="G41" s="5" t="str">
        <f aca="false">IF(OR(E41="",F41=""),"",MAX(E41,F41)+3)</f>
        <v/>
      </c>
      <c r="H41" s="5" t="str">
        <f aca="false">IF(OR(E41="",G41=""),"",MAX(E41,F41,G41)+7)</f>
        <v/>
      </c>
      <c r="I41" s="5" t="str">
        <f aca="false">IF(OR(E41="",H41=""),"",MAX(E41,F41,G41,H41)+15)</f>
        <v/>
      </c>
      <c r="J41" s="5" t="str">
        <f aca="false">IF(OR(E41="",I41=""),"",MAX(E41,F41,G41,H41,I41)+30)</f>
        <v/>
      </c>
      <c r="K41" s="5" t="str">
        <f aca="false">IF(OR(E41="",J41=""),"",MAX(E41,F41,G41,H41,I41,J41)+60)</f>
        <v/>
      </c>
      <c r="L41" s="5" t="str">
        <f aca="false">IF(OR(E41="",K41=""),"",MAX(E41,F41,G41,H41,I41,J41,K41)+90)</f>
        <v/>
      </c>
      <c r="M41" s="5" t="str">
        <f aca="false">IF(E41="","",IF(F41="",F41,IF(G41="",G41,IF(H41="",H41,IF(I41="",I41,IF(J41="",J41,IF(K41="",K41,IF(L41="",L41,"DONE"))))))))</f>
        <v/>
      </c>
      <c r="N41" s="1" t="str">
        <f aca="true">IF(OR(E41="",M41="DONE"),"",M41-TODAY())</f>
        <v/>
      </c>
      <c r="O41" s="1" t="str">
        <f aca="false">IF(E41="","",IF(M41="DONE","✅ Complete",IF(N41&lt;0,"🔴 OVERDUE",IF(N41=0,"🟡 TODAY",IF(N41&lt;=3,"🟠 SOON","🟢 Later")))))</f>
        <v/>
      </c>
    </row>
    <row r="42" customFormat="false" ht="15" hidden="false" customHeight="true" outlineLevel="0" collapsed="false">
      <c r="E42" s="5"/>
      <c r="F42" s="5" t="str">
        <f aca="false">IF(E42="","",E42+1)</f>
        <v/>
      </c>
      <c r="G42" s="5" t="str">
        <f aca="false">IF(OR(E42="",F42=""),"",MAX(E42,F42)+3)</f>
        <v/>
      </c>
      <c r="H42" s="5" t="str">
        <f aca="false">IF(OR(E42="",G42=""),"",MAX(E42,F42,G42)+7)</f>
        <v/>
      </c>
      <c r="I42" s="5" t="str">
        <f aca="false">IF(OR(E42="",H42=""),"",MAX(E42,F42,G42,H42)+15)</f>
        <v/>
      </c>
      <c r="J42" s="5" t="str">
        <f aca="false">IF(OR(E42="",I42=""),"",MAX(E42,F42,G42,H42,I42)+30)</f>
        <v/>
      </c>
      <c r="K42" s="5" t="str">
        <f aca="false">IF(OR(E42="",J42=""),"",MAX(E42,F42,G42,H42,I42,J42)+60)</f>
        <v/>
      </c>
      <c r="L42" s="5" t="str">
        <f aca="false">IF(OR(E42="",K42=""),"",MAX(E42,F42,G42,H42,I42,J42,K42)+90)</f>
        <v/>
      </c>
      <c r="M42" s="5" t="str">
        <f aca="false">IF(E42="","",IF(F42="",F42,IF(G42="",G42,IF(H42="",H42,IF(I42="",I42,IF(J42="",J42,IF(K42="",K42,IF(L42="",L42,"DONE"))))))))</f>
        <v/>
      </c>
      <c r="N42" s="1" t="str">
        <f aca="true">IF(OR(E42="",M42="DONE"),"",M42-TODAY())</f>
        <v/>
      </c>
      <c r="O42" s="1" t="str">
        <f aca="false">IF(E42="","",IF(M42="DONE","✅ Complete",IF(N42&lt;0,"🔴 OVERDUE",IF(N42=0,"🟡 TODAY",IF(N42&lt;=3,"🟠 SOON","🟢 Later")))))</f>
        <v/>
      </c>
    </row>
    <row r="43" customFormat="false" ht="15" hidden="false" customHeight="true" outlineLevel="0" collapsed="false">
      <c r="E43" s="5"/>
      <c r="F43" s="5" t="str">
        <f aca="false">IF(E43="","",E43+1)</f>
        <v/>
      </c>
      <c r="G43" s="5" t="str">
        <f aca="false">IF(OR(E43="",F43=""),"",MAX(E43,F43)+3)</f>
        <v/>
      </c>
      <c r="H43" s="5" t="str">
        <f aca="false">IF(OR(E43="",G43=""),"",MAX(E43,F43,G43)+7)</f>
        <v/>
      </c>
      <c r="I43" s="5" t="str">
        <f aca="false">IF(OR(E43="",H43=""),"",MAX(E43,F43,G43,H43)+15)</f>
        <v/>
      </c>
      <c r="J43" s="5" t="str">
        <f aca="false">IF(OR(E43="",I43=""),"",MAX(E43,F43,G43,H43,I43)+30)</f>
        <v/>
      </c>
      <c r="K43" s="5" t="str">
        <f aca="false">IF(OR(E43="",J43=""),"",MAX(E43,F43,G43,H43,I43,J43)+60)</f>
        <v/>
      </c>
      <c r="L43" s="5" t="str">
        <f aca="false">IF(OR(E43="",K43=""),"",MAX(E43,F43,G43,H43,I43,J43,K43)+90)</f>
        <v/>
      </c>
      <c r="M43" s="5" t="str">
        <f aca="false">IF(E43="","",IF(F43="",F43,IF(G43="",G43,IF(H43="",H43,IF(I43="",I43,IF(J43="",J43,IF(K43="",K43,IF(L43="",L43,"DONE"))))))))</f>
        <v/>
      </c>
      <c r="N43" s="1" t="str">
        <f aca="true">IF(OR(E43="",M43="DONE"),"",M43-TODAY())</f>
        <v/>
      </c>
      <c r="O43" s="1" t="str">
        <f aca="false">IF(E43="","",IF(M43="DONE","✅ Complete",IF(N43&lt;0,"🔴 OVERDUE",IF(N43=0,"🟡 TODAY",IF(N43&lt;=3,"🟠 SOON","🟢 Later")))))</f>
        <v/>
      </c>
    </row>
    <row r="44" customFormat="false" ht="15" hidden="false" customHeight="true" outlineLevel="0" collapsed="false">
      <c r="E44" s="5"/>
      <c r="F44" s="5" t="str">
        <f aca="false">IF(E44="","",E44+1)</f>
        <v/>
      </c>
      <c r="G44" s="5" t="str">
        <f aca="false">IF(OR(E44="",F44=""),"",MAX(E44,F44)+3)</f>
        <v/>
      </c>
      <c r="H44" s="5" t="str">
        <f aca="false">IF(OR(E44="",G44=""),"",MAX(E44,F44,G44)+7)</f>
        <v/>
      </c>
      <c r="I44" s="5" t="str">
        <f aca="false">IF(OR(E44="",H44=""),"",MAX(E44,F44,G44,H44)+15)</f>
        <v/>
      </c>
      <c r="J44" s="5" t="str">
        <f aca="false">IF(OR(E44="",I44=""),"",MAX(E44,F44,G44,H44,I44)+30)</f>
        <v/>
      </c>
      <c r="K44" s="5" t="str">
        <f aca="false">IF(OR(E44="",J44=""),"",MAX(E44,F44,G44,H44,I44,J44)+60)</f>
        <v/>
      </c>
      <c r="L44" s="5" t="str">
        <f aca="false">IF(OR(E44="",K44=""),"",MAX(E44,F44,G44,H44,I44,J44,K44)+90)</f>
        <v/>
      </c>
      <c r="M44" s="5" t="str">
        <f aca="false">IF(E44="","",IF(F44="",F44,IF(G44="",G44,IF(H44="",H44,IF(I44="",I44,IF(J44="",J44,IF(K44="",K44,IF(L44="",L44,"DONE"))))))))</f>
        <v/>
      </c>
      <c r="N44" s="1" t="str">
        <f aca="true">IF(OR(E44="",M44="DONE"),"",M44-TODAY())</f>
        <v/>
      </c>
      <c r="O44" s="1" t="str">
        <f aca="false">IF(E44="","",IF(M44="DONE","✅ Complete",IF(N44&lt;0,"🔴 OVERDUE",IF(N44=0,"🟡 TODAY",IF(N44&lt;=3,"🟠 SOON","🟢 Later")))))</f>
        <v/>
      </c>
    </row>
    <row r="45" customFormat="false" ht="15" hidden="false" customHeight="true" outlineLevel="0" collapsed="false">
      <c r="E45" s="5"/>
      <c r="F45" s="5" t="str">
        <f aca="false">IF(E45="","",E45+1)</f>
        <v/>
      </c>
      <c r="G45" s="5" t="str">
        <f aca="false">IF(OR(E45="",F45=""),"",MAX(E45,F45)+3)</f>
        <v/>
      </c>
      <c r="H45" s="5" t="str">
        <f aca="false">IF(OR(E45="",G45=""),"",MAX(E45,F45,G45)+7)</f>
        <v/>
      </c>
      <c r="I45" s="5" t="str">
        <f aca="false">IF(OR(E45="",H45=""),"",MAX(E45,F45,G45,H45)+15)</f>
        <v/>
      </c>
      <c r="J45" s="5" t="str">
        <f aca="false">IF(OR(E45="",I45=""),"",MAX(E45,F45,G45,H45,I45)+30)</f>
        <v/>
      </c>
      <c r="K45" s="5" t="str">
        <f aca="false">IF(OR(E45="",J45=""),"",MAX(E45,F45,G45,H45,I45,J45)+60)</f>
        <v/>
      </c>
      <c r="L45" s="5" t="str">
        <f aca="false">IF(OR(E45="",K45=""),"",MAX(E45,F45,G45,H45,I45,J45,K45)+90)</f>
        <v/>
      </c>
      <c r="M45" s="5" t="str">
        <f aca="false">IF(E45="","",IF(F45="",F45,IF(G45="",G45,IF(H45="",H45,IF(I45="",I45,IF(J45="",J45,IF(K45="",K45,IF(L45="",L45,"DONE"))))))))</f>
        <v/>
      </c>
      <c r="N45" s="1" t="str">
        <f aca="true">IF(OR(E45="",M45="DONE"),"",M45-TODAY())</f>
        <v/>
      </c>
      <c r="O45" s="1" t="str">
        <f aca="false">IF(E45="","",IF(M45="DONE","✅ Complete",IF(N45&lt;0,"🔴 OVERDUE",IF(N45=0,"🟡 TODAY",IF(N45&lt;=3,"🟠 SOON","🟢 Later")))))</f>
        <v/>
      </c>
    </row>
    <row r="46" customFormat="false" ht="15" hidden="false" customHeight="true" outlineLevel="0" collapsed="false">
      <c r="E46" s="5"/>
      <c r="F46" s="5" t="str">
        <f aca="false">IF(E46="","",E46+1)</f>
        <v/>
      </c>
      <c r="G46" s="5" t="str">
        <f aca="false">IF(OR(E46="",F46=""),"",MAX(E46,F46)+3)</f>
        <v/>
      </c>
      <c r="H46" s="5" t="str">
        <f aca="false">IF(OR(E46="",G46=""),"",MAX(E46,F46,G46)+7)</f>
        <v/>
      </c>
      <c r="I46" s="5" t="str">
        <f aca="false">IF(OR(E46="",H46=""),"",MAX(E46,F46,G46,H46)+15)</f>
        <v/>
      </c>
      <c r="J46" s="5" t="str">
        <f aca="false">IF(OR(E46="",I46=""),"",MAX(E46,F46,G46,H46,I46)+30)</f>
        <v/>
      </c>
      <c r="K46" s="5" t="str">
        <f aca="false">IF(OR(E46="",J46=""),"",MAX(E46,F46,G46,H46,I46,J46)+60)</f>
        <v/>
      </c>
      <c r="L46" s="5" t="str">
        <f aca="false">IF(OR(E46="",K46=""),"",MAX(E46,F46,G46,H46,I46,J46,K46)+90)</f>
        <v/>
      </c>
      <c r="M46" s="5" t="str">
        <f aca="false">IF(E46="","",IF(F46="",F46,IF(G46="",G46,IF(H46="",H46,IF(I46="",I46,IF(J46="",J46,IF(K46="",K46,IF(L46="",L46,"DONE"))))))))</f>
        <v/>
      </c>
      <c r="N46" s="1" t="str">
        <f aca="true">IF(OR(E46="",M46="DONE"),"",M46-TODAY())</f>
        <v/>
      </c>
      <c r="O46" s="1" t="str">
        <f aca="false">IF(E46="","",IF(M46="DONE","✅ Complete",IF(N46&lt;0,"🔴 OVERDUE",IF(N46=0,"🟡 TODAY",IF(N46&lt;=3,"🟠 SOON","🟢 Later")))))</f>
        <v/>
      </c>
    </row>
    <row r="47" customFormat="false" ht="15" hidden="false" customHeight="true" outlineLevel="0" collapsed="false">
      <c r="E47" s="5"/>
      <c r="F47" s="5" t="str">
        <f aca="false">IF(E47="","",E47+1)</f>
        <v/>
      </c>
      <c r="G47" s="5" t="str">
        <f aca="false">IF(OR(E47="",F47=""),"",MAX(E47,F47)+3)</f>
        <v/>
      </c>
      <c r="H47" s="5" t="str">
        <f aca="false">IF(OR(E47="",G47=""),"",MAX(E47,F47,G47)+7)</f>
        <v/>
      </c>
      <c r="I47" s="5" t="str">
        <f aca="false">IF(OR(E47="",H47=""),"",MAX(E47,F47,G47,H47)+15)</f>
        <v/>
      </c>
      <c r="J47" s="5" t="str">
        <f aca="false">IF(OR(E47="",I47=""),"",MAX(E47,F47,G47,H47,I47)+30)</f>
        <v/>
      </c>
      <c r="K47" s="5" t="str">
        <f aca="false">IF(OR(E47="",J47=""),"",MAX(E47,F47,G47,H47,I47,J47)+60)</f>
        <v/>
      </c>
      <c r="L47" s="5" t="str">
        <f aca="false">IF(OR(E47="",K47=""),"",MAX(E47,F47,G47,H47,I47,J47,K47)+90)</f>
        <v/>
      </c>
      <c r="M47" s="5" t="str">
        <f aca="false">IF(E47="","",IF(F47="",F47,IF(G47="",G47,IF(H47="",H47,IF(I47="",I47,IF(J47="",J47,IF(K47="",K47,IF(L47="",L47,"DONE"))))))))</f>
        <v/>
      </c>
      <c r="N47" s="1" t="str">
        <f aca="true">IF(OR(E47="",M47="DONE"),"",M47-TODAY())</f>
        <v/>
      </c>
      <c r="O47" s="1" t="str">
        <f aca="false">IF(E47="","",IF(M47="DONE","✅ Complete",IF(N47&lt;0,"🔴 OVERDUE",IF(N47=0,"🟡 TODAY",IF(N47&lt;=3,"🟠 SOON","🟢 Later")))))</f>
        <v/>
      </c>
    </row>
    <row r="48" customFormat="false" ht="15" hidden="false" customHeight="true" outlineLevel="0" collapsed="false">
      <c r="E48" s="5"/>
      <c r="F48" s="5" t="str">
        <f aca="false">IF(E48="","",E48+1)</f>
        <v/>
      </c>
      <c r="G48" s="5" t="str">
        <f aca="false">IF(OR(E48="",F48=""),"",MAX(E48,F48)+3)</f>
        <v/>
      </c>
      <c r="H48" s="5" t="str">
        <f aca="false">IF(OR(E48="",G48=""),"",MAX(E48,F48,G48)+7)</f>
        <v/>
      </c>
      <c r="I48" s="5" t="str">
        <f aca="false">IF(OR(E48="",H48=""),"",MAX(E48,F48,G48,H48)+15)</f>
        <v/>
      </c>
      <c r="J48" s="5" t="str">
        <f aca="false">IF(OR(E48="",I48=""),"",MAX(E48,F48,G48,H48,I48)+30)</f>
        <v/>
      </c>
      <c r="K48" s="5" t="str">
        <f aca="false">IF(OR(E48="",J48=""),"",MAX(E48,F48,G48,H48,I48,J48)+60)</f>
        <v/>
      </c>
      <c r="L48" s="5" t="str">
        <f aca="false">IF(OR(E48="",K48=""),"",MAX(E48,F48,G48,H48,I48,J48,K48)+90)</f>
        <v/>
      </c>
      <c r="M48" s="5" t="str">
        <f aca="false">IF(E48="","",IF(F48="",F48,IF(G48="",G48,IF(H48="",H48,IF(I48="",I48,IF(J48="",J48,IF(K48="",K48,IF(L48="",L48,"DONE"))))))))</f>
        <v/>
      </c>
      <c r="N48" s="1" t="str">
        <f aca="true">IF(OR(E48="",M48="DONE"),"",M48-TODAY())</f>
        <v/>
      </c>
      <c r="O48" s="1" t="str">
        <f aca="false">IF(E48="","",IF(M48="DONE","✅ Complete",IF(N48&lt;0,"🔴 OVERDUE",IF(N48=0,"🟡 TODAY",IF(N48&lt;=3,"🟠 SOON","🟢 Later")))))</f>
        <v/>
      </c>
    </row>
    <row r="49" customFormat="false" ht="15" hidden="false" customHeight="true" outlineLevel="0" collapsed="false">
      <c r="E49" s="5"/>
      <c r="F49" s="5" t="str">
        <f aca="false">IF(E49="","",E49+1)</f>
        <v/>
      </c>
      <c r="G49" s="5" t="str">
        <f aca="false">IF(OR(E49="",F49=""),"",MAX(E49,F49)+3)</f>
        <v/>
      </c>
      <c r="H49" s="5" t="str">
        <f aca="false">IF(OR(E49="",G49=""),"",MAX(E49,F49,G49)+7)</f>
        <v/>
      </c>
      <c r="I49" s="5" t="str">
        <f aca="false">IF(OR(E49="",H49=""),"",MAX(E49,F49,G49,H49)+15)</f>
        <v/>
      </c>
      <c r="J49" s="5" t="str">
        <f aca="false">IF(OR(E49="",I49=""),"",MAX(E49,F49,G49,H49,I49)+30)</f>
        <v/>
      </c>
      <c r="K49" s="5" t="str">
        <f aca="false">IF(OR(E49="",J49=""),"",MAX(E49,F49,G49,H49,I49,J49)+60)</f>
        <v/>
      </c>
      <c r="L49" s="5" t="str">
        <f aca="false">IF(OR(E49="",K49=""),"",MAX(E49,F49,G49,H49,I49,J49,K49)+90)</f>
        <v/>
      </c>
      <c r="M49" s="5" t="str">
        <f aca="false">IF(E49="","",IF(F49="",F49,IF(G49="",G49,IF(H49="",H49,IF(I49="",I49,IF(J49="",J49,IF(K49="",K49,IF(L49="",L49,"DONE"))))))))</f>
        <v/>
      </c>
      <c r="N49" s="1" t="str">
        <f aca="true">IF(OR(E49="",M49="DONE"),"",M49-TODAY())</f>
        <v/>
      </c>
      <c r="O49" s="1" t="str">
        <f aca="false">IF(E49="","",IF(M49="DONE","✅ Complete",IF(N49&lt;0,"🔴 OVERDUE",IF(N49=0,"🟡 TODAY",IF(N49&lt;=3,"🟠 SOON","🟢 Later")))))</f>
        <v/>
      </c>
    </row>
    <row r="50" customFormat="false" ht="15" hidden="false" customHeight="true" outlineLevel="0" collapsed="false">
      <c r="E50" s="5"/>
      <c r="F50" s="5" t="str">
        <f aca="false">IF(E50="","",E50+1)</f>
        <v/>
      </c>
      <c r="G50" s="5" t="str">
        <f aca="false">IF(OR(E50="",F50=""),"",MAX(E50,F50)+3)</f>
        <v/>
      </c>
      <c r="H50" s="5" t="str">
        <f aca="false">IF(OR(E50="",G50=""),"",MAX(E50,F50,G50)+7)</f>
        <v/>
      </c>
      <c r="I50" s="5" t="str">
        <f aca="false">IF(OR(E50="",H50=""),"",MAX(E50,F50,G50,H50)+15)</f>
        <v/>
      </c>
      <c r="J50" s="5" t="str">
        <f aca="false">IF(OR(E50="",I50=""),"",MAX(E50,F50,G50,H50,I50)+30)</f>
        <v/>
      </c>
      <c r="K50" s="5" t="str">
        <f aca="false">IF(OR(E50="",J50=""),"",MAX(E50,F50,G50,H50,I50,J50)+60)</f>
        <v/>
      </c>
      <c r="L50" s="5" t="str">
        <f aca="false">IF(OR(E50="",K50=""),"",MAX(E50,F50,G50,H50,I50,J50,K50)+90)</f>
        <v/>
      </c>
      <c r="M50" s="5" t="str">
        <f aca="false">IF(E50="","",IF(F50="",F50,IF(G50="",G50,IF(H50="",H50,IF(I50="",I50,IF(J50="",J50,IF(K50="",K50,IF(L50="",L50,"DONE"))))))))</f>
        <v/>
      </c>
      <c r="N50" s="1" t="str">
        <f aca="true">IF(OR(E50="",M50="DONE"),"",M50-TODAY())</f>
        <v/>
      </c>
      <c r="O50" s="1" t="str">
        <f aca="false">IF(E50="","",IF(M50="DONE","✅ Complete",IF(N50&lt;0,"🔴 OVERDUE",IF(N50=0,"🟡 TODAY",IF(N50&lt;=3,"🟠 SOON","🟢 Later")))))</f>
        <v/>
      </c>
    </row>
    <row r="51" customFormat="false" ht="15" hidden="false" customHeight="true" outlineLevel="0" collapsed="false">
      <c r="E51" s="5"/>
      <c r="F51" s="5" t="str">
        <f aca="false">IF(E51="","",E51+1)</f>
        <v/>
      </c>
      <c r="G51" s="5" t="str">
        <f aca="false">IF(OR(E51="",F51=""),"",MAX(E51,F51)+3)</f>
        <v/>
      </c>
      <c r="H51" s="5" t="str">
        <f aca="false">IF(OR(E51="",G51=""),"",MAX(E51,F51,G51)+7)</f>
        <v/>
      </c>
      <c r="I51" s="5" t="str">
        <f aca="false">IF(OR(E51="",H51=""),"",MAX(E51,F51,G51,H51)+15)</f>
        <v/>
      </c>
      <c r="J51" s="5" t="str">
        <f aca="false">IF(OR(E51="",I51=""),"",MAX(E51,F51,G51,H51,I51)+30)</f>
        <v/>
      </c>
      <c r="K51" s="5" t="str">
        <f aca="false">IF(OR(E51="",J51=""),"",MAX(E51,F51,G51,H51,I51,J51)+60)</f>
        <v/>
      </c>
      <c r="L51" s="5" t="str">
        <f aca="false">IF(OR(E51="",K51=""),"",MAX(E51,F51,G51,H51,I51,J51,K51)+90)</f>
        <v/>
      </c>
      <c r="M51" s="5" t="str">
        <f aca="false">IF(E51="","",IF(F51="",F51,IF(G51="",G51,IF(H51="",H51,IF(I51="",I51,IF(J51="",J51,IF(K51="",K51,IF(L51="",L51,"DONE"))))))))</f>
        <v/>
      </c>
      <c r="N51" s="1" t="str">
        <f aca="true">IF(OR(E51="",M51="DONE"),"",M51-TODAY())</f>
        <v/>
      </c>
      <c r="O51" s="1" t="str">
        <f aca="false">IF(E51="","",IF(M51="DONE","✅ Complete",IF(N51&lt;0,"🔴 OVERDUE",IF(N51=0,"🟡 TODAY",IF(N51&lt;=3,"🟠 SOON","🟢 Later")))))</f>
        <v/>
      </c>
    </row>
    <row r="52" customFormat="false" ht="15" hidden="false" customHeight="true" outlineLevel="0" collapsed="false">
      <c r="E52" s="5"/>
      <c r="F52" s="5" t="str">
        <f aca="false">IF(E52="","",E52+1)</f>
        <v/>
      </c>
      <c r="G52" s="5" t="str">
        <f aca="false">IF(OR(E52="",F52=""),"",MAX(E52,F52)+3)</f>
        <v/>
      </c>
      <c r="H52" s="5" t="str">
        <f aca="false">IF(OR(E52="",G52=""),"",MAX(E52,F52,G52)+7)</f>
        <v/>
      </c>
      <c r="I52" s="5" t="str">
        <f aca="false">IF(OR(E52="",H52=""),"",MAX(E52,F52,G52,H52)+15)</f>
        <v/>
      </c>
      <c r="J52" s="5" t="str">
        <f aca="false">IF(OR(E52="",I52=""),"",MAX(E52,F52,G52,H52,I52)+30)</f>
        <v/>
      </c>
      <c r="K52" s="5" t="str">
        <f aca="false">IF(OR(E52="",J52=""),"",MAX(E52,F52,G52,H52,I52,J52)+60)</f>
        <v/>
      </c>
      <c r="L52" s="5" t="str">
        <f aca="false">IF(OR(E52="",K52=""),"",MAX(E52,F52,G52,H52,I52,J52,K52)+90)</f>
        <v/>
      </c>
      <c r="M52" s="5" t="str">
        <f aca="false">IF(E52="","",IF(F52="",F52,IF(G52="",G52,IF(H52="",H52,IF(I52="",I52,IF(J52="",J52,IF(K52="",K52,IF(L52="",L52,"DONE"))))))))</f>
        <v/>
      </c>
      <c r="N52" s="1" t="str">
        <f aca="true">IF(OR(E52="",M52="DONE"),"",M52-TODAY())</f>
        <v/>
      </c>
      <c r="O52" s="1" t="str">
        <f aca="false">IF(E52="","",IF(M52="DONE","✅ Complete",IF(N52&lt;0,"🔴 OVERDUE",IF(N52=0,"🟡 TODAY",IF(N52&lt;=3,"🟠 SOON","🟢 Later")))))</f>
        <v/>
      </c>
    </row>
    <row r="53" customFormat="false" ht="15" hidden="false" customHeight="true" outlineLevel="0" collapsed="false">
      <c r="E53" s="5"/>
      <c r="F53" s="5" t="str">
        <f aca="false">IF(E53="","",E53+1)</f>
        <v/>
      </c>
      <c r="G53" s="5" t="str">
        <f aca="false">IF(OR(E53="",F53=""),"",MAX(E53,F53)+3)</f>
        <v/>
      </c>
      <c r="H53" s="5" t="str">
        <f aca="false">IF(OR(E53="",G53=""),"",MAX(E53,F53,G53)+7)</f>
        <v/>
      </c>
      <c r="I53" s="5" t="str">
        <f aca="false">IF(OR(E53="",H53=""),"",MAX(E53,F53,G53,H53)+15)</f>
        <v/>
      </c>
      <c r="J53" s="5" t="str">
        <f aca="false">IF(OR(E53="",I53=""),"",MAX(E53,F53,G53,H53,I53)+30)</f>
        <v/>
      </c>
      <c r="K53" s="5" t="str">
        <f aca="false">IF(OR(E53="",J53=""),"",MAX(E53,F53,G53,H53,I53,J53)+60)</f>
        <v/>
      </c>
      <c r="L53" s="5" t="str">
        <f aca="false">IF(OR(E53="",K53=""),"",MAX(E53,F53,G53,H53,I53,J53,K53)+90)</f>
        <v/>
      </c>
      <c r="M53" s="5" t="str">
        <f aca="false">IF(E53="","",IF(F53="",F53,IF(G53="",G53,IF(H53="",H53,IF(I53="",I53,IF(J53="",J53,IF(K53="",K53,IF(L53="",L53,"DONE"))))))))</f>
        <v/>
      </c>
      <c r="N53" s="1" t="str">
        <f aca="true">IF(OR(E53="",M53="DONE"),"",M53-TODAY())</f>
        <v/>
      </c>
      <c r="O53" s="1" t="str">
        <f aca="false">IF(E53="","",IF(M53="DONE","✅ Complete",IF(N53&lt;0,"🔴 OVERDUE",IF(N53=0,"🟡 TODAY",IF(N53&lt;=3,"🟠 SOON","🟢 Later")))))</f>
        <v/>
      </c>
    </row>
    <row r="54" customFormat="false" ht="15" hidden="false" customHeight="true" outlineLevel="0" collapsed="false">
      <c r="E54" s="5"/>
      <c r="F54" s="5" t="str">
        <f aca="false">IF(E54="","",E54+1)</f>
        <v/>
      </c>
      <c r="G54" s="5" t="str">
        <f aca="false">IF(OR(E54="",F54=""),"",MAX(E54,F54)+3)</f>
        <v/>
      </c>
      <c r="H54" s="5" t="str">
        <f aca="false">IF(OR(E54="",G54=""),"",MAX(E54,F54,G54)+7)</f>
        <v/>
      </c>
      <c r="I54" s="5" t="str">
        <f aca="false">IF(OR(E54="",H54=""),"",MAX(E54,F54,G54,H54)+15)</f>
        <v/>
      </c>
      <c r="J54" s="5" t="str">
        <f aca="false">IF(OR(E54="",I54=""),"",MAX(E54,F54,G54,H54,I54)+30)</f>
        <v/>
      </c>
      <c r="K54" s="5" t="str">
        <f aca="false">IF(OR(E54="",J54=""),"",MAX(E54,F54,G54,H54,I54,J54)+60)</f>
        <v/>
      </c>
      <c r="L54" s="5" t="str">
        <f aca="false">IF(OR(E54="",K54=""),"",MAX(E54,F54,G54,H54,I54,J54,K54)+90)</f>
        <v/>
      </c>
      <c r="M54" s="5" t="str">
        <f aca="false">IF(E54="","",IF(F54="",F54,IF(G54="",G54,IF(H54="",H54,IF(I54="",I54,IF(J54="",J54,IF(K54="",K54,IF(L54="",L54,"DONE"))))))))</f>
        <v/>
      </c>
      <c r="N54" s="1" t="str">
        <f aca="true">IF(OR(E54="",M54="DONE"),"",M54-TODAY())</f>
        <v/>
      </c>
      <c r="O54" s="1" t="str">
        <f aca="false">IF(E54="","",IF(M54="DONE","✅ Complete",IF(N54&lt;0,"🔴 OVERDUE",IF(N54=0,"🟡 TODAY",IF(N54&lt;=3,"🟠 SOON","🟢 Later")))))</f>
        <v/>
      </c>
    </row>
    <row r="55" customFormat="false" ht="15" hidden="false" customHeight="true" outlineLevel="0" collapsed="false">
      <c r="E55" s="5"/>
      <c r="F55" s="5" t="str">
        <f aca="false">IF(E55="","",E55+1)</f>
        <v/>
      </c>
      <c r="G55" s="5" t="str">
        <f aca="false">IF(OR(E55="",F55=""),"",MAX(E55,F55)+3)</f>
        <v/>
      </c>
      <c r="H55" s="5" t="str">
        <f aca="false">IF(OR(E55="",G55=""),"",MAX(E55,F55,G55)+7)</f>
        <v/>
      </c>
      <c r="I55" s="5" t="str">
        <f aca="false">IF(OR(E55="",H55=""),"",MAX(E55,F55,G55,H55)+15)</f>
        <v/>
      </c>
      <c r="J55" s="5" t="str">
        <f aca="false">IF(OR(E55="",I55=""),"",MAX(E55,F55,G55,H55,I55)+30)</f>
        <v/>
      </c>
      <c r="K55" s="5" t="str">
        <f aca="false">IF(OR(E55="",J55=""),"",MAX(E55,F55,G55,H55,I55,J55)+60)</f>
        <v/>
      </c>
      <c r="L55" s="5" t="str">
        <f aca="false">IF(OR(E55="",K55=""),"",MAX(E55,F55,G55,H55,I55,J55,K55)+90)</f>
        <v/>
      </c>
      <c r="M55" s="5" t="str">
        <f aca="false">IF(E55="","",IF(F55="",F55,IF(G55="",G55,IF(H55="",H55,IF(I55="",I55,IF(J55="",J55,IF(K55="",K55,IF(L55="",L55,"DONE"))))))))</f>
        <v/>
      </c>
      <c r="N55" s="1" t="str">
        <f aca="true">IF(OR(E55="",M55="DONE"),"",M55-TODAY())</f>
        <v/>
      </c>
      <c r="O55" s="1" t="str">
        <f aca="false">IF(E55="","",IF(M55="DONE","✅ Complete",IF(N55&lt;0,"🔴 OVERDUE",IF(N55=0,"🟡 TODAY",IF(N55&lt;=3,"🟠 SOON","🟢 Later")))))</f>
        <v/>
      </c>
    </row>
    <row r="56" customFormat="false" ht="15" hidden="false" customHeight="true" outlineLevel="0" collapsed="false">
      <c r="E56" s="5"/>
      <c r="F56" s="5" t="str">
        <f aca="false">IF(E56="","",E56+1)</f>
        <v/>
      </c>
      <c r="G56" s="5" t="str">
        <f aca="false">IF(OR(E56="",F56=""),"",MAX(E56,F56)+3)</f>
        <v/>
      </c>
      <c r="H56" s="5" t="str">
        <f aca="false">IF(OR(E56="",G56=""),"",MAX(E56,F56,G56)+7)</f>
        <v/>
      </c>
      <c r="I56" s="5" t="str">
        <f aca="false">IF(OR(E56="",H56=""),"",MAX(E56,F56,G56,H56)+15)</f>
        <v/>
      </c>
      <c r="J56" s="5" t="str">
        <f aca="false">IF(OR(E56="",I56=""),"",MAX(E56,F56,G56,H56,I56)+30)</f>
        <v/>
      </c>
      <c r="K56" s="5" t="str">
        <f aca="false">IF(OR(E56="",J56=""),"",MAX(E56,F56,G56,H56,I56,J56)+60)</f>
        <v/>
      </c>
      <c r="L56" s="5" t="str">
        <f aca="false">IF(OR(E56="",K56=""),"",MAX(E56,F56,G56,H56,I56,J56,K56)+90)</f>
        <v/>
      </c>
      <c r="M56" s="5" t="str">
        <f aca="false">IF(E56="","",IF(F56="",F56,IF(G56="",G56,IF(H56="",H56,IF(I56="",I56,IF(J56="",J56,IF(K56="",K56,IF(L56="",L56,"DONE"))))))))</f>
        <v/>
      </c>
      <c r="N56" s="1" t="str">
        <f aca="true">IF(OR(E56="",M56="DONE"),"",M56-TODAY())</f>
        <v/>
      </c>
      <c r="O56" s="1" t="str">
        <f aca="false">IF(E56="","",IF(M56="DONE","✅ Complete",IF(N56&lt;0,"🔴 OVERDUE",IF(N56=0,"🟡 TODAY",IF(N56&lt;=3,"🟠 SOON","🟢 Later")))))</f>
        <v/>
      </c>
    </row>
    <row r="57" customFormat="false" ht="15" hidden="false" customHeight="true" outlineLevel="0" collapsed="false">
      <c r="E57" s="5"/>
      <c r="F57" s="5" t="str">
        <f aca="false">IF(E57="","",E57+1)</f>
        <v/>
      </c>
      <c r="G57" s="5" t="str">
        <f aca="false">IF(OR(E57="",F57=""),"",MAX(E57,F57)+3)</f>
        <v/>
      </c>
      <c r="H57" s="5" t="str">
        <f aca="false">IF(OR(E57="",G57=""),"",MAX(E57,F57,G57)+7)</f>
        <v/>
      </c>
      <c r="I57" s="5" t="str">
        <f aca="false">IF(OR(E57="",H57=""),"",MAX(E57,F57,G57,H57)+15)</f>
        <v/>
      </c>
      <c r="J57" s="5" t="str">
        <f aca="false">IF(OR(E57="",I57=""),"",MAX(E57,F57,G57,H57,I57)+30)</f>
        <v/>
      </c>
      <c r="K57" s="5" t="str">
        <f aca="false">IF(OR(E57="",J57=""),"",MAX(E57,F57,G57,H57,I57,J57)+60)</f>
        <v/>
      </c>
      <c r="L57" s="5" t="str">
        <f aca="false">IF(OR(E57="",K57=""),"",MAX(E57,F57,G57,H57,I57,J57,K57)+90)</f>
        <v/>
      </c>
      <c r="M57" s="5" t="str">
        <f aca="false">IF(E57="","",IF(F57="",F57,IF(G57="",G57,IF(H57="",H57,IF(I57="",I57,IF(J57="",J57,IF(K57="",K57,IF(L57="",L57,"DONE"))))))))</f>
        <v/>
      </c>
      <c r="N57" s="1" t="str">
        <f aca="true">IF(OR(E57="",M57="DONE"),"",M57-TODAY())</f>
        <v/>
      </c>
      <c r="O57" s="1" t="str">
        <f aca="false">IF(E57="","",IF(M57="DONE","✅ Complete",IF(N57&lt;0,"🔴 OVERDUE",IF(N57=0,"🟡 TODAY",IF(N57&lt;=3,"🟠 SOON","🟢 Later")))))</f>
        <v/>
      </c>
    </row>
    <row r="58" customFormat="false" ht="15" hidden="false" customHeight="true" outlineLevel="0" collapsed="false">
      <c r="E58" s="5"/>
      <c r="F58" s="5" t="str">
        <f aca="false">IF(E58="","",E58+1)</f>
        <v/>
      </c>
      <c r="G58" s="5" t="str">
        <f aca="false">IF(OR(E58="",F58=""),"",MAX(E58,F58)+3)</f>
        <v/>
      </c>
      <c r="H58" s="5" t="str">
        <f aca="false">IF(OR(E58="",G58=""),"",MAX(E58,F58,G58)+7)</f>
        <v/>
      </c>
      <c r="I58" s="5" t="str">
        <f aca="false">IF(OR(E58="",H58=""),"",MAX(E58,F58,G58,H58)+15)</f>
        <v/>
      </c>
      <c r="J58" s="5" t="str">
        <f aca="false">IF(OR(E58="",I58=""),"",MAX(E58,F58,G58,H58,I58)+30)</f>
        <v/>
      </c>
      <c r="K58" s="5" t="str">
        <f aca="false">IF(OR(E58="",J58=""),"",MAX(E58,F58,G58,H58,I58,J58)+60)</f>
        <v/>
      </c>
      <c r="L58" s="5" t="str">
        <f aca="false">IF(OR(E58="",K58=""),"",MAX(E58,F58,G58,H58,I58,J58,K58)+90)</f>
        <v/>
      </c>
      <c r="M58" s="5" t="str">
        <f aca="false">IF(E58="","",IF(F58="",F58,IF(G58="",G58,IF(H58="",H58,IF(I58="",I58,IF(J58="",J58,IF(K58="",K58,IF(L58="",L58,"DONE"))))))))</f>
        <v/>
      </c>
      <c r="N58" s="1" t="str">
        <f aca="true">IF(OR(E58="",M58="DONE"),"",M58-TODAY())</f>
        <v/>
      </c>
      <c r="O58" s="1" t="str">
        <f aca="false">IF(E58="","",IF(M58="DONE","✅ Complete",IF(N58&lt;0,"🔴 OVERDUE",IF(N58=0,"🟡 TODAY",IF(N58&lt;=3,"🟠 SOON","🟢 Later")))))</f>
        <v/>
      </c>
    </row>
    <row r="59" customFormat="false" ht="15" hidden="false" customHeight="true" outlineLevel="0" collapsed="false">
      <c r="E59" s="5"/>
      <c r="F59" s="5" t="str">
        <f aca="false">IF(E59="","",E59+1)</f>
        <v/>
      </c>
      <c r="G59" s="5" t="str">
        <f aca="false">IF(OR(E59="",F59=""),"",MAX(E59,F59)+3)</f>
        <v/>
      </c>
      <c r="H59" s="5" t="str">
        <f aca="false">IF(OR(E59="",G59=""),"",MAX(E59,F59,G59)+7)</f>
        <v/>
      </c>
      <c r="I59" s="5" t="str">
        <f aca="false">IF(OR(E59="",H59=""),"",MAX(E59,F59,G59,H59)+15)</f>
        <v/>
      </c>
      <c r="J59" s="5" t="str">
        <f aca="false">IF(OR(E59="",I59=""),"",MAX(E59,F59,G59,H59,I59)+30)</f>
        <v/>
      </c>
      <c r="K59" s="5" t="str">
        <f aca="false">IF(OR(E59="",J59=""),"",MAX(E59,F59,G59,H59,I59,J59)+60)</f>
        <v/>
      </c>
      <c r="L59" s="5" t="str">
        <f aca="false">IF(OR(E59="",K59=""),"",MAX(E59,F59,G59,H59,I59,J59,K59)+90)</f>
        <v/>
      </c>
      <c r="M59" s="5" t="str">
        <f aca="false">IF(E59="","",IF(F59="",F59,IF(G59="",G59,IF(H59="",H59,IF(I59="",I59,IF(J59="",J59,IF(K59="",K59,IF(L59="",L59,"DONE"))))))))</f>
        <v/>
      </c>
      <c r="N59" s="1" t="str">
        <f aca="true">IF(OR(E59="",M59="DONE"),"",M59-TODAY())</f>
        <v/>
      </c>
      <c r="O59" s="1" t="str">
        <f aca="false">IF(E59="","",IF(M59="DONE","✅ Complete",IF(N59&lt;0,"🔴 OVERDUE",IF(N59=0,"🟡 TODAY",IF(N59&lt;=3,"🟠 SOON","🟢 Later")))))</f>
        <v/>
      </c>
    </row>
    <row r="60" customFormat="false" ht="15" hidden="false" customHeight="true" outlineLevel="0" collapsed="false">
      <c r="E60" s="5"/>
      <c r="F60" s="5" t="str">
        <f aca="false">IF(E60="","",E60+1)</f>
        <v/>
      </c>
      <c r="G60" s="5" t="str">
        <f aca="false">IF(OR(E60="",F60=""),"",MAX(E60,F60)+3)</f>
        <v/>
      </c>
      <c r="H60" s="5" t="str">
        <f aca="false">IF(OR(E60="",G60=""),"",MAX(E60,F60,G60)+7)</f>
        <v/>
      </c>
      <c r="I60" s="5" t="str">
        <f aca="false">IF(OR(E60="",H60=""),"",MAX(E60,F60,G60,H60)+15)</f>
        <v/>
      </c>
      <c r="J60" s="5" t="str">
        <f aca="false">IF(OR(E60="",I60=""),"",MAX(E60,F60,G60,H60,I60)+30)</f>
        <v/>
      </c>
      <c r="K60" s="5" t="str">
        <f aca="false">IF(OR(E60="",J60=""),"",MAX(E60,F60,G60,H60,I60,J60)+60)</f>
        <v/>
      </c>
      <c r="L60" s="5" t="str">
        <f aca="false">IF(OR(E60="",K60=""),"",MAX(E60,F60,G60,H60,I60,J60,K60)+90)</f>
        <v/>
      </c>
      <c r="M60" s="5" t="str">
        <f aca="false">IF(E60="","",IF(F60="",F60,IF(G60="",G60,IF(H60="",H60,IF(I60="",I60,IF(J60="",J60,IF(K60="",K60,IF(L60="",L60,"DONE"))))))))</f>
        <v/>
      </c>
      <c r="N60" s="1" t="str">
        <f aca="true">IF(OR(E60="",M60="DONE"),"",M60-TODAY())</f>
        <v/>
      </c>
      <c r="O60" s="1" t="str">
        <f aca="false">IF(E60="","",IF(M60="DONE","✅ Complete",IF(N60&lt;0,"🔴 OVERDUE",IF(N60=0,"🟡 TODAY",IF(N60&lt;=3,"🟠 SOON","🟢 Later")))))</f>
        <v/>
      </c>
    </row>
    <row r="61" customFormat="false" ht="15" hidden="false" customHeight="true" outlineLevel="0" collapsed="false">
      <c r="E61" s="5"/>
      <c r="F61" s="5" t="str">
        <f aca="false">IF(E61="","",E61+1)</f>
        <v/>
      </c>
      <c r="G61" s="5" t="str">
        <f aca="false">IF(OR(E61="",F61=""),"",MAX(E61,F61)+3)</f>
        <v/>
      </c>
      <c r="H61" s="5" t="str">
        <f aca="false">IF(OR(E61="",G61=""),"",MAX(E61,F61,G61)+7)</f>
        <v/>
      </c>
      <c r="I61" s="5" t="str">
        <f aca="false">IF(OR(E61="",H61=""),"",MAX(E61,F61,G61,H61)+15)</f>
        <v/>
      </c>
      <c r="J61" s="5" t="str">
        <f aca="false">IF(OR(E61="",I61=""),"",MAX(E61,F61,G61,H61,I61)+30)</f>
        <v/>
      </c>
      <c r="K61" s="5" t="str">
        <f aca="false">IF(OR(E61="",J61=""),"",MAX(E61,F61,G61,H61,I61,J61)+60)</f>
        <v/>
      </c>
      <c r="L61" s="5" t="str">
        <f aca="false">IF(OR(E61="",K61=""),"",MAX(E61,F61,G61,H61,I61,J61,K61)+90)</f>
        <v/>
      </c>
      <c r="M61" s="5" t="str">
        <f aca="false">IF(E61="","",IF(F61="",F61,IF(G61="",G61,IF(H61="",H61,IF(I61="",I61,IF(J61="",J61,IF(K61="",K61,IF(L61="",L61,"DONE"))))))))</f>
        <v/>
      </c>
      <c r="N61" s="1" t="str">
        <f aca="true">IF(OR(E61="",M61="DONE"),"",M61-TODAY())</f>
        <v/>
      </c>
      <c r="O61" s="1" t="str">
        <f aca="false">IF(E61="","",IF(M61="DONE","✅ Complete",IF(N61&lt;0,"🔴 OVERDUE",IF(N61=0,"🟡 TODAY",IF(N61&lt;=3,"🟠 SOON","🟢 Later")))))</f>
        <v/>
      </c>
    </row>
    <row r="62" customFormat="false" ht="15" hidden="false" customHeight="true" outlineLevel="0" collapsed="false">
      <c r="E62" s="5"/>
      <c r="F62" s="5" t="str">
        <f aca="false">IF(E62="","",E62+1)</f>
        <v/>
      </c>
      <c r="G62" s="5" t="str">
        <f aca="false">IF(OR(E62="",F62=""),"",MAX(E62,F62)+3)</f>
        <v/>
      </c>
      <c r="H62" s="5" t="str">
        <f aca="false">IF(OR(E62="",G62=""),"",MAX(E62,F62,G62)+7)</f>
        <v/>
      </c>
      <c r="I62" s="5" t="str">
        <f aca="false">IF(OR(E62="",H62=""),"",MAX(E62,F62,G62,H62)+15)</f>
        <v/>
      </c>
      <c r="J62" s="5" t="str">
        <f aca="false">IF(OR(E62="",I62=""),"",MAX(E62,F62,G62,H62,I62)+30)</f>
        <v/>
      </c>
      <c r="K62" s="5" t="str">
        <f aca="false">IF(OR(E62="",J62=""),"",MAX(E62,F62,G62,H62,I62,J62)+60)</f>
        <v/>
      </c>
      <c r="L62" s="5" t="str">
        <f aca="false">IF(OR(E62="",K62=""),"",MAX(E62,F62,G62,H62,I62,J62,K62)+90)</f>
        <v/>
      </c>
      <c r="M62" s="5" t="str">
        <f aca="false">IF(E62="","",IF(F62="",F62,IF(G62="",G62,IF(H62="",H62,IF(I62="",I62,IF(J62="",J62,IF(K62="",K62,IF(L62="",L62,"DONE"))))))))</f>
        <v/>
      </c>
      <c r="N62" s="1" t="str">
        <f aca="true">IF(OR(E62="",M62="DONE"),"",M62-TODAY())</f>
        <v/>
      </c>
      <c r="O62" s="1" t="str">
        <f aca="false">IF(E62="","",IF(M62="DONE","✅ Complete",IF(N62&lt;0,"🔴 OVERDUE",IF(N62=0,"🟡 TODAY",IF(N62&lt;=3,"🟠 SOON","🟢 Later")))))</f>
        <v/>
      </c>
    </row>
    <row r="63" customFormat="false" ht="15" hidden="false" customHeight="true" outlineLevel="0" collapsed="false">
      <c r="E63" s="5"/>
      <c r="F63" s="5" t="str">
        <f aca="false">IF(E63="","",E63+1)</f>
        <v/>
      </c>
      <c r="G63" s="5" t="str">
        <f aca="false">IF(OR(E63="",F63=""),"",MAX(E63,F63)+3)</f>
        <v/>
      </c>
      <c r="H63" s="5" t="str">
        <f aca="false">IF(OR(E63="",G63=""),"",MAX(E63,F63,G63)+7)</f>
        <v/>
      </c>
      <c r="I63" s="5" t="str">
        <f aca="false">IF(OR(E63="",H63=""),"",MAX(E63,F63,G63,H63)+15)</f>
        <v/>
      </c>
      <c r="J63" s="5" t="str">
        <f aca="false">IF(OR(E63="",I63=""),"",MAX(E63,F63,G63,H63,I63)+30)</f>
        <v/>
      </c>
      <c r="K63" s="5" t="str">
        <f aca="false">IF(OR(E63="",J63=""),"",MAX(E63,F63,G63,H63,I63,J63)+60)</f>
        <v/>
      </c>
      <c r="L63" s="5" t="str">
        <f aca="false">IF(OR(E63="",K63=""),"",MAX(E63,F63,G63,H63,I63,J63,K63)+90)</f>
        <v/>
      </c>
      <c r="M63" s="5" t="str">
        <f aca="false">IF(E63="","",IF(F63="",F63,IF(G63="",G63,IF(H63="",H63,IF(I63="",I63,IF(J63="",J63,IF(K63="",K63,IF(L63="",L63,"DONE"))))))))</f>
        <v/>
      </c>
      <c r="N63" s="1" t="str">
        <f aca="true">IF(OR(E63="",M63="DONE"),"",M63-TODAY())</f>
        <v/>
      </c>
      <c r="O63" s="1" t="str">
        <f aca="false">IF(E63="","",IF(M63="DONE","✅ Complete",IF(N63&lt;0,"🔴 OVERDUE",IF(N63=0,"🟡 TODAY",IF(N63&lt;=3,"🟠 SOON","🟢 Later")))))</f>
        <v/>
      </c>
    </row>
    <row r="64" customFormat="false" ht="15" hidden="false" customHeight="true" outlineLevel="0" collapsed="false">
      <c r="E64" s="5"/>
      <c r="F64" s="5" t="str">
        <f aca="false">IF(E64="","",E64+1)</f>
        <v/>
      </c>
      <c r="G64" s="5" t="str">
        <f aca="false">IF(OR(E64="",F64=""),"",MAX(E64,F64)+3)</f>
        <v/>
      </c>
      <c r="H64" s="5" t="str">
        <f aca="false">IF(OR(E64="",G64=""),"",MAX(E64,F64,G64)+7)</f>
        <v/>
      </c>
      <c r="I64" s="5" t="str">
        <f aca="false">IF(OR(E64="",H64=""),"",MAX(E64,F64,G64,H64)+15)</f>
        <v/>
      </c>
      <c r="J64" s="5" t="str">
        <f aca="false">IF(OR(E64="",I64=""),"",MAX(E64,F64,G64,H64,I64)+30)</f>
        <v/>
      </c>
      <c r="K64" s="5" t="str">
        <f aca="false">IF(OR(E64="",J64=""),"",MAX(E64,F64,G64,H64,I64,J64)+60)</f>
        <v/>
      </c>
      <c r="L64" s="5" t="str">
        <f aca="false">IF(OR(E64="",K64=""),"",MAX(E64,F64,G64,H64,I64,J64,K64)+90)</f>
        <v/>
      </c>
      <c r="M64" s="5" t="str">
        <f aca="false">IF(E64="","",IF(F64="",F64,IF(G64="",G64,IF(H64="",H64,IF(I64="",I64,IF(J64="",J64,IF(K64="",K64,IF(L64="",L64,"DONE"))))))))</f>
        <v/>
      </c>
      <c r="N64" s="1" t="str">
        <f aca="true">IF(OR(E64="",M64="DONE"),"",M64-TODAY())</f>
        <v/>
      </c>
      <c r="O64" s="1" t="str">
        <f aca="false">IF(E64="","",IF(M64="DONE","✅ Complete",IF(N64&lt;0,"🔴 OVERDUE",IF(N64=0,"🟡 TODAY",IF(N64&lt;=3,"🟠 SOON","🟢 Later")))))</f>
        <v/>
      </c>
    </row>
    <row r="65" customFormat="false" ht="15" hidden="false" customHeight="true" outlineLevel="0" collapsed="false">
      <c r="E65" s="5"/>
      <c r="F65" s="5" t="str">
        <f aca="false">IF(E65="","",E65+1)</f>
        <v/>
      </c>
      <c r="G65" s="5" t="str">
        <f aca="false">IF(OR(E65="",F65=""),"",MAX(E65,F65)+3)</f>
        <v/>
      </c>
      <c r="H65" s="5" t="str">
        <f aca="false">IF(OR(E65="",G65=""),"",MAX(E65,F65,G65)+7)</f>
        <v/>
      </c>
      <c r="I65" s="5" t="str">
        <f aca="false">IF(OR(E65="",H65=""),"",MAX(E65,F65,G65,H65)+15)</f>
        <v/>
      </c>
      <c r="J65" s="5" t="str">
        <f aca="false">IF(OR(E65="",I65=""),"",MAX(E65,F65,G65,H65,I65)+30)</f>
        <v/>
      </c>
      <c r="K65" s="5" t="str">
        <f aca="false">IF(OR(E65="",J65=""),"",MAX(E65,F65,G65,H65,I65,J65)+60)</f>
        <v/>
      </c>
      <c r="L65" s="5" t="str">
        <f aca="false">IF(OR(E65="",K65=""),"",MAX(E65,F65,G65,H65,I65,J65,K65)+90)</f>
        <v/>
      </c>
      <c r="M65" s="5" t="str">
        <f aca="false">IF(E65="","",IF(F65="",F65,IF(G65="",G65,IF(H65="",H65,IF(I65="",I65,IF(J65="",J65,IF(K65="",K65,IF(L65="",L65,"DONE"))))))))</f>
        <v/>
      </c>
      <c r="N65" s="1" t="str">
        <f aca="true">IF(OR(E65="",M65="DONE"),"",M65-TODAY())</f>
        <v/>
      </c>
      <c r="O65" s="1" t="str">
        <f aca="false">IF(E65="","",IF(M65="DONE","✅ Complete",IF(N65&lt;0,"🔴 OVERDUE",IF(N65=0,"🟡 TODAY",IF(N65&lt;=3,"🟠 SOON","🟢 Later")))))</f>
        <v/>
      </c>
    </row>
    <row r="66" customFormat="false" ht="15" hidden="false" customHeight="true" outlineLevel="0" collapsed="false">
      <c r="E66" s="5"/>
      <c r="F66" s="5" t="str">
        <f aca="false">IF(E66="","",E66+1)</f>
        <v/>
      </c>
      <c r="G66" s="5" t="str">
        <f aca="false">IF(OR(E66="",F66=""),"",MAX(E66,F66)+3)</f>
        <v/>
      </c>
      <c r="H66" s="5" t="str">
        <f aca="false">IF(OR(E66="",G66=""),"",MAX(E66,F66,G66)+7)</f>
        <v/>
      </c>
      <c r="I66" s="5" t="str">
        <f aca="false">IF(OR(E66="",H66=""),"",MAX(E66,F66,G66,H66)+15)</f>
        <v/>
      </c>
      <c r="J66" s="5" t="str">
        <f aca="false">IF(OR(E66="",I66=""),"",MAX(E66,F66,G66,H66,I66)+30)</f>
        <v/>
      </c>
      <c r="K66" s="5" t="str">
        <f aca="false">IF(OR(E66="",J66=""),"",MAX(E66,F66,G66,H66,I66,J66)+60)</f>
        <v/>
      </c>
      <c r="L66" s="5" t="str">
        <f aca="false">IF(OR(E66="",K66=""),"",MAX(E66,F66,G66,H66,I66,J66,K66)+90)</f>
        <v/>
      </c>
      <c r="M66" s="5" t="str">
        <f aca="false">IF(E66="","",IF(F66="",F66,IF(G66="",G66,IF(H66="",H66,IF(I66="",I66,IF(J66="",J66,IF(K66="",K66,IF(L66="",L66,"DONE"))))))))</f>
        <v/>
      </c>
      <c r="N66" s="1" t="str">
        <f aca="true">IF(OR(E66="",M66="DONE"),"",M66-TODAY())</f>
        <v/>
      </c>
      <c r="O66" s="1" t="str">
        <f aca="false">IF(E66="","",IF(M66="DONE","✅ Complete",IF(N66&lt;0,"🔴 OVERDUE",IF(N66=0,"🟡 TODAY",IF(N66&lt;=3,"🟠 SOON","🟢 Later")))))</f>
        <v/>
      </c>
    </row>
    <row r="67" customFormat="false" ht="15" hidden="false" customHeight="true" outlineLevel="0" collapsed="false">
      <c r="E67" s="5"/>
      <c r="F67" s="5" t="str">
        <f aca="false">IF(E67="","",E67+1)</f>
        <v/>
      </c>
      <c r="G67" s="5" t="str">
        <f aca="false">IF(OR(E67="",F67=""),"",MAX(E67,F67)+3)</f>
        <v/>
      </c>
      <c r="H67" s="5" t="str">
        <f aca="false">IF(OR(E67="",G67=""),"",MAX(E67,F67,G67)+7)</f>
        <v/>
      </c>
      <c r="I67" s="5" t="str">
        <f aca="false">IF(OR(E67="",H67=""),"",MAX(E67,F67,G67,H67)+15)</f>
        <v/>
      </c>
      <c r="J67" s="5" t="str">
        <f aca="false">IF(OR(E67="",I67=""),"",MAX(E67,F67,G67,H67,I67)+30)</f>
        <v/>
      </c>
      <c r="K67" s="5" t="str">
        <f aca="false">IF(OR(E67="",J67=""),"",MAX(E67,F67,G67,H67,I67,J67)+60)</f>
        <v/>
      </c>
      <c r="L67" s="5" t="str">
        <f aca="false">IF(OR(E67="",K67=""),"",MAX(E67,F67,G67,H67,I67,J67,K67)+90)</f>
        <v/>
      </c>
      <c r="M67" s="5" t="str">
        <f aca="false">IF(E67="","",IF(F67="",F67,IF(G67="",G67,IF(H67="",H67,IF(I67="",I67,IF(J67="",J67,IF(K67="",K67,IF(L67="",L67,"DONE"))))))))</f>
        <v/>
      </c>
      <c r="N67" s="1" t="str">
        <f aca="true">IF(OR(E67="",M67="DONE"),"",M67-TODAY())</f>
        <v/>
      </c>
      <c r="O67" s="1" t="str">
        <f aca="false">IF(E67="","",IF(M67="DONE","✅ Complete",IF(N67&lt;0,"🔴 OVERDUE",IF(N67=0,"🟡 TODAY",IF(N67&lt;=3,"🟠 SOON","🟢 Later")))))</f>
        <v/>
      </c>
    </row>
    <row r="68" customFormat="false" ht="15" hidden="false" customHeight="true" outlineLevel="0" collapsed="false">
      <c r="E68" s="5"/>
      <c r="F68" s="5" t="str">
        <f aca="false">IF(E68="","",E68+1)</f>
        <v/>
      </c>
      <c r="G68" s="5" t="str">
        <f aca="false">IF(OR(E68="",F68=""),"",MAX(E68,F68)+3)</f>
        <v/>
      </c>
      <c r="H68" s="5" t="str">
        <f aca="false">IF(OR(E68="",G68=""),"",MAX(E68,F68,G68)+7)</f>
        <v/>
      </c>
      <c r="I68" s="5" t="str">
        <f aca="false">IF(OR(E68="",H68=""),"",MAX(E68,F68,G68,H68)+15)</f>
        <v/>
      </c>
      <c r="J68" s="5" t="str">
        <f aca="false">IF(OR(E68="",I68=""),"",MAX(E68,F68,G68,H68,I68)+30)</f>
        <v/>
      </c>
      <c r="K68" s="5" t="str">
        <f aca="false">IF(OR(E68="",J68=""),"",MAX(E68,F68,G68,H68,I68,J68)+60)</f>
        <v/>
      </c>
      <c r="L68" s="5" t="str">
        <f aca="false">IF(OR(E68="",K68=""),"",MAX(E68,F68,G68,H68,I68,J68,K68)+90)</f>
        <v/>
      </c>
      <c r="M68" s="5" t="str">
        <f aca="false">IF(E68="","",IF(F68="",F68,IF(G68="",G68,IF(H68="",H68,IF(I68="",I68,IF(J68="",J68,IF(K68="",K68,IF(L68="",L68,"DONE"))))))))</f>
        <v/>
      </c>
      <c r="N68" s="1" t="str">
        <f aca="true">IF(OR(E68="",M68="DONE"),"",M68-TODAY())</f>
        <v/>
      </c>
      <c r="O68" s="1" t="str">
        <f aca="false">IF(E68="","",IF(M68="DONE","✅ Complete",IF(N68&lt;0,"🔴 OVERDUE",IF(N68=0,"🟡 TODAY",IF(N68&lt;=3,"🟠 SOON","🟢 Later")))))</f>
        <v/>
      </c>
    </row>
    <row r="69" customFormat="false" ht="15" hidden="false" customHeight="true" outlineLevel="0" collapsed="false">
      <c r="E69" s="5"/>
      <c r="F69" s="5" t="str">
        <f aca="false">IF(E69="","",E69+1)</f>
        <v/>
      </c>
      <c r="G69" s="5" t="str">
        <f aca="false">IF(OR(E69="",F69=""),"",MAX(E69,F69)+3)</f>
        <v/>
      </c>
      <c r="H69" s="5" t="str">
        <f aca="false">IF(OR(E69="",G69=""),"",MAX(E69,F69,G69)+7)</f>
        <v/>
      </c>
      <c r="I69" s="5" t="str">
        <f aca="false">IF(OR(E69="",H69=""),"",MAX(E69,F69,G69,H69)+15)</f>
        <v/>
      </c>
      <c r="J69" s="5" t="str">
        <f aca="false">IF(OR(E69="",I69=""),"",MAX(E69,F69,G69,H69,I69)+30)</f>
        <v/>
      </c>
      <c r="K69" s="5" t="str">
        <f aca="false">IF(OR(E69="",J69=""),"",MAX(E69,F69,G69,H69,I69,J69)+60)</f>
        <v/>
      </c>
      <c r="L69" s="5" t="str">
        <f aca="false">IF(OR(E69="",K69=""),"",MAX(E69,F69,G69,H69,I69,J69,K69)+90)</f>
        <v/>
      </c>
      <c r="M69" s="5" t="str">
        <f aca="false">IF(E69="","",IF(F69="",F69,IF(G69="",G69,IF(H69="",H69,IF(I69="",I69,IF(J69="",J69,IF(K69="",K69,IF(L69="",L69,"DONE"))))))))</f>
        <v/>
      </c>
      <c r="N69" s="1" t="str">
        <f aca="true">IF(OR(E69="",M69="DONE"),"",M69-TODAY())</f>
        <v/>
      </c>
      <c r="O69" s="1" t="str">
        <f aca="false">IF(E69="","",IF(M69="DONE","✅ Complete",IF(N69&lt;0,"🔴 OVERDUE",IF(N69=0,"🟡 TODAY",IF(N69&lt;=3,"🟠 SOON","🟢 Later")))))</f>
        <v/>
      </c>
    </row>
    <row r="70" customFormat="false" ht="15" hidden="false" customHeight="true" outlineLevel="0" collapsed="false">
      <c r="E70" s="5"/>
      <c r="F70" s="5" t="str">
        <f aca="false">IF(E70="","",E70+1)</f>
        <v/>
      </c>
      <c r="G70" s="5" t="str">
        <f aca="false">IF(OR(E70="",F70=""),"",MAX(E70,F70)+3)</f>
        <v/>
      </c>
      <c r="H70" s="5" t="str">
        <f aca="false">IF(OR(E70="",G70=""),"",MAX(E70,F70,G70)+7)</f>
        <v/>
      </c>
      <c r="I70" s="5" t="str">
        <f aca="false">IF(OR(E70="",H70=""),"",MAX(E70,F70,G70,H70)+15)</f>
        <v/>
      </c>
      <c r="J70" s="5" t="str">
        <f aca="false">IF(OR(E70="",I70=""),"",MAX(E70,F70,G70,H70,I70)+30)</f>
        <v/>
      </c>
      <c r="K70" s="5" t="str">
        <f aca="false">IF(OR(E70="",J70=""),"",MAX(E70,F70,G70,H70,I70,J70)+60)</f>
        <v/>
      </c>
      <c r="L70" s="5" t="str">
        <f aca="false">IF(OR(E70="",K70=""),"",MAX(E70,F70,G70,H70,I70,J70,K70)+90)</f>
        <v/>
      </c>
      <c r="M70" s="5" t="str">
        <f aca="false">IF(E70="","",IF(F70="",F70,IF(G70="",G70,IF(H70="",H70,IF(I70="",I70,IF(J70="",J70,IF(K70="",K70,IF(L70="",L70,"DONE"))))))))</f>
        <v/>
      </c>
      <c r="N70" s="1" t="str">
        <f aca="true">IF(OR(E70="",M70="DONE"),"",M70-TODAY())</f>
        <v/>
      </c>
      <c r="O70" s="1" t="str">
        <f aca="false">IF(E70="","",IF(M70="DONE","✅ Complete",IF(N70&lt;0,"🔴 OVERDUE",IF(N70=0,"🟡 TODAY",IF(N70&lt;=3,"🟠 SOON","🟢 Later")))))</f>
        <v/>
      </c>
    </row>
    <row r="71" customFormat="false" ht="15" hidden="false" customHeight="true" outlineLevel="0" collapsed="false">
      <c r="E71" s="5"/>
      <c r="F71" s="5" t="str">
        <f aca="false">IF(E71="","",E71+1)</f>
        <v/>
      </c>
      <c r="G71" s="5" t="str">
        <f aca="false">IF(OR(E71="",F71=""),"",MAX(E71,F71)+3)</f>
        <v/>
      </c>
      <c r="H71" s="5" t="str">
        <f aca="false">IF(OR(E71="",G71=""),"",MAX(E71,F71,G71)+7)</f>
        <v/>
      </c>
      <c r="I71" s="5" t="str">
        <f aca="false">IF(OR(E71="",H71=""),"",MAX(E71,F71,G71,H71)+15)</f>
        <v/>
      </c>
      <c r="J71" s="5" t="str">
        <f aca="false">IF(OR(E71="",I71=""),"",MAX(E71,F71,G71,H71,I71)+30)</f>
        <v/>
      </c>
      <c r="K71" s="5" t="str">
        <f aca="false">IF(OR(E71="",J71=""),"",MAX(E71,F71,G71,H71,I71,J71)+60)</f>
        <v/>
      </c>
      <c r="L71" s="5" t="str">
        <f aca="false">IF(OR(E71="",K71=""),"",MAX(E71,F71,G71,H71,I71,J71,K71)+90)</f>
        <v/>
      </c>
      <c r="M71" s="5" t="str">
        <f aca="false">IF(E71="","",IF(F71="",F71,IF(G71="",G71,IF(H71="",H71,IF(I71="",I71,IF(J71="",J71,IF(K71="",K71,IF(L71="",L71,"DONE"))))))))</f>
        <v/>
      </c>
      <c r="N71" s="1" t="str">
        <f aca="true">IF(OR(E71="",M71="DONE"),"",M71-TODAY())</f>
        <v/>
      </c>
      <c r="O71" s="1" t="str">
        <f aca="false">IF(E71="","",IF(M71="DONE","✅ Complete",IF(N71&lt;0,"🔴 OVERDUE",IF(N71=0,"🟡 TODAY",IF(N71&lt;=3,"🟠 SOON","🟢 Later")))))</f>
        <v/>
      </c>
    </row>
    <row r="72" customFormat="false" ht="15" hidden="false" customHeight="true" outlineLevel="0" collapsed="false">
      <c r="E72" s="5"/>
      <c r="F72" s="5" t="str">
        <f aca="false">IF(E72="","",E72+1)</f>
        <v/>
      </c>
      <c r="G72" s="5" t="str">
        <f aca="false">IF(OR(E72="",F72=""),"",MAX(E72,F72)+3)</f>
        <v/>
      </c>
      <c r="H72" s="5" t="str">
        <f aca="false">IF(OR(E72="",G72=""),"",MAX(E72,F72,G72)+7)</f>
        <v/>
      </c>
      <c r="I72" s="5" t="str">
        <f aca="false">IF(OR(E72="",H72=""),"",MAX(E72,F72,G72,H72)+15)</f>
        <v/>
      </c>
      <c r="J72" s="5" t="str">
        <f aca="false">IF(OR(E72="",I72=""),"",MAX(E72,F72,G72,H72,I72)+30)</f>
        <v/>
      </c>
      <c r="K72" s="5" t="str">
        <f aca="false">IF(OR(E72="",J72=""),"",MAX(E72,F72,G72,H72,I72,J72)+60)</f>
        <v/>
      </c>
      <c r="L72" s="5" t="str">
        <f aca="false">IF(OR(E72="",K72=""),"",MAX(E72,F72,G72,H72,I72,J72,K72)+90)</f>
        <v/>
      </c>
      <c r="M72" s="5" t="str">
        <f aca="false">IF(E72="","",IF(F72="",F72,IF(G72="",G72,IF(H72="",H72,IF(I72="",I72,IF(J72="",J72,IF(K72="",K72,IF(L72="",L72,"DONE"))))))))</f>
        <v/>
      </c>
      <c r="N72" s="1" t="str">
        <f aca="true">IF(OR(E72="",M72="DONE"),"",M72-TODAY())</f>
        <v/>
      </c>
      <c r="O72" s="1" t="str">
        <f aca="false">IF(E72="","",IF(M72="DONE","✅ Complete",IF(N72&lt;0,"🔴 OVERDUE",IF(N72=0,"🟡 TODAY",IF(N72&lt;=3,"🟠 SOON","🟢 Later")))))</f>
        <v/>
      </c>
    </row>
    <row r="73" customFormat="false" ht="15" hidden="false" customHeight="true" outlineLevel="0" collapsed="false">
      <c r="E73" s="5"/>
      <c r="F73" s="5" t="str">
        <f aca="false">IF(E73="","",E73+1)</f>
        <v/>
      </c>
      <c r="G73" s="5" t="str">
        <f aca="false">IF(OR(E73="",F73=""),"",MAX(E73,F73)+3)</f>
        <v/>
      </c>
      <c r="H73" s="5" t="str">
        <f aca="false">IF(OR(E73="",G73=""),"",MAX(E73,F73,G73)+7)</f>
        <v/>
      </c>
      <c r="I73" s="5" t="str">
        <f aca="false">IF(OR(E73="",H73=""),"",MAX(E73,F73,G73,H73)+15)</f>
        <v/>
      </c>
      <c r="J73" s="5" t="str">
        <f aca="false">IF(OR(E73="",I73=""),"",MAX(E73,F73,G73,H73,I73)+30)</f>
        <v/>
      </c>
      <c r="K73" s="5" t="str">
        <f aca="false">IF(OR(E73="",J73=""),"",MAX(E73,F73,G73,H73,I73,J73)+60)</f>
        <v/>
      </c>
      <c r="L73" s="5" t="str">
        <f aca="false">IF(OR(E73="",K73=""),"",MAX(E73,F73,G73,H73,I73,J73,K73)+90)</f>
        <v/>
      </c>
      <c r="M73" s="5" t="str">
        <f aca="false">IF(E73="","",IF(F73="",F73,IF(G73="",G73,IF(H73="",H73,IF(I73="",I73,IF(J73="",J73,IF(K73="",K73,IF(L73="",L73,"DONE"))))))))</f>
        <v/>
      </c>
      <c r="N73" s="1" t="str">
        <f aca="true">IF(OR(E73="",M73="DONE"),"",M73-TODAY())</f>
        <v/>
      </c>
      <c r="O73" s="1" t="str">
        <f aca="false">IF(E73="","",IF(M73="DONE","✅ Complete",IF(N73&lt;0,"🔴 OVERDUE",IF(N73=0,"🟡 TODAY",IF(N73&lt;=3,"🟠 SOON","🟢 Later")))))</f>
        <v/>
      </c>
    </row>
    <row r="74" customFormat="false" ht="15" hidden="false" customHeight="true" outlineLevel="0" collapsed="false">
      <c r="E74" s="5"/>
      <c r="F74" s="5" t="str">
        <f aca="false">IF(E74="","",E74+1)</f>
        <v/>
      </c>
      <c r="G74" s="5" t="str">
        <f aca="false">IF(OR(E74="",F74=""),"",MAX(E74,F74)+3)</f>
        <v/>
      </c>
      <c r="H74" s="5" t="str">
        <f aca="false">IF(OR(E74="",G74=""),"",MAX(E74,F74,G74)+7)</f>
        <v/>
      </c>
      <c r="I74" s="5" t="str">
        <f aca="false">IF(OR(E74="",H74=""),"",MAX(E74,F74,G74,H74)+15)</f>
        <v/>
      </c>
      <c r="J74" s="5" t="str">
        <f aca="false">IF(OR(E74="",I74=""),"",MAX(E74,F74,G74,H74,I74)+30)</f>
        <v/>
      </c>
      <c r="K74" s="5" t="str">
        <f aca="false">IF(OR(E74="",J74=""),"",MAX(E74,F74,G74,H74,I74,J74)+60)</f>
        <v/>
      </c>
      <c r="L74" s="5" t="str">
        <f aca="false">IF(OR(E74="",K74=""),"",MAX(E74,F74,G74,H74,I74,J74,K74)+90)</f>
        <v/>
      </c>
      <c r="M74" s="5" t="str">
        <f aca="false">IF(E74="","",IF(F74="",F74,IF(G74="",G74,IF(H74="",H74,IF(I74="",I74,IF(J74="",J74,IF(K74="",K74,IF(L74="",L74,"DONE"))))))))</f>
        <v/>
      </c>
      <c r="N74" s="1" t="str">
        <f aca="true">IF(OR(E74="",M74="DONE"),"",M74-TODAY())</f>
        <v/>
      </c>
      <c r="O74" s="1" t="str">
        <f aca="false">IF(E74="","",IF(M74="DONE","✅ Complete",IF(N74&lt;0,"🔴 OVERDUE",IF(N74=0,"🟡 TODAY",IF(N74&lt;=3,"🟠 SOON","🟢 Later")))))</f>
        <v/>
      </c>
    </row>
    <row r="75" customFormat="false" ht="15" hidden="false" customHeight="true" outlineLevel="0" collapsed="false">
      <c r="E75" s="5"/>
      <c r="F75" s="5" t="str">
        <f aca="false">IF(E75="","",E75+1)</f>
        <v/>
      </c>
      <c r="G75" s="5" t="str">
        <f aca="false">IF(OR(E75="",F75=""),"",MAX(E75,F75)+3)</f>
        <v/>
      </c>
      <c r="H75" s="5" t="str">
        <f aca="false">IF(OR(E75="",G75=""),"",MAX(E75,F75,G75)+7)</f>
        <v/>
      </c>
      <c r="I75" s="5" t="str">
        <f aca="false">IF(OR(E75="",H75=""),"",MAX(E75,F75,G75,H75)+15)</f>
        <v/>
      </c>
      <c r="J75" s="5" t="str">
        <f aca="false">IF(OR(E75="",I75=""),"",MAX(E75,F75,G75,H75,I75)+30)</f>
        <v/>
      </c>
      <c r="K75" s="5" t="str">
        <f aca="false">IF(OR(E75="",J75=""),"",MAX(E75,F75,G75,H75,I75,J75)+60)</f>
        <v/>
      </c>
      <c r="L75" s="5" t="str">
        <f aca="false">IF(OR(E75="",K75=""),"",MAX(E75,F75,G75,H75,I75,J75,K75)+90)</f>
        <v/>
      </c>
      <c r="M75" s="5" t="str">
        <f aca="false">IF(E75="","",IF(F75="",F75,IF(G75="",G75,IF(H75="",H75,IF(I75="",I75,IF(J75="",J75,IF(K75="",K75,IF(L75="",L75,"DONE"))))))))</f>
        <v/>
      </c>
      <c r="N75" s="1" t="str">
        <f aca="true">IF(OR(E75="",M75="DONE"),"",M75-TODAY())</f>
        <v/>
      </c>
      <c r="O75" s="1" t="str">
        <f aca="false">IF(E75="","",IF(M75="DONE","✅ Complete",IF(N75&lt;0,"🔴 OVERDUE",IF(N75=0,"🟡 TODAY",IF(N75&lt;=3,"🟠 SOON","🟢 Later")))))</f>
        <v/>
      </c>
    </row>
    <row r="76" customFormat="false" ht="15" hidden="false" customHeight="true" outlineLevel="0" collapsed="false">
      <c r="E76" s="5"/>
      <c r="F76" s="5" t="str">
        <f aca="false">IF(E76="","",E76+1)</f>
        <v/>
      </c>
      <c r="G76" s="5" t="str">
        <f aca="false">IF(OR(E76="",F76=""),"",MAX(E76,F76)+3)</f>
        <v/>
      </c>
      <c r="H76" s="5" t="str">
        <f aca="false">IF(OR(E76="",G76=""),"",MAX(E76,F76,G76)+7)</f>
        <v/>
      </c>
      <c r="I76" s="5" t="str">
        <f aca="false">IF(OR(E76="",H76=""),"",MAX(E76,F76,G76,H76)+15)</f>
        <v/>
      </c>
      <c r="J76" s="5" t="str">
        <f aca="false">IF(OR(E76="",I76=""),"",MAX(E76,F76,G76,H76,I76)+30)</f>
        <v/>
      </c>
      <c r="K76" s="5" t="str">
        <f aca="false">IF(OR(E76="",J76=""),"",MAX(E76,F76,G76,H76,I76,J76)+60)</f>
        <v/>
      </c>
      <c r="L76" s="5" t="str">
        <f aca="false">IF(OR(E76="",K76=""),"",MAX(E76,F76,G76,H76,I76,J76,K76)+90)</f>
        <v/>
      </c>
      <c r="M76" s="5" t="str">
        <f aca="false">IF(E76="","",IF(F76="",F76,IF(G76="",G76,IF(H76="",H76,IF(I76="",I76,IF(J76="",J76,IF(K76="",K76,IF(L76="",L76,"DONE"))))))))</f>
        <v/>
      </c>
      <c r="N76" s="1" t="str">
        <f aca="true">IF(OR(E76="",M76="DONE"),"",M76-TODAY())</f>
        <v/>
      </c>
      <c r="O76" s="1" t="str">
        <f aca="false">IF(E76="","",IF(M76="DONE","✅ Complete",IF(N76&lt;0,"🔴 OVERDUE",IF(N76=0,"🟡 TODAY",IF(N76&lt;=3,"🟠 SOON","🟢 Later")))))</f>
        <v/>
      </c>
    </row>
    <row r="77" customFormat="false" ht="15" hidden="false" customHeight="true" outlineLevel="0" collapsed="false">
      <c r="E77" s="5"/>
      <c r="F77" s="5" t="str">
        <f aca="false">IF(E77="","",E77+1)</f>
        <v/>
      </c>
      <c r="G77" s="5" t="str">
        <f aca="false">IF(OR(E77="",F77=""),"",MAX(E77,F77)+3)</f>
        <v/>
      </c>
      <c r="H77" s="5" t="str">
        <f aca="false">IF(OR(E77="",G77=""),"",MAX(E77,F77,G77)+7)</f>
        <v/>
      </c>
      <c r="I77" s="5" t="str">
        <f aca="false">IF(OR(E77="",H77=""),"",MAX(E77,F77,G77,H77)+15)</f>
        <v/>
      </c>
      <c r="J77" s="5" t="str">
        <f aca="false">IF(OR(E77="",I77=""),"",MAX(E77,F77,G77,H77,I77)+30)</f>
        <v/>
      </c>
      <c r="K77" s="5" t="str">
        <f aca="false">IF(OR(E77="",J77=""),"",MAX(E77,F77,G77,H77,I77,J77)+60)</f>
        <v/>
      </c>
      <c r="L77" s="5" t="str">
        <f aca="false">IF(OR(E77="",K77=""),"",MAX(E77,F77,G77,H77,I77,J77,K77)+90)</f>
        <v/>
      </c>
      <c r="M77" s="5" t="str">
        <f aca="false">IF(E77="","",IF(F77="",F77,IF(G77="",G77,IF(H77="",H77,IF(I77="",I77,IF(J77="",J77,IF(K77="",K77,IF(L77="",L77,"DONE"))))))))</f>
        <v/>
      </c>
      <c r="N77" s="1" t="str">
        <f aca="true">IF(OR(E77="",M77="DONE"),"",M77-TODAY())</f>
        <v/>
      </c>
      <c r="O77" s="1" t="str">
        <f aca="false">IF(E77="","",IF(M77="DONE","✅ Complete",IF(N77&lt;0,"🔴 OVERDUE",IF(N77=0,"🟡 TODAY",IF(N77&lt;=3,"🟠 SOON","🟢 Later")))))</f>
        <v/>
      </c>
    </row>
    <row r="78" customFormat="false" ht="15" hidden="false" customHeight="true" outlineLevel="0" collapsed="false">
      <c r="E78" s="5"/>
      <c r="F78" s="5" t="str">
        <f aca="false">IF(E78="","",E78+1)</f>
        <v/>
      </c>
      <c r="G78" s="5" t="str">
        <f aca="false">IF(OR(E78="",F78=""),"",MAX(E78,F78)+3)</f>
        <v/>
      </c>
      <c r="H78" s="5" t="str">
        <f aca="false">IF(OR(E78="",G78=""),"",MAX(E78,F78,G78)+7)</f>
        <v/>
      </c>
      <c r="I78" s="5" t="str">
        <f aca="false">IF(OR(E78="",H78=""),"",MAX(E78,F78,G78,H78)+15)</f>
        <v/>
      </c>
      <c r="J78" s="5" t="str">
        <f aca="false">IF(OR(E78="",I78=""),"",MAX(E78,F78,G78,H78,I78)+30)</f>
        <v/>
      </c>
      <c r="K78" s="5" t="str">
        <f aca="false">IF(OR(E78="",J78=""),"",MAX(E78,F78,G78,H78,I78,J78)+60)</f>
        <v/>
      </c>
      <c r="L78" s="5" t="str">
        <f aca="false">IF(OR(E78="",K78=""),"",MAX(E78,F78,G78,H78,I78,J78,K78)+90)</f>
        <v/>
      </c>
      <c r="M78" s="5" t="str">
        <f aca="false">IF(E78="","",IF(F78="",F78,IF(G78="",G78,IF(H78="",H78,IF(I78="",I78,IF(J78="",J78,IF(K78="",K78,IF(L78="",L78,"DONE"))))))))</f>
        <v/>
      </c>
      <c r="N78" s="1" t="str">
        <f aca="true">IF(OR(E78="",M78="DONE"),"",M78-TODAY())</f>
        <v/>
      </c>
      <c r="O78" s="1" t="str">
        <f aca="false">IF(E78="","",IF(M78="DONE","✅ Complete",IF(N78&lt;0,"🔴 OVERDUE",IF(N78=0,"🟡 TODAY",IF(N78&lt;=3,"🟠 SOON","🟢 Later")))))</f>
        <v/>
      </c>
    </row>
    <row r="79" customFormat="false" ht="15" hidden="false" customHeight="true" outlineLevel="0" collapsed="false">
      <c r="E79" s="5"/>
      <c r="F79" s="5" t="str">
        <f aca="false">IF(E79="","",E79+1)</f>
        <v/>
      </c>
      <c r="G79" s="5" t="str">
        <f aca="false">IF(OR(E79="",F79=""),"",MAX(E79,F79)+3)</f>
        <v/>
      </c>
      <c r="H79" s="5" t="str">
        <f aca="false">IF(OR(E79="",G79=""),"",MAX(E79,F79,G79)+7)</f>
        <v/>
      </c>
      <c r="I79" s="5" t="str">
        <f aca="false">IF(OR(E79="",H79=""),"",MAX(E79,F79,G79,H79)+15)</f>
        <v/>
      </c>
      <c r="J79" s="5" t="str">
        <f aca="false">IF(OR(E79="",I79=""),"",MAX(E79,F79,G79,H79,I79)+30)</f>
        <v/>
      </c>
      <c r="K79" s="5" t="str">
        <f aca="false">IF(OR(E79="",J79=""),"",MAX(E79,F79,G79,H79,I79,J79)+60)</f>
        <v/>
      </c>
      <c r="L79" s="5" t="str">
        <f aca="false">IF(OR(E79="",K79=""),"",MAX(E79,F79,G79,H79,I79,J79,K79)+90)</f>
        <v/>
      </c>
      <c r="M79" s="5" t="str">
        <f aca="false">IF(E79="","",IF(F79="",F79,IF(G79="",G79,IF(H79="",H79,IF(I79="",I79,IF(J79="",J79,IF(K79="",K79,IF(L79="",L79,"DONE"))))))))</f>
        <v/>
      </c>
      <c r="N79" s="1" t="str">
        <f aca="true">IF(OR(E79="",M79="DONE"),"",M79-TODAY())</f>
        <v/>
      </c>
      <c r="O79" s="1" t="str">
        <f aca="false">IF(E79="","",IF(M79="DONE","✅ Complete",IF(N79&lt;0,"🔴 OVERDUE",IF(N79=0,"🟡 TODAY",IF(N79&lt;=3,"🟠 SOON","🟢 Later")))))</f>
        <v/>
      </c>
    </row>
    <row r="80" customFormat="false" ht="15" hidden="false" customHeight="true" outlineLevel="0" collapsed="false">
      <c r="E80" s="5"/>
      <c r="F80" s="5" t="str">
        <f aca="false">IF(E80="","",E80+1)</f>
        <v/>
      </c>
      <c r="G80" s="5" t="str">
        <f aca="false">IF(OR(E80="",F80=""),"",MAX(E80,F80)+3)</f>
        <v/>
      </c>
      <c r="H80" s="5" t="str">
        <f aca="false">IF(OR(E80="",G80=""),"",MAX(E80,F80,G80)+7)</f>
        <v/>
      </c>
      <c r="I80" s="5" t="str">
        <f aca="false">IF(OR(E80="",H80=""),"",MAX(E80,F80,G80,H80)+15)</f>
        <v/>
      </c>
      <c r="J80" s="5" t="str">
        <f aca="false">IF(OR(E80="",I80=""),"",MAX(E80,F80,G80,H80,I80)+30)</f>
        <v/>
      </c>
      <c r="K80" s="5" t="str">
        <f aca="false">IF(OR(E80="",J80=""),"",MAX(E80,F80,G80,H80,I80,J80)+60)</f>
        <v/>
      </c>
      <c r="L80" s="5" t="str">
        <f aca="false">IF(OR(E80="",K80=""),"",MAX(E80,F80,G80,H80,I80,J80,K80)+90)</f>
        <v/>
      </c>
      <c r="M80" s="5" t="str">
        <f aca="false">IF(E80="","",IF(F80="",F80,IF(G80="",G80,IF(H80="",H80,IF(I80="",I80,IF(J80="",J80,IF(K80="",K80,IF(L80="",L80,"DONE"))))))))</f>
        <v/>
      </c>
      <c r="N80" s="1" t="str">
        <f aca="true">IF(OR(E80="",M80="DONE"),"",M80-TODAY())</f>
        <v/>
      </c>
      <c r="O80" s="1" t="str">
        <f aca="false">IF(E80="","",IF(M80="DONE","✅ Complete",IF(N80&lt;0,"🔴 OVERDUE",IF(N80=0,"🟡 TODAY",IF(N80&lt;=3,"🟠 SOON","🟢 Later")))))</f>
        <v/>
      </c>
    </row>
    <row r="81" customFormat="false" ht="15" hidden="false" customHeight="true" outlineLevel="0" collapsed="false">
      <c r="E81" s="5"/>
      <c r="F81" s="5" t="str">
        <f aca="false">IF(E81="","",E81+1)</f>
        <v/>
      </c>
      <c r="G81" s="5" t="str">
        <f aca="false">IF(OR(E81="",F81=""),"",MAX(E81,F81)+3)</f>
        <v/>
      </c>
      <c r="H81" s="5" t="str">
        <f aca="false">IF(OR(E81="",G81=""),"",MAX(E81,F81,G81)+7)</f>
        <v/>
      </c>
      <c r="I81" s="5" t="str">
        <f aca="false">IF(OR(E81="",H81=""),"",MAX(E81,F81,G81,H81)+15)</f>
        <v/>
      </c>
      <c r="J81" s="5" t="str">
        <f aca="false">IF(OR(E81="",I81=""),"",MAX(E81,F81,G81,H81,I81)+30)</f>
        <v/>
      </c>
      <c r="K81" s="5" t="str">
        <f aca="false">IF(OR(E81="",J81=""),"",MAX(E81,F81,G81,H81,I81,J81)+60)</f>
        <v/>
      </c>
      <c r="L81" s="5" t="str">
        <f aca="false">IF(OR(E81="",K81=""),"",MAX(E81,F81,G81,H81,I81,J81,K81)+90)</f>
        <v/>
      </c>
      <c r="M81" s="5" t="str">
        <f aca="false">IF(E81="","",IF(F81="",F81,IF(G81="",G81,IF(H81="",H81,IF(I81="",I81,IF(J81="",J81,IF(K81="",K81,IF(L81="",L81,"DONE"))))))))</f>
        <v/>
      </c>
      <c r="N81" s="1" t="str">
        <f aca="true">IF(OR(E81="",M81="DONE"),"",M81-TODAY())</f>
        <v/>
      </c>
      <c r="O81" s="1" t="str">
        <f aca="false">IF(E81="","",IF(M81="DONE","✅ Complete",IF(N81&lt;0,"🔴 OVERDUE",IF(N81=0,"🟡 TODAY",IF(N81&lt;=3,"🟠 SOON","🟢 Later")))))</f>
        <v/>
      </c>
    </row>
    <row r="82" customFormat="false" ht="15" hidden="false" customHeight="true" outlineLevel="0" collapsed="false">
      <c r="E82" s="5"/>
      <c r="F82" s="5" t="str">
        <f aca="false">IF(E82="","",E82+1)</f>
        <v/>
      </c>
      <c r="G82" s="5" t="str">
        <f aca="false">IF(OR(E82="",F82=""),"",MAX(E82,F82)+3)</f>
        <v/>
      </c>
      <c r="H82" s="5" t="str">
        <f aca="false">IF(OR(E82="",G82=""),"",MAX(E82,F82,G82)+7)</f>
        <v/>
      </c>
      <c r="I82" s="5" t="str">
        <f aca="false">IF(OR(E82="",H82=""),"",MAX(E82,F82,G82,H82)+15)</f>
        <v/>
      </c>
      <c r="J82" s="5" t="str">
        <f aca="false">IF(OR(E82="",I82=""),"",MAX(E82,F82,G82,H82,I82)+30)</f>
        <v/>
      </c>
      <c r="K82" s="5" t="str">
        <f aca="false">IF(OR(E82="",J82=""),"",MAX(E82,F82,G82,H82,I82,J82)+60)</f>
        <v/>
      </c>
      <c r="L82" s="5" t="str">
        <f aca="false">IF(OR(E82="",K82=""),"",MAX(E82,F82,G82,H82,I82,J82,K82)+90)</f>
        <v/>
      </c>
      <c r="M82" s="5" t="str">
        <f aca="false">IF(E82="","",IF(F82="",F82,IF(G82="",G82,IF(H82="",H82,IF(I82="",I82,IF(J82="",J82,IF(K82="",K82,IF(L82="",L82,"DONE"))))))))</f>
        <v/>
      </c>
      <c r="N82" s="1" t="str">
        <f aca="true">IF(OR(E82="",M82="DONE"),"",M82-TODAY())</f>
        <v/>
      </c>
      <c r="O82" s="1" t="str">
        <f aca="false">IF(E82="","",IF(M82="DONE","✅ Complete",IF(N82&lt;0,"🔴 OVERDUE",IF(N82=0,"🟡 TODAY",IF(N82&lt;=3,"🟠 SOON","🟢 Later")))))</f>
        <v/>
      </c>
    </row>
    <row r="83" customFormat="false" ht="15" hidden="false" customHeight="true" outlineLevel="0" collapsed="false">
      <c r="E83" s="5"/>
      <c r="F83" s="5" t="str">
        <f aca="false">IF(E83="","",E83+1)</f>
        <v/>
      </c>
      <c r="G83" s="5" t="str">
        <f aca="false">IF(OR(E83="",F83=""),"",MAX(E83,F83)+3)</f>
        <v/>
      </c>
      <c r="H83" s="5" t="str">
        <f aca="false">IF(OR(E83="",G83=""),"",MAX(E83,F83,G83)+7)</f>
        <v/>
      </c>
      <c r="I83" s="5" t="str">
        <f aca="false">IF(OR(E83="",H83=""),"",MAX(E83,F83,G83,H83)+15)</f>
        <v/>
      </c>
      <c r="J83" s="5" t="str">
        <f aca="false">IF(OR(E83="",I83=""),"",MAX(E83,F83,G83,H83,I83)+30)</f>
        <v/>
      </c>
      <c r="K83" s="5" t="str">
        <f aca="false">IF(OR(E83="",J83=""),"",MAX(E83,F83,G83,H83,I83,J83)+60)</f>
        <v/>
      </c>
      <c r="L83" s="5" t="str">
        <f aca="false">IF(OR(E83="",K83=""),"",MAX(E83,F83,G83,H83,I83,J83,K83)+90)</f>
        <v/>
      </c>
      <c r="M83" s="5" t="str">
        <f aca="false">IF(E83="","",IF(F83="",F83,IF(G83="",G83,IF(H83="",H83,IF(I83="",I83,IF(J83="",J83,IF(K83="",K83,IF(L83="",L83,"DONE"))))))))</f>
        <v/>
      </c>
      <c r="N83" s="1" t="str">
        <f aca="true">IF(OR(E83="",M83="DONE"),"",M83-TODAY())</f>
        <v/>
      </c>
      <c r="O83" s="1" t="str">
        <f aca="false">IF(E83="","",IF(M83="DONE","✅ Complete",IF(N83&lt;0,"🔴 OVERDUE",IF(N83=0,"🟡 TODAY",IF(N83&lt;=3,"🟠 SOON","🟢 Later")))))</f>
        <v/>
      </c>
    </row>
    <row r="84" customFormat="false" ht="15" hidden="false" customHeight="true" outlineLevel="0" collapsed="false">
      <c r="E84" s="5"/>
      <c r="F84" s="5" t="str">
        <f aca="false">IF(E84="","",E84+1)</f>
        <v/>
      </c>
      <c r="G84" s="5" t="str">
        <f aca="false">IF(OR(E84="",F84=""),"",MAX(E84,F84)+3)</f>
        <v/>
      </c>
      <c r="H84" s="5" t="str">
        <f aca="false">IF(OR(E84="",G84=""),"",MAX(E84,F84,G84)+7)</f>
        <v/>
      </c>
      <c r="I84" s="5" t="str">
        <f aca="false">IF(OR(E84="",H84=""),"",MAX(E84,F84,G84,H84)+15)</f>
        <v/>
      </c>
      <c r="J84" s="5" t="str">
        <f aca="false">IF(OR(E84="",I84=""),"",MAX(E84,F84,G84,H84,I84)+30)</f>
        <v/>
      </c>
      <c r="K84" s="5" t="str">
        <f aca="false">IF(OR(E84="",J84=""),"",MAX(E84,F84,G84,H84,I84,J84)+60)</f>
        <v/>
      </c>
      <c r="L84" s="5" t="str">
        <f aca="false">IF(OR(E84="",K84=""),"",MAX(E84,F84,G84,H84,I84,J84,K84)+90)</f>
        <v/>
      </c>
      <c r="M84" s="5" t="str">
        <f aca="false">IF(E84="","",IF(F84="",F84,IF(G84="",G84,IF(H84="",H84,IF(I84="",I84,IF(J84="",J84,IF(K84="",K84,IF(L84="",L84,"DONE"))))))))</f>
        <v/>
      </c>
      <c r="N84" s="1" t="str">
        <f aca="true">IF(OR(E84="",M84="DONE"),"",M84-TODAY())</f>
        <v/>
      </c>
      <c r="O84" s="1" t="str">
        <f aca="false">IF(E84="","",IF(M84="DONE","✅ Complete",IF(N84&lt;0,"🔴 OVERDUE",IF(N84=0,"🟡 TODAY",IF(N84&lt;=3,"🟠 SOON","🟢 Later")))))</f>
        <v/>
      </c>
    </row>
    <row r="85" customFormat="false" ht="15" hidden="false" customHeight="true" outlineLevel="0" collapsed="false">
      <c r="E85" s="5"/>
      <c r="F85" s="5" t="str">
        <f aca="false">IF(E85="","",E85+1)</f>
        <v/>
      </c>
      <c r="G85" s="5" t="str">
        <f aca="false">IF(OR(E85="",F85=""),"",MAX(E85,F85)+3)</f>
        <v/>
      </c>
      <c r="H85" s="5" t="str">
        <f aca="false">IF(OR(E85="",G85=""),"",MAX(E85,F85,G85)+7)</f>
        <v/>
      </c>
      <c r="I85" s="5" t="str">
        <f aca="false">IF(OR(E85="",H85=""),"",MAX(E85,F85,G85,H85)+15)</f>
        <v/>
      </c>
      <c r="J85" s="5" t="str">
        <f aca="false">IF(OR(E85="",I85=""),"",MAX(E85,F85,G85,H85,I85)+30)</f>
        <v/>
      </c>
      <c r="K85" s="5" t="str">
        <f aca="false">IF(OR(E85="",J85=""),"",MAX(E85,F85,G85,H85,I85,J85)+60)</f>
        <v/>
      </c>
      <c r="L85" s="5" t="str">
        <f aca="false">IF(OR(E85="",K85=""),"",MAX(E85,F85,G85,H85,I85,J85,K85)+90)</f>
        <v/>
      </c>
      <c r="M85" s="5" t="str">
        <f aca="false">IF(E85="","",IF(F85="",F85,IF(G85="",G85,IF(H85="",H85,IF(I85="",I85,IF(J85="",J85,IF(K85="",K85,IF(L85="",L85,"DONE"))))))))</f>
        <v/>
      </c>
      <c r="N85" s="1" t="str">
        <f aca="true">IF(OR(E85="",M85="DONE"),"",M85-TODAY())</f>
        <v/>
      </c>
      <c r="O85" s="1" t="str">
        <f aca="false">IF(E85="","",IF(M85="DONE","✅ Complete",IF(N85&lt;0,"🔴 OVERDUE",IF(N85=0,"🟡 TODAY",IF(N85&lt;=3,"🟠 SOON","🟢 Later")))))</f>
        <v/>
      </c>
    </row>
    <row r="86" customFormat="false" ht="15" hidden="false" customHeight="true" outlineLevel="0" collapsed="false">
      <c r="E86" s="5"/>
      <c r="F86" s="5" t="str">
        <f aca="false">IF(E86="","",E86+1)</f>
        <v/>
      </c>
      <c r="G86" s="5" t="str">
        <f aca="false">IF(OR(E86="",F86=""),"",MAX(E86,F86)+3)</f>
        <v/>
      </c>
      <c r="H86" s="5" t="str">
        <f aca="false">IF(OR(E86="",G86=""),"",MAX(E86,F86,G86)+7)</f>
        <v/>
      </c>
      <c r="I86" s="5" t="str">
        <f aca="false">IF(OR(E86="",H86=""),"",MAX(E86,F86,G86,H86)+15)</f>
        <v/>
      </c>
      <c r="J86" s="5" t="str">
        <f aca="false">IF(OR(E86="",I86=""),"",MAX(E86,F86,G86,H86,I86)+30)</f>
        <v/>
      </c>
      <c r="K86" s="5" t="str">
        <f aca="false">IF(OR(E86="",J86=""),"",MAX(E86,F86,G86,H86,I86,J86)+60)</f>
        <v/>
      </c>
      <c r="L86" s="5" t="str">
        <f aca="false">IF(OR(E86="",K86=""),"",MAX(E86,F86,G86,H86,I86,J86,K86)+90)</f>
        <v/>
      </c>
      <c r="M86" s="5" t="str">
        <f aca="false">IF(E86="","",IF(F86="",F86,IF(G86="",G86,IF(H86="",H86,IF(I86="",I86,IF(J86="",J86,IF(K86="",K86,IF(L86="",L86,"DONE"))))))))</f>
        <v/>
      </c>
      <c r="N86" s="1" t="str">
        <f aca="true">IF(OR(E86="",M86="DONE"),"",M86-TODAY())</f>
        <v/>
      </c>
      <c r="O86" s="1" t="str">
        <f aca="false">IF(E86="","",IF(M86="DONE","✅ Complete",IF(N86&lt;0,"🔴 OVERDUE",IF(N86=0,"🟡 TODAY",IF(N86&lt;=3,"🟠 SOON","🟢 Later")))))</f>
        <v/>
      </c>
    </row>
    <row r="87" customFormat="false" ht="15" hidden="false" customHeight="true" outlineLevel="0" collapsed="false">
      <c r="E87" s="5"/>
      <c r="F87" s="5" t="str">
        <f aca="false">IF(E87="","",E87+1)</f>
        <v/>
      </c>
      <c r="G87" s="5" t="str">
        <f aca="false">IF(OR(E87="",F87=""),"",MAX(E87,F87)+3)</f>
        <v/>
      </c>
      <c r="H87" s="5" t="str">
        <f aca="false">IF(OR(E87="",G87=""),"",MAX(E87,F87,G87)+7)</f>
        <v/>
      </c>
      <c r="I87" s="5" t="str">
        <f aca="false">IF(OR(E87="",H87=""),"",MAX(E87,F87,G87,H87)+15)</f>
        <v/>
      </c>
      <c r="J87" s="5" t="str">
        <f aca="false">IF(OR(E87="",I87=""),"",MAX(E87,F87,G87,H87,I87)+30)</f>
        <v/>
      </c>
      <c r="K87" s="5" t="str">
        <f aca="false">IF(OR(E87="",J87=""),"",MAX(E87,F87,G87,H87,I87,J87)+60)</f>
        <v/>
      </c>
      <c r="L87" s="5" t="str">
        <f aca="false">IF(OR(E87="",K87=""),"",MAX(E87,F87,G87,H87,I87,J87,K87)+90)</f>
        <v/>
      </c>
      <c r="M87" s="5" t="str">
        <f aca="false">IF(E87="","",IF(F87="",F87,IF(G87="",G87,IF(H87="",H87,IF(I87="",I87,IF(J87="",J87,IF(K87="",K87,IF(L87="",L87,"DONE"))))))))</f>
        <v/>
      </c>
      <c r="N87" s="1" t="str">
        <f aca="true">IF(OR(E87="",M87="DONE"),"",M87-TODAY())</f>
        <v/>
      </c>
      <c r="O87" s="1" t="str">
        <f aca="false">IF(E87="","",IF(M87="DONE","✅ Complete",IF(N87&lt;0,"🔴 OVERDUE",IF(N87=0,"🟡 TODAY",IF(N87&lt;=3,"🟠 SOON","🟢 Later")))))</f>
        <v/>
      </c>
    </row>
    <row r="88" customFormat="false" ht="15" hidden="false" customHeight="true" outlineLevel="0" collapsed="false">
      <c r="E88" s="5"/>
      <c r="F88" s="5" t="str">
        <f aca="false">IF(E88="","",E88+1)</f>
        <v/>
      </c>
      <c r="G88" s="5" t="str">
        <f aca="false">IF(OR(E88="",F88=""),"",MAX(E88,F88)+3)</f>
        <v/>
      </c>
      <c r="H88" s="5" t="str">
        <f aca="false">IF(OR(E88="",G88=""),"",MAX(E88,F88,G88)+7)</f>
        <v/>
      </c>
      <c r="I88" s="5" t="str">
        <f aca="false">IF(OR(E88="",H88=""),"",MAX(E88,F88,G88,H88)+15)</f>
        <v/>
      </c>
      <c r="J88" s="5" t="str">
        <f aca="false">IF(OR(E88="",I88=""),"",MAX(E88,F88,G88,H88,I88)+30)</f>
        <v/>
      </c>
      <c r="K88" s="5" t="str">
        <f aca="false">IF(OR(E88="",J88=""),"",MAX(E88,F88,G88,H88,I88,J88)+60)</f>
        <v/>
      </c>
      <c r="L88" s="5" t="str">
        <f aca="false">IF(OR(E88="",K88=""),"",MAX(E88,F88,G88,H88,I88,J88,K88)+90)</f>
        <v/>
      </c>
      <c r="M88" s="5" t="str">
        <f aca="false">IF(E88="","",IF(F88="",F88,IF(G88="",G88,IF(H88="",H88,IF(I88="",I88,IF(J88="",J88,IF(K88="",K88,IF(L88="",L88,"DONE"))))))))</f>
        <v/>
      </c>
      <c r="N88" s="1" t="str">
        <f aca="true">IF(OR(E88="",M88="DONE"),"",M88-TODAY())</f>
        <v/>
      </c>
      <c r="O88" s="1" t="str">
        <f aca="false">IF(E88="","",IF(M88="DONE","✅ Complete",IF(N88&lt;0,"🔴 OVERDUE",IF(N88=0,"🟡 TODAY",IF(N88&lt;=3,"🟠 SOON","🟢 Later")))))</f>
        <v/>
      </c>
    </row>
    <row r="89" customFormat="false" ht="15" hidden="false" customHeight="true" outlineLevel="0" collapsed="false">
      <c r="E89" s="5"/>
      <c r="F89" s="5" t="str">
        <f aca="false">IF(E89="","",E89+1)</f>
        <v/>
      </c>
      <c r="G89" s="5" t="str">
        <f aca="false">IF(OR(E89="",F89=""),"",MAX(E89,F89)+3)</f>
        <v/>
      </c>
      <c r="H89" s="5" t="str">
        <f aca="false">IF(OR(E89="",G89=""),"",MAX(E89,F89,G89)+7)</f>
        <v/>
      </c>
      <c r="I89" s="5" t="str">
        <f aca="false">IF(OR(E89="",H89=""),"",MAX(E89,F89,G89,H89)+15)</f>
        <v/>
      </c>
      <c r="J89" s="5" t="str">
        <f aca="false">IF(OR(E89="",I89=""),"",MAX(E89,F89,G89,H89,I89)+30)</f>
        <v/>
      </c>
      <c r="K89" s="5" t="str">
        <f aca="false">IF(OR(E89="",J89=""),"",MAX(E89,F89,G89,H89,I89,J89)+60)</f>
        <v/>
      </c>
      <c r="L89" s="5" t="str">
        <f aca="false">IF(OR(E89="",K89=""),"",MAX(E89,F89,G89,H89,I89,J89,K89)+90)</f>
        <v/>
      </c>
      <c r="M89" s="5" t="str">
        <f aca="false">IF(E89="","",IF(F89="",F89,IF(G89="",G89,IF(H89="",H89,IF(I89="",I89,IF(J89="",J89,IF(K89="",K89,IF(L89="",L89,"DONE"))))))))</f>
        <v/>
      </c>
      <c r="N89" s="1" t="str">
        <f aca="true">IF(OR(E89="",M89="DONE"),"",M89-TODAY())</f>
        <v/>
      </c>
      <c r="O89" s="1" t="str">
        <f aca="false">IF(E89="","",IF(M89="DONE","✅ Complete",IF(N89&lt;0,"🔴 OVERDUE",IF(N89=0,"🟡 TODAY",IF(N89&lt;=3,"🟠 SOON","🟢 Later")))))</f>
        <v/>
      </c>
    </row>
    <row r="90" customFormat="false" ht="15" hidden="false" customHeight="true" outlineLevel="0" collapsed="false">
      <c r="E90" s="5"/>
      <c r="F90" s="5" t="str">
        <f aca="false">IF(E90="","",E90+1)</f>
        <v/>
      </c>
      <c r="G90" s="5" t="str">
        <f aca="false">IF(OR(E90="",F90=""),"",MAX(E90,F90)+3)</f>
        <v/>
      </c>
      <c r="H90" s="5" t="str">
        <f aca="false">IF(OR(E90="",G90=""),"",MAX(E90,F90,G90)+7)</f>
        <v/>
      </c>
      <c r="I90" s="5" t="str">
        <f aca="false">IF(OR(E90="",H90=""),"",MAX(E90,F90,G90,H90)+15)</f>
        <v/>
      </c>
      <c r="J90" s="5" t="str">
        <f aca="false">IF(OR(E90="",I90=""),"",MAX(E90,F90,G90,H90,I90)+30)</f>
        <v/>
      </c>
      <c r="K90" s="5" t="str">
        <f aca="false">IF(OR(E90="",J90=""),"",MAX(E90,F90,G90,H90,I90,J90)+60)</f>
        <v/>
      </c>
      <c r="L90" s="5" t="str">
        <f aca="false">IF(OR(E90="",K90=""),"",MAX(E90,F90,G90,H90,I90,J90,K90)+90)</f>
        <v/>
      </c>
      <c r="M90" s="5" t="str">
        <f aca="false">IF(E90="","",IF(F90="",F90,IF(G90="",G90,IF(H90="",H90,IF(I90="",I90,IF(J90="",J90,IF(K90="",K90,IF(L90="",L90,"DONE"))))))))</f>
        <v/>
      </c>
      <c r="N90" s="1" t="str">
        <f aca="true">IF(OR(E90="",M90="DONE"),"",M90-TODAY())</f>
        <v/>
      </c>
      <c r="O90" s="1" t="str">
        <f aca="false">IF(E90="","",IF(M90="DONE","✅ Complete",IF(N90&lt;0,"🔴 OVERDUE",IF(N90=0,"🟡 TODAY",IF(N90&lt;=3,"🟠 SOON","🟢 Later")))))</f>
        <v/>
      </c>
    </row>
    <row r="91" customFormat="false" ht="15" hidden="false" customHeight="true" outlineLevel="0" collapsed="false">
      <c r="E91" s="5"/>
      <c r="F91" s="5" t="str">
        <f aca="false">IF(E91="","",E91+1)</f>
        <v/>
      </c>
      <c r="G91" s="5" t="str">
        <f aca="false">IF(OR(E91="",F91=""),"",MAX(E91,F91)+3)</f>
        <v/>
      </c>
      <c r="H91" s="5" t="str">
        <f aca="false">IF(OR(E91="",G91=""),"",MAX(E91,F91,G91)+7)</f>
        <v/>
      </c>
      <c r="I91" s="5" t="str">
        <f aca="false">IF(OR(E91="",H91=""),"",MAX(E91,F91,G91,H91)+15)</f>
        <v/>
      </c>
      <c r="J91" s="5" t="str">
        <f aca="false">IF(OR(E91="",I91=""),"",MAX(E91,F91,G91,H91,I91)+30)</f>
        <v/>
      </c>
      <c r="K91" s="5" t="str">
        <f aca="false">IF(OR(E91="",J91=""),"",MAX(E91,F91,G91,H91,I91,J91)+60)</f>
        <v/>
      </c>
      <c r="L91" s="5" t="str">
        <f aca="false">IF(OR(E91="",K91=""),"",MAX(E91,F91,G91,H91,I91,J91,K91)+90)</f>
        <v/>
      </c>
      <c r="M91" s="5" t="str">
        <f aca="false">IF(E91="","",IF(F91="",F91,IF(G91="",G91,IF(H91="",H91,IF(I91="",I91,IF(J91="",J91,IF(K91="",K91,IF(L91="",L91,"DONE"))))))))</f>
        <v/>
      </c>
      <c r="N91" s="1" t="str">
        <f aca="true">IF(OR(E91="",M91="DONE"),"",M91-TODAY())</f>
        <v/>
      </c>
      <c r="O91" s="1" t="str">
        <f aca="false">IF(E91="","",IF(M91="DONE","✅ Complete",IF(N91&lt;0,"🔴 OVERDUE",IF(N91=0,"🟡 TODAY",IF(N91&lt;=3,"🟠 SOON","🟢 Later")))))</f>
        <v/>
      </c>
    </row>
    <row r="92" customFormat="false" ht="15" hidden="false" customHeight="true" outlineLevel="0" collapsed="false">
      <c r="E92" s="5"/>
      <c r="F92" s="5" t="str">
        <f aca="false">IF(E92="","",E92+1)</f>
        <v/>
      </c>
      <c r="G92" s="5" t="str">
        <f aca="false">IF(OR(E92="",F92=""),"",MAX(E92,F92)+3)</f>
        <v/>
      </c>
      <c r="H92" s="5" t="str">
        <f aca="false">IF(OR(E92="",G92=""),"",MAX(E92,F92,G92)+7)</f>
        <v/>
      </c>
      <c r="I92" s="5" t="str">
        <f aca="false">IF(OR(E92="",H92=""),"",MAX(E92,F92,G92,H92)+15)</f>
        <v/>
      </c>
      <c r="J92" s="5" t="str">
        <f aca="false">IF(OR(E92="",I92=""),"",MAX(E92,F92,G92,H92,I92)+30)</f>
        <v/>
      </c>
      <c r="K92" s="5" t="str">
        <f aca="false">IF(OR(E92="",J92=""),"",MAX(E92,F92,G92,H92,I92,J92)+60)</f>
        <v/>
      </c>
      <c r="L92" s="5" t="str">
        <f aca="false">IF(OR(E92="",K92=""),"",MAX(E92,F92,G92,H92,I92,J92,K92)+90)</f>
        <v/>
      </c>
      <c r="M92" s="5" t="str">
        <f aca="false">IF(E92="","",IF(F92="",F92,IF(G92="",G92,IF(H92="",H92,IF(I92="",I92,IF(J92="",J92,IF(K92="",K92,IF(L92="",L92,"DONE"))))))))</f>
        <v/>
      </c>
      <c r="N92" s="1" t="str">
        <f aca="true">IF(OR(E92="",M92="DONE"),"",M92-TODAY())</f>
        <v/>
      </c>
      <c r="O92" s="1" t="str">
        <f aca="false">IF(E92="","",IF(M92="DONE","✅ Complete",IF(N92&lt;0,"🔴 OVERDUE",IF(N92=0,"🟡 TODAY",IF(N92&lt;=3,"🟠 SOON","🟢 Later")))))</f>
        <v/>
      </c>
    </row>
    <row r="93" customFormat="false" ht="15" hidden="false" customHeight="true" outlineLevel="0" collapsed="false">
      <c r="E93" s="5"/>
      <c r="F93" s="5" t="str">
        <f aca="false">IF(E93="","",E93+1)</f>
        <v/>
      </c>
      <c r="G93" s="5" t="str">
        <f aca="false">IF(OR(E93="",F93=""),"",MAX(E93,F93)+3)</f>
        <v/>
      </c>
      <c r="H93" s="5" t="str">
        <f aca="false">IF(OR(E93="",G93=""),"",MAX(E93,F93,G93)+7)</f>
        <v/>
      </c>
      <c r="I93" s="5" t="str">
        <f aca="false">IF(OR(E93="",H93=""),"",MAX(E93,F93,G93,H93)+15)</f>
        <v/>
      </c>
      <c r="J93" s="5" t="str">
        <f aca="false">IF(OR(E93="",I93=""),"",MAX(E93,F93,G93,H93,I93)+30)</f>
        <v/>
      </c>
      <c r="K93" s="5" t="str">
        <f aca="false">IF(OR(E93="",J93=""),"",MAX(E93,F93,G93,H93,I93,J93)+60)</f>
        <v/>
      </c>
      <c r="L93" s="5" t="str">
        <f aca="false">IF(OR(E93="",K93=""),"",MAX(E93,F93,G93,H93,I93,J93,K93)+90)</f>
        <v/>
      </c>
      <c r="M93" s="5" t="str">
        <f aca="false">IF(E93="","",IF(F93="",F93,IF(G93="",G93,IF(H93="",H93,IF(I93="",I93,IF(J93="",J93,IF(K93="",K93,IF(L93="",L93,"DONE"))))))))</f>
        <v/>
      </c>
      <c r="N93" s="1" t="str">
        <f aca="true">IF(OR(E93="",M93="DONE"),"",M93-TODAY())</f>
        <v/>
      </c>
      <c r="O93" s="1" t="str">
        <f aca="false">IF(E93="","",IF(M93="DONE","✅ Complete",IF(N93&lt;0,"🔴 OVERDUE",IF(N93=0,"🟡 TODAY",IF(N93&lt;=3,"🟠 SOON","🟢 Later")))))</f>
        <v/>
      </c>
    </row>
    <row r="94" customFormat="false" ht="15" hidden="false" customHeight="true" outlineLevel="0" collapsed="false">
      <c r="E94" s="5"/>
      <c r="F94" s="5" t="str">
        <f aca="false">IF(E94="","",E94+1)</f>
        <v/>
      </c>
      <c r="G94" s="5" t="str">
        <f aca="false">IF(OR(E94="",F94=""),"",MAX(E94,F94)+3)</f>
        <v/>
      </c>
      <c r="H94" s="5" t="str">
        <f aca="false">IF(OR(E94="",G94=""),"",MAX(E94,F94,G94)+7)</f>
        <v/>
      </c>
      <c r="I94" s="5" t="str">
        <f aca="false">IF(OR(E94="",H94=""),"",MAX(E94,F94,G94,H94)+15)</f>
        <v/>
      </c>
      <c r="J94" s="5" t="str">
        <f aca="false">IF(OR(E94="",I94=""),"",MAX(E94,F94,G94,H94,I94)+30)</f>
        <v/>
      </c>
      <c r="K94" s="5" t="str">
        <f aca="false">IF(OR(E94="",J94=""),"",MAX(E94,F94,G94,H94,I94,J94)+60)</f>
        <v/>
      </c>
      <c r="L94" s="5" t="str">
        <f aca="false">IF(OR(E94="",K94=""),"",MAX(E94,F94,G94,H94,I94,J94,K94)+90)</f>
        <v/>
      </c>
      <c r="M94" s="5" t="str">
        <f aca="false">IF(E94="","",IF(F94="",F94,IF(G94="",G94,IF(H94="",H94,IF(I94="",I94,IF(J94="",J94,IF(K94="",K94,IF(L94="",L94,"DONE"))))))))</f>
        <v/>
      </c>
      <c r="N94" s="1" t="str">
        <f aca="true">IF(OR(E94="",M94="DONE"),"",M94-TODAY())</f>
        <v/>
      </c>
      <c r="O94" s="1" t="str">
        <f aca="false">IF(E94="","",IF(M94="DONE","✅ Complete",IF(N94&lt;0,"🔴 OVERDUE",IF(N94=0,"🟡 TODAY",IF(N94&lt;=3,"🟠 SOON","🟢 Later")))))</f>
        <v/>
      </c>
    </row>
    <row r="95" customFormat="false" ht="15" hidden="false" customHeight="true" outlineLevel="0" collapsed="false">
      <c r="E95" s="5"/>
      <c r="F95" s="5" t="str">
        <f aca="false">IF(E95="","",E95+1)</f>
        <v/>
      </c>
      <c r="G95" s="5" t="str">
        <f aca="false">IF(OR(E95="",F95=""),"",MAX(E95,F95)+3)</f>
        <v/>
      </c>
      <c r="H95" s="5" t="str">
        <f aca="false">IF(OR(E95="",G95=""),"",MAX(E95,F95,G95)+7)</f>
        <v/>
      </c>
      <c r="I95" s="5" t="str">
        <f aca="false">IF(OR(E95="",H95=""),"",MAX(E95,F95,G95,H95)+15)</f>
        <v/>
      </c>
      <c r="J95" s="5" t="str">
        <f aca="false">IF(OR(E95="",I95=""),"",MAX(E95,F95,G95,H95,I95)+30)</f>
        <v/>
      </c>
      <c r="K95" s="5" t="str">
        <f aca="false">IF(OR(E95="",J95=""),"",MAX(E95,F95,G95,H95,I95,J95)+60)</f>
        <v/>
      </c>
      <c r="L95" s="5" t="str">
        <f aca="false">IF(OR(E95="",K95=""),"",MAX(E95,F95,G95,H95,I95,J95,K95)+90)</f>
        <v/>
      </c>
      <c r="M95" s="5" t="str">
        <f aca="false">IF(E95="","",IF(F95="",F95,IF(G95="",G95,IF(H95="",H95,IF(I95="",I95,IF(J95="",J95,IF(K95="",K95,IF(L95="",L95,"DONE"))))))))</f>
        <v/>
      </c>
      <c r="N95" s="1" t="str">
        <f aca="true">IF(OR(E95="",M95="DONE"),"",M95-TODAY())</f>
        <v/>
      </c>
      <c r="O95" s="1" t="str">
        <f aca="false">IF(E95="","",IF(M95="DONE","✅ Complete",IF(N95&lt;0,"🔴 OVERDUE",IF(N95=0,"🟡 TODAY",IF(N95&lt;=3,"🟠 SOON","🟢 Later")))))</f>
        <v/>
      </c>
    </row>
    <row r="96" customFormat="false" ht="15" hidden="false" customHeight="true" outlineLevel="0" collapsed="false">
      <c r="E96" s="5"/>
      <c r="F96" s="5" t="str">
        <f aca="false">IF(E96="","",E96+1)</f>
        <v/>
      </c>
      <c r="G96" s="5" t="str">
        <f aca="false">IF(OR(E96="",F96=""),"",MAX(E96,F96)+3)</f>
        <v/>
      </c>
      <c r="H96" s="5" t="str">
        <f aca="false">IF(OR(E96="",G96=""),"",MAX(E96,F96,G96)+7)</f>
        <v/>
      </c>
      <c r="I96" s="5" t="str">
        <f aca="false">IF(OR(E96="",H96=""),"",MAX(E96,F96,G96,H96)+15)</f>
        <v/>
      </c>
      <c r="J96" s="5" t="str">
        <f aca="false">IF(OR(E96="",I96=""),"",MAX(E96,F96,G96,H96,I96)+30)</f>
        <v/>
      </c>
      <c r="K96" s="5" t="str">
        <f aca="false">IF(OR(E96="",J96=""),"",MAX(E96,F96,G96,H96,I96,J96)+60)</f>
        <v/>
      </c>
      <c r="L96" s="5" t="str">
        <f aca="false">IF(OR(E96="",K96=""),"",MAX(E96,F96,G96,H96,I96,J96,K96)+90)</f>
        <v/>
      </c>
      <c r="M96" s="5" t="str">
        <f aca="false">IF(E96="","",IF(F96="",F96,IF(G96="",G96,IF(H96="",H96,IF(I96="",I96,IF(J96="",J96,IF(K96="",K96,IF(L96="",L96,"DONE"))))))))</f>
        <v/>
      </c>
      <c r="N96" s="1" t="str">
        <f aca="true">IF(OR(E96="",M96="DONE"),"",M96-TODAY())</f>
        <v/>
      </c>
      <c r="O96" s="1" t="str">
        <f aca="false">IF(E96="","",IF(M96="DONE","✅ Complete",IF(N96&lt;0,"🔴 OVERDUE",IF(N96=0,"🟡 TODAY",IF(N96&lt;=3,"🟠 SOON","🟢 Later")))))</f>
        <v/>
      </c>
    </row>
    <row r="97" customFormat="false" ht="15" hidden="false" customHeight="true" outlineLevel="0" collapsed="false">
      <c r="E97" s="5"/>
      <c r="F97" s="5" t="str">
        <f aca="false">IF(E97="","",E97+1)</f>
        <v/>
      </c>
      <c r="G97" s="5" t="str">
        <f aca="false">IF(OR(E97="",F97=""),"",MAX(E97,F97)+3)</f>
        <v/>
      </c>
      <c r="H97" s="5" t="str">
        <f aca="false">IF(OR(E97="",G97=""),"",MAX(E97,F97,G97)+7)</f>
        <v/>
      </c>
      <c r="I97" s="5" t="str">
        <f aca="false">IF(OR(E97="",H97=""),"",MAX(E97,F97,G97,H97)+15)</f>
        <v/>
      </c>
      <c r="J97" s="5" t="str">
        <f aca="false">IF(OR(E97="",I97=""),"",MAX(E97,F97,G97,H97,I97)+30)</f>
        <v/>
      </c>
      <c r="K97" s="5" t="str">
        <f aca="false">IF(OR(E97="",J97=""),"",MAX(E97,F97,G97,H97,I97,J97)+60)</f>
        <v/>
      </c>
      <c r="L97" s="5" t="str">
        <f aca="false">IF(OR(E97="",K97=""),"",MAX(E97,F97,G97,H97,I97,J97,K97)+90)</f>
        <v/>
      </c>
      <c r="M97" s="5" t="str">
        <f aca="false">IF(E97="","",IF(F97="",F97,IF(G97="",G97,IF(H97="",H97,IF(I97="",I97,IF(J97="",J97,IF(K97="",K97,IF(L97="",L97,"DONE"))))))))</f>
        <v/>
      </c>
      <c r="N97" s="1" t="str">
        <f aca="true">IF(OR(E97="",M97="DONE"),"",M97-TODAY())</f>
        <v/>
      </c>
      <c r="O97" s="1" t="str">
        <f aca="false">IF(E97="","",IF(M97="DONE","✅ Complete",IF(N97&lt;0,"🔴 OVERDUE",IF(N97=0,"🟡 TODAY",IF(N97&lt;=3,"🟠 SOON","🟢 Later")))))</f>
        <v/>
      </c>
    </row>
    <row r="98" customFormat="false" ht="15" hidden="false" customHeight="true" outlineLevel="0" collapsed="false">
      <c r="E98" s="5"/>
      <c r="F98" s="5" t="str">
        <f aca="false">IF(E98="","",E98+1)</f>
        <v/>
      </c>
      <c r="G98" s="5" t="str">
        <f aca="false">IF(OR(E98="",F98=""),"",MAX(E98,F98)+3)</f>
        <v/>
      </c>
      <c r="H98" s="5" t="str">
        <f aca="false">IF(OR(E98="",G98=""),"",MAX(E98,F98,G98)+7)</f>
        <v/>
      </c>
      <c r="I98" s="5" t="str">
        <f aca="false">IF(OR(E98="",H98=""),"",MAX(E98,F98,G98,H98)+15)</f>
        <v/>
      </c>
      <c r="J98" s="5" t="str">
        <f aca="false">IF(OR(E98="",I98=""),"",MAX(E98,F98,G98,H98,I98)+30)</f>
        <v/>
      </c>
      <c r="K98" s="5" t="str">
        <f aca="false">IF(OR(E98="",J98=""),"",MAX(E98,F98,G98,H98,I98,J98)+60)</f>
        <v/>
      </c>
      <c r="L98" s="5" t="str">
        <f aca="false">IF(OR(E98="",K98=""),"",MAX(E98,F98,G98,H98,I98,J98,K98)+90)</f>
        <v/>
      </c>
      <c r="M98" s="5" t="str">
        <f aca="false">IF(E98="","",IF(F98="",F98,IF(G98="",G98,IF(H98="",H98,IF(I98="",I98,IF(J98="",J98,IF(K98="",K98,IF(L98="",L98,"DONE"))))))))</f>
        <v/>
      </c>
      <c r="N98" s="1" t="str">
        <f aca="true">IF(OR(E98="",M98="DONE"),"",M98-TODAY())</f>
        <v/>
      </c>
      <c r="O98" s="1" t="str">
        <f aca="false">IF(E98="","",IF(M98="DONE","✅ Complete",IF(N98&lt;0,"🔴 OVERDUE",IF(N98=0,"🟡 TODAY",IF(N98&lt;=3,"🟠 SOON","🟢 Later")))))</f>
        <v/>
      </c>
    </row>
    <row r="99" customFormat="false" ht="15" hidden="false" customHeight="true" outlineLevel="0" collapsed="false">
      <c r="E99" s="5"/>
      <c r="F99" s="5" t="str">
        <f aca="false">IF(E99="","",E99+1)</f>
        <v/>
      </c>
      <c r="G99" s="5" t="str">
        <f aca="false">IF(OR(E99="",F99=""),"",MAX(E99,F99)+3)</f>
        <v/>
      </c>
      <c r="H99" s="5" t="str">
        <f aca="false">IF(OR(E99="",G99=""),"",MAX(E99,F99,G99)+7)</f>
        <v/>
      </c>
      <c r="I99" s="5" t="str">
        <f aca="false">IF(OR(E99="",H99=""),"",MAX(E99,F99,G99,H99)+15)</f>
        <v/>
      </c>
      <c r="J99" s="5" t="str">
        <f aca="false">IF(OR(E99="",I99=""),"",MAX(E99,F99,G99,H99,I99)+30)</f>
        <v/>
      </c>
      <c r="K99" s="5" t="str">
        <f aca="false">IF(OR(E99="",J99=""),"",MAX(E99,F99,G99,H99,I99,J99)+60)</f>
        <v/>
      </c>
      <c r="L99" s="5" t="str">
        <f aca="false">IF(OR(E99="",K99=""),"",MAX(E99,F99,G99,H99,I99,J99,K99)+90)</f>
        <v/>
      </c>
      <c r="M99" s="5" t="str">
        <f aca="false">IF(E99="","",IF(F99="",F99,IF(G99="",G99,IF(H99="",H99,IF(I99="",I99,IF(J99="",J99,IF(K99="",K99,IF(L99="",L99,"DONE"))))))))</f>
        <v/>
      </c>
      <c r="N99" s="1" t="str">
        <f aca="true">IF(OR(E99="",M99="DONE"),"",M99-TODAY())</f>
        <v/>
      </c>
      <c r="O99" s="1" t="str">
        <f aca="false">IF(E99="","",IF(M99="DONE","✅ Complete",IF(N99&lt;0,"🔴 OVERDUE",IF(N99=0,"🟡 TODAY",IF(N99&lt;=3,"🟠 SOON","🟢 Later")))))</f>
        <v/>
      </c>
    </row>
    <row r="100" customFormat="false" ht="15" hidden="false" customHeight="true" outlineLevel="0" collapsed="false">
      <c r="E100" s="5"/>
      <c r="F100" s="5" t="str">
        <f aca="false">IF(E100="","",E100+1)</f>
        <v/>
      </c>
      <c r="G100" s="5" t="str">
        <f aca="false">IF(OR(E100="",F100=""),"",MAX(E100,F100)+3)</f>
        <v/>
      </c>
      <c r="H100" s="5" t="str">
        <f aca="false">IF(OR(E100="",G100=""),"",MAX(E100,F100,G100)+7)</f>
        <v/>
      </c>
      <c r="I100" s="5" t="str">
        <f aca="false">IF(OR(E100="",H100=""),"",MAX(E100,F100,G100,H100)+15)</f>
        <v/>
      </c>
      <c r="J100" s="5" t="str">
        <f aca="false">IF(OR(E100="",I100=""),"",MAX(E100,F100,G100,H100,I100)+30)</f>
        <v/>
      </c>
      <c r="K100" s="5" t="str">
        <f aca="false">IF(OR(E100="",J100=""),"",MAX(E100,F100,G100,H100,I100,J100)+60)</f>
        <v/>
      </c>
      <c r="L100" s="5" t="str">
        <f aca="false">IF(OR(E100="",K100=""),"",MAX(E100,F100,G100,H100,I100,J100,K100)+90)</f>
        <v/>
      </c>
      <c r="M100" s="5" t="str">
        <f aca="false">IF(E100="","",IF(F100="",F100,IF(G100="",G100,IF(H100="",H100,IF(I100="",I100,IF(J100="",J100,IF(K100="",K100,IF(L100="",L100,"DONE"))))))))</f>
        <v/>
      </c>
      <c r="N100" s="1" t="str">
        <f aca="true">IF(OR(E100="",M100="DONE"),"",M100-TODAY())</f>
        <v/>
      </c>
      <c r="O100" s="1" t="str">
        <f aca="false">IF(E100="","",IF(M100="DONE","✅ Complete",IF(N100&lt;0,"🔴 OVERDUE",IF(N100=0,"🟡 TODAY",IF(N100&lt;=3,"🟠 SOON","🟢 Later")))))</f>
        <v/>
      </c>
    </row>
    <row r="101" customFormat="false" ht="15" hidden="false" customHeight="true" outlineLevel="0" collapsed="false">
      <c r="E101" s="5"/>
      <c r="F101" s="5" t="str">
        <f aca="false">IF(E101="","",E101+1)</f>
        <v/>
      </c>
      <c r="G101" s="5" t="str">
        <f aca="false">IF(OR(E101="",F101=""),"",MAX(E101,F101)+3)</f>
        <v/>
      </c>
      <c r="H101" s="5" t="str">
        <f aca="false">IF(OR(E101="",G101=""),"",MAX(E101,F101,G101)+7)</f>
        <v/>
      </c>
      <c r="I101" s="5" t="str">
        <f aca="false">IF(OR(E101="",H101=""),"",MAX(E101,F101,G101,H101)+15)</f>
        <v/>
      </c>
      <c r="J101" s="5" t="str">
        <f aca="false">IF(OR(E101="",I101=""),"",MAX(E101,F101,G101,H101,I101)+30)</f>
        <v/>
      </c>
      <c r="K101" s="5" t="str">
        <f aca="false">IF(OR(E101="",J101=""),"",MAX(E101,F101,G101,H101,I101,J101)+60)</f>
        <v/>
      </c>
      <c r="L101" s="5" t="str">
        <f aca="false">IF(OR(E101="",K101=""),"",MAX(E101,F101,G101,H101,I101,J101,K101)+90)</f>
        <v/>
      </c>
      <c r="M101" s="5" t="str">
        <f aca="false">IF(E101="","",IF(F101="",F101,IF(G101="",G101,IF(H101="",H101,IF(I101="",I101,IF(J101="",J101,IF(K101="",K101,IF(L101="",L101,"DONE"))))))))</f>
        <v/>
      </c>
      <c r="N101" s="1" t="str">
        <f aca="true">IF(OR(E101="",M101="DONE"),"",M101-TODAY())</f>
        <v/>
      </c>
      <c r="O101" s="1" t="str">
        <f aca="false">IF(E101="","",IF(M101="DONE","✅ Complete",IF(N101&lt;0,"🔴 OVERDUE",IF(N101=0,"🟡 TODAY",IF(N101&lt;=3,"🟠 SOON","🟢 Later")))))</f>
        <v/>
      </c>
    </row>
    <row r="102" customFormat="false" ht="15" hidden="false" customHeight="true" outlineLevel="0" collapsed="false">
      <c r="E102" s="5"/>
      <c r="F102" s="5" t="str">
        <f aca="false">IF(E102="","",E102+1)</f>
        <v/>
      </c>
      <c r="G102" s="5" t="str">
        <f aca="false">IF(OR(E102="",F102=""),"",MAX(E102,F102)+3)</f>
        <v/>
      </c>
      <c r="H102" s="5" t="str">
        <f aca="false">IF(OR(E102="",G102=""),"",MAX(E102,F102,G102)+7)</f>
        <v/>
      </c>
      <c r="I102" s="5" t="str">
        <f aca="false">IF(OR(E102="",H102=""),"",MAX(E102,F102,G102,H102)+15)</f>
        <v/>
      </c>
      <c r="J102" s="5" t="str">
        <f aca="false">IF(OR(E102="",I102=""),"",MAX(E102,F102,G102,H102,I102)+30)</f>
        <v/>
      </c>
      <c r="K102" s="5" t="str">
        <f aca="false">IF(OR(E102="",J102=""),"",MAX(E102,F102,G102,H102,I102,J102)+60)</f>
        <v/>
      </c>
      <c r="L102" s="5" t="str">
        <f aca="false">IF(OR(E102="",K102=""),"",MAX(E102,F102,G102,H102,I102,J102,K102)+90)</f>
        <v/>
      </c>
      <c r="M102" s="5" t="str">
        <f aca="false">IF(E102="","",IF(F102="",F102,IF(G102="",G102,IF(H102="",H102,IF(I102="",I102,IF(J102="",J102,IF(K102="",K102,IF(L102="",L102,"DONE"))))))))</f>
        <v/>
      </c>
      <c r="N102" s="1" t="str">
        <f aca="true">IF(OR(E102="",M102="DONE"),"",M102-TODAY())</f>
        <v/>
      </c>
      <c r="O102" s="1" t="str">
        <f aca="false">IF(E102="","",IF(M102="DONE","✅ Complete",IF(N102&lt;0,"🔴 OVERDUE",IF(N102=0,"🟡 TODAY",IF(N102&lt;=3,"🟠 SOON","🟢 Later")))))</f>
        <v/>
      </c>
    </row>
    <row r="103" customFormat="false" ht="15" hidden="false" customHeight="true" outlineLevel="0" collapsed="false">
      <c r="E103" s="5"/>
      <c r="F103" s="5" t="str">
        <f aca="false">IF(E103="","",E103+1)</f>
        <v/>
      </c>
      <c r="G103" s="5" t="str">
        <f aca="false">IF(OR(E103="",F103=""),"",MAX(E103,F103)+3)</f>
        <v/>
      </c>
      <c r="H103" s="5" t="str">
        <f aca="false">IF(OR(E103="",G103=""),"",MAX(E103,F103,G103)+7)</f>
        <v/>
      </c>
      <c r="I103" s="5" t="str">
        <f aca="false">IF(OR(E103="",H103=""),"",MAX(E103,F103,G103,H103)+15)</f>
        <v/>
      </c>
      <c r="J103" s="5" t="str">
        <f aca="false">IF(OR(E103="",I103=""),"",MAX(E103,F103,G103,H103,I103)+30)</f>
        <v/>
      </c>
      <c r="K103" s="5" t="str">
        <f aca="false">IF(OR(E103="",J103=""),"",MAX(E103,F103,G103,H103,I103,J103)+60)</f>
        <v/>
      </c>
      <c r="L103" s="5" t="str">
        <f aca="false">IF(OR(E103="",K103=""),"",MAX(E103,F103,G103,H103,I103,J103,K103)+90)</f>
        <v/>
      </c>
      <c r="M103" s="5" t="str">
        <f aca="false">IF(E103="","",IF(F103="",F103,IF(G103="",G103,IF(H103="",H103,IF(I103="",I103,IF(J103="",J103,IF(K103="",K103,IF(L103="",L103,"DONE"))))))))</f>
        <v/>
      </c>
      <c r="N103" s="1" t="str">
        <f aca="true">IF(OR(E103="",M103="DONE"),"",M103-TODAY())</f>
        <v/>
      </c>
      <c r="O103" s="1" t="str">
        <f aca="false">IF(E103="","",IF(M103="DONE","✅ Complete",IF(N103&lt;0,"🔴 OVERDUE",IF(N103=0,"🟡 TODAY",IF(N103&lt;=3,"🟠 SOON","🟢 Later")))))</f>
        <v/>
      </c>
    </row>
    <row r="104" customFormat="false" ht="15" hidden="false" customHeight="true" outlineLevel="0" collapsed="false">
      <c r="E104" s="5"/>
      <c r="F104" s="5" t="str">
        <f aca="false">IF(E104="","",E104+1)</f>
        <v/>
      </c>
      <c r="G104" s="5" t="str">
        <f aca="false">IF(OR(E104="",F104=""),"",MAX(E104,F104)+3)</f>
        <v/>
      </c>
      <c r="H104" s="5" t="str">
        <f aca="false">IF(OR(E104="",G104=""),"",MAX(E104,F104,G104)+7)</f>
        <v/>
      </c>
      <c r="I104" s="5" t="str">
        <f aca="false">IF(OR(E104="",H104=""),"",MAX(E104,F104,G104,H104)+15)</f>
        <v/>
      </c>
      <c r="J104" s="5" t="str">
        <f aca="false">IF(OR(E104="",I104=""),"",MAX(E104,F104,G104,H104,I104)+30)</f>
        <v/>
      </c>
      <c r="K104" s="5" t="str">
        <f aca="false">IF(OR(E104="",J104=""),"",MAX(E104,F104,G104,H104,I104,J104)+60)</f>
        <v/>
      </c>
      <c r="L104" s="5" t="str">
        <f aca="false">IF(OR(E104="",K104=""),"",MAX(E104,F104,G104,H104,I104,J104,K104)+90)</f>
        <v/>
      </c>
      <c r="M104" s="5" t="str">
        <f aca="false">IF(E104="","",IF(F104="",F104,IF(G104="",G104,IF(H104="",H104,IF(I104="",I104,IF(J104="",J104,IF(K104="",K104,IF(L104="",L104,"DONE"))))))))</f>
        <v/>
      </c>
      <c r="N104" s="1" t="str">
        <f aca="true">IF(OR(E104="",M104="DONE"),"",M104-TODAY())</f>
        <v/>
      </c>
      <c r="O104" s="1" t="str">
        <f aca="false">IF(E104="","",IF(M104="DONE","✅ Complete",IF(N104&lt;0,"🔴 OVERDUE",IF(N104=0,"🟡 TODAY",IF(N104&lt;=3,"🟠 SOON","🟢 Later")))))</f>
        <v/>
      </c>
    </row>
    <row r="105" customFormat="false" ht="15" hidden="false" customHeight="true" outlineLevel="0" collapsed="false">
      <c r="E105" s="5"/>
      <c r="F105" s="5" t="str">
        <f aca="false">IF(E105="","",E105+1)</f>
        <v/>
      </c>
      <c r="G105" s="5" t="str">
        <f aca="false">IF(OR(E105="",F105=""),"",MAX(E105,F105)+3)</f>
        <v/>
      </c>
      <c r="H105" s="5" t="str">
        <f aca="false">IF(OR(E105="",G105=""),"",MAX(E105,F105,G105)+7)</f>
        <v/>
      </c>
      <c r="I105" s="5" t="str">
        <f aca="false">IF(OR(E105="",H105=""),"",MAX(E105,F105,G105,H105)+15)</f>
        <v/>
      </c>
      <c r="J105" s="5" t="str">
        <f aca="false">IF(OR(E105="",I105=""),"",MAX(E105,F105,G105,H105,I105)+30)</f>
        <v/>
      </c>
      <c r="K105" s="5" t="str">
        <f aca="false">IF(OR(E105="",J105=""),"",MAX(E105,F105,G105,H105,I105,J105)+60)</f>
        <v/>
      </c>
      <c r="L105" s="5" t="str">
        <f aca="false">IF(OR(E105="",K105=""),"",MAX(E105,F105,G105,H105,I105,J105,K105)+90)</f>
        <v/>
      </c>
      <c r="M105" s="5" t="str">
        <f aca="false">IF(E105="","",IF(F105="",F105,IF(G105="",G105,IF(H105="",H105,IF(I105="",I105,IF(J105="",J105,IF(K105="",K105,IF(L105="",L105,"DONE"))))))))</f>
        <v/>
      </c>
      <c r="N105" s="1" t="str">
        <f aca="true">IF(OR(E105="",M105="DONE"),"",M105-TODAY())</f>
        <v/>
      </c>
      <c r="O105" s="1" t="str">
        <f aca="false">IF(E105="","",IF(M105="DONE","✅ Complete",IF(N105&lt;0,"🔴 OVERDUE",IF(N105=0,"🟡 TODAY",IF(N105&lt;=3,"🟠 SOON","🟢 Later")))))</f>
        <v/>
      </c>
    </row>
    <row r="106" customFormat="false" ht="15" hidden="false" customHeight="true" outlineLevel="0" collapsed="false">
      <c r="E106" s="5"/>
      <c r="F106" s="5" t="str">
        <f aca="false">IF(E106="","",E106+1)</f>
        <v/>
      </c>
      <c r="G106" s="5" t="str">
        <f aca="false">IF(OR(E106="",F106=""),"",MAX(E106,F106)+3)</f>
        <v/>
      </c>
      <c r="H106" s="5" t="str">
        <f aca="false">IF(OR(E106="",G106=""),"",MAX(E106,F106,G106)+7)</f>
        <v/>
      </c>
      <c r="I106" s="5" t="str">
        <f aca="false">IF(OR(E106="",H106=""),"",MAX(E106,F106,G106,H106)+15)</f>
        <v/>
      </c>
      <c r="J106" s="5" t="str">
        <f aca="false">IF(OR(E106="",I106=""),"",MAX(E106,F106,G106,H106,I106)+30)</f>
        <v/>
      </c>
      <c r="K106" s="5" t="str">
        <f aca="false">IF(OR(E106="",J106=""),"",MAX(E106,F106,G106,H106,I106,J106)+60)</f>
        <v/>
      </c>
      <c r="L106" s="5" t="str">
        <f aca="false">IF(OR(E106="",K106=""),"",MAX(E106,F106,G106,H106,I106,J106,K106)+90)</f>
        <v/>
      </c>
      <c r="M106" s="5" t="str">
        <f aca="false">IF(E106="","",IF(F106="",F106,IF(G106="",G106,IF(H106="",H106,IF(I106="",I106,IF(J106="",J106,IF(K106="",K106,IF(L106="",L106,"DONE"))))))))</f>
        <v/>
      </c>
      <c r="N106" s="1" t="str">
        <f aca="true">IF(OR(E106="",M106="DONE"),"",M106-TODAY())</f>
        <v/>
      </c>
      <c r="O106" s="1" t="str">
        <f aca="false">IF(E106="","",IF(M106="DONE","✅ Complete",IF(N106&lt;0,"🔴 OVERDUE",IF(N106=0,"🟡 TODAY",IF(N106&lt;=3,"🟠 SOON","🟢 Later")))))</f>
        <v/>
      </c>
    </row>
    <row r="107" customFormat="false" ht="15" hidden="false" customHeight="true" outlineLevel="0" collapsed="false">
      <c r="E107" s="5"/>
      <c r="F107" s="5" t="str">
        <f aca="false">IF(E107="","",E107+1)</f>
        <v/>
      </c>
      <c r="G107" s="5" t="str">
        <f aca="false">IF(OR(E107="",F107=""),"",MAX(E107,F107)+3)</f>
        <v/>
      </c>
      <c r="H107" s="5" t="str">
        <f aca="false">IF(OR(E107="",G107=""),"",MAX(E107,F107,G107)+7)</f>
        <v/>
      </c>
      <c r="I107" s="5" t="str">
        <f aca="false">IF(OR(E107="",H107=""),"",MAX(E107,F107,G107,H107)+15)</f>
        <v/>
      </c>
      <c r="J107" s="5" t="str">
        <f aca="false">IF(OR(E107="",I107=""),"",MAX(E107,F107,G107,H107,I107)+30)</f>
        <v/>
      </c>
      <c r="K107" s="5" t="str">
        <f aca="false">IF(OR(E107="",J107=""),"",MAX(E107,F107,G107,H107,I107,J107)+60)</f>
        <v/>
      </c>
      <c r="L107" s="5" t="str">
        <f aca="false">IF(OR(E107="",K107=""),"",MAX(E107,F107,G107,H107,I107,J107,K107)+90)</f>
        <v/>
      </c>
      <c r="M107" s="5" t="str">
        <f aca="false">IF(E107="","",IF(F107="",F107,IF(G107="",G107,IF(H107="",H107,IF(I107="",I107,IF(J107="",J107,IF(K107="",K107,IF(L107="",L107,"DONE"))))))))</f>
        <v/>
      </c>
      <c r="N107" s="1" t="str">
        <f aca="true">IF(OR(E107="",M107="DONE"),"",M107-TODAY())</f>
        <v/>
      </c>
      <c r="O107" s="1" t="str">
        <f aca="false">IF(E107="","",IF(M107="DONE","✅ Complete",IF(N107&lt;0,"🔴 OVERDUE",IF(N107=0,"🟡 TODAY",IF(N107&lt;=3,"🟠 SOON","🟢 Later")))))</f>
        <v/>
      </c>
    </row>
    <row r="108" customFormat="false" ht="15" hidden="false" customHeight="true" outlineLevel="0" collapsed="false">
      <c r="E108" s="5"/>
      <c r="F108" s="5" t="str">
        <f aca="false">IF(E108="","",E108+1)</f>
        <v/>
      </c>
      <c r="G108" s="5" t="str">
        <f aca="false">IF(OR(E108="",F108=""),"",MAX(E108,F108)+3)</f>
        <v/>
      </c>
      <c r="H108" s="5" t="str">
        <f aca="false">IF(OR(E108="",G108=""),"",MAX(E108,F108,G108)+7)</f>
        <v/>
      </c>
      <c r="I108" s="5" t="str">
        <f aca="false">IF(OR(E108="",H108=""),"",MAX(E108,F108,G108,H108)+15)</f>
        <v/>
      </c>
      <c r="J108" s="5" t="str">
        <f aca="false">IF(OR(E108="",I108=""),"",MAX(E108,F108,G108,H108,I108)+30)</f>
        <v/>
      </c>
      <c r="K108" s="5" t="str">
        <f aca="false">IF(OR(E108="",J108=""),"",MAX(E108,F108,G108,H108,I108,J108)+60)</f>
        <v/>
      </c>
      <c r="L108" s="5" t="str">
        <f aca="false">IF(OR(E108="",K108=""),"",MAX(E108,F108,G108,H108,I108,J108,K108)+90)</f>
        <v/>
      </c>
      <c r="M108" s="5" t="str">
        <f aca="false">IF(E108="","",IF(F108="",F108,IF(G108="",G108,IF(H108="",H108,IF(I108="",I108,IF(J108="",J108,IF(K108="",K108,IF(L108="",L108,"DONE"))))))))</f>
        <v/>
      </c>
      <c r="N108" s="1" t="str">
        <f aca="true">IF(OR(E108="",M108="DONE"),"",M108-TODAY())</f>
        <v/>
      </c>
      <c r="O108" s="1" t="str">
        <f aca="false">IF(E108="","",IF(M108="DONE","✅ Complete",IF(N108&lt;0,"🔴 OVERDUE",IF(N108=0,"🟡 TODAY",IF(N108&lt;=3,"🟠 SOON","🟢 Later")))))</f>
        <v/>
      </c>
    </row>
    <row r="109" customFormat="false" ht="15" hidden="false" customHeight="true" outlineLevel="0" collapsed="false">
      <c r="E109" s="5"/>
      <c r="F109" s="5" t="str">
        <f aca="false">IF(E109="","",E109+1)</f>
        <v/>
      </c>
      <c r="G109" s="5" t="str">
        <f aca="false">IF(OR(E109="",F109=""),"",MAX(E109,F109)+3)</f>
        <v/>
      </c>
      <c r="H109" s="5" t="str">
        <f aca="false">IF(OR(E109="",G109=""),"",MAX(E109,F109,G109)+7)</f>
        <v/>
      </c>
      <c r="I109" s="5" t="str">
        <f aca="false">IF(OR(E109="",H109=""),"",MAX(E109,F109,G109,H109)+15)</f>
        <v/>
      </c>
      <c r="J109" s="5" t="str">
        <f aca="false">IF(OR(E109="",I109=""),"",MAX(E109,F109,G109,H109,I109)+30)</f>
        <v/>
      </c>
      <c r="K109" s="5" t="str">
        <f aca="false">IF(OR(E109="",J109=""),"",MAX(E109,F109,G109,H109,I109,J109)+60)</f>
        <v/>
      </c>
      <c r="L109" s="5" t="str">
        <f aca="false">IF(OR(E109="",K109=""),"",MAX(E109,F109,G109,H109,I109,J109,K109)+90)</f>
        <v/>
      </c>
      <c r="M109" s="5" t="str">
        <f aca="false">IF(E109="","",IF(F109="",F109,IF(G109="",G109,IF(H109="",H109,IF(I109="",I109,IF(J109="",J109,IF(K109="",K109,IF(L109="",L109,"DONE"))))))))</f>
        <v/>
      </c>
      <c r="N109" s="1" t="str">
        <f aca="true">IF(OR(E109="",M109="DONE"),"",M109-TODAY())</f>
        <v/>
      </c>
      <c r="O109" s="1" t="str">
        <f aca="false">IF(E109="","",IF(M109="DONE","✅ Complete",IF(N109&lt;0,"🔴 OVERDUE",IF(N109=0,"🟡 TODAY",IF(N109&lt;=3,"🟠 SOON","🟢 Later")))))</f>
        <v/>
      </c>
    </row>
    <row r="110" customFormat="false" ht="15" hidden="false" customHeight="true" outlineLevel="0" collapsed="false">
      <c r="E110" s="5"/>
      <c r="F110" s="5" t="str">
        <f aca="false">IF(E110="","",E110+1)</f>
        <v/>
      </c>
      <c r="G110" s="5" t="str">
        <f aca="false">IF(OR(E110="",F110=""),"",MAX(E110,F110)+3)</f>
        <v/>
      </c>
      <c r="H110" s="5" t="str">
        <f aca="false">IF(OR(E110="",G110=""),"",MAX(E110,F110,G110)+7)</f>
        <v/>
      </c>
      <c r="I110" s="5" t="str">
        <f aca="false">IF(OR(E110="",H110=""),"",MAX(E110,F110,G110,H110)+15)</f>
        <v/>
      </c>
      <c r="J110" s="5" t="str">
        <f aca="false">IF(OR(E110="",I110=""),"",MAX(E110,F110,G110,H110,I110)+30)</f>
        <v/>
      </c>
      <c r="K110" s="5" t="str">
        <f aca="false">IF(OR(E110="",J110=""),"",MAX(E110,F110,G110,H110,I110,J110)+60)</f>
        <v/>
      </c>
      <c r="L110" s="5" t="str">
        <f aca="false">IF(OR(E110="",K110=""),"",MAX(E110,F110,G110,H110,I110,J110,K110)+90)</f>
        <v/>
      </c>
      <c r="M110" s="5" t="str">
        <f aca="false">IF(E110="","",IF(F110="",F110,IF(G110="",G110,IF(H110="",H110,IF(I110="",I110,IF(J110="",J110,IF(K110="",K110,IF(L110="",L110,"DONE"))))))))</f>
        <v/>
      </c>
      <c r="N110" s="1" t="str">
        <f aca="true">IF(OR(E110="",M110="DONE"),"",M110-TODAY())</f>
        <v/>
      </c>
      <c r="O110" s="1" t="str">
        <f aca="false">IF(E110="","",IF(M110="DONE","✅ Complete",IF(N110&lt;0,"🔴 OVERDUE",IF(N110=0,"🟡 TODAY",IF(N110&lt;=3,"🟠 SOON","🟢 Later")))))</f>
        <v/>
      </c>
    </row>
    <row r="111" customFormat="false" ht="15" hidden="false" customHeight="true" outlineLevel="0" collapsed="false">
      <c r="E111" s="5"/>
      <c r="F111" s="5" t="str">
        <f aca="false">IF(E111="","",E111+1)</f>
        <v/>
      </c>
      <c r="G111" s="5" t="str">
        <f aca="false">IF(OR(E111="",F111=""),"",MAX(E111,F111)+3)</f>
        <v/>
      </c>
      <c r="H111" s="5" t="str">
        <f aca="false">IF(OR(E111="",G111=""),"",MAX(E111,F111,G111)+7)</f>
        <v/>
      </c>
      <c r="I111" s="5" t="str">
        <f aca="false">IF(OR(E111="",H111=""),"",MAX(E111,F111,G111,H111)+15)</f>
        <v/>
      </c>
      <c r="J111" s="5" t="str">
        <f aca="false">IF(OR(E111="",I111=""),"",MAX(E111,F111,G111,H111,I111)+30)</f>
        <v/>
      </c>
      <c r="K111" s="5" t="str">
        <f aca="false">IF(OR(E111="",J111=""),"",MAX(E111,F111,G111,H111,I111,J111)+60)</f>
        <v/>
      </c>
      <c r="L111" s="5" t="str">
        <f aca="false">IF(OR(E111="",K111=""),"",MAX(E111,F111,G111,H111,I111,J111,K111)+90)</f>
        <v/>
      </c>
      <c r="M111" s="5" t="str">
        <f aca="false">IF(E111="","",IF(F111="",F111,IF(G111="",G111,IF(H111="",H111,IF(I111="",I111,IF(J111="",J111,IF(K111="",K111,IF(L111="",L111,"DONE"))))))))</f>
        <v/>
      </c>
      <c r="N111" s="1" t="str">
        <f aca="true">IF(OR(E111="",M111="DONE"),"",M111-TODAY())</f>
        <v/>
      </c>
      <c r="O111" s="1" t="str">
        <f aca="false">IF(E111="","",IF(M111="DONE","✅ Complete",IF(N111&lt;0,"🔴 OVERDUE",IF(N111=0,"🟡 TODAY",IF(N111&lt;=3,"🟠 SOON","🟢 Later")))))</f>
        <v/>
      </c>
    </row>
    <row r="112" customFormat="false" ht="15" hidden="false" customHeight="true" outlineLevel="0" collapsed="false">
      <c r="E112" s="5"/>
      <c r="F112" s="5" t="str">
        <f aca="false">IF(E112="","",E112+1)</f>
        <v/>
      </c>
      <c r="G112" s="5" t="str">
        <f aca="false">IF(OR(E112="",F112=""),"",MAX(E112,F112)+3)</f>
        <v/>
      </c>
      <c r="H112" s="5" t="str">
        <f aca="false">IF(OR(E112="",G112=""),"",MAX(E112,F112,G112)+7)</f>
        <v/>
      </c>
      <c r="I112" s="5" t="str">
        <f aca="false">IF(OR(E112="",H112=""),"",MAX(E112,F112,G112,H112)+15)</f>
        <v/>
      </c>
      <c r="J112" s="5" t="str">
        <f aca="false">IF(OR(E112="",I112=""),"",MAX(E112,F112,G112,H112,I112)+30)</f>
        <v/>
      </c>
      <c r="K112" s="5" t="str">
        <f aca="false">IF(OR(E112="",J112=""),"",MAX(E112,F112,G112,H112,I112,J112)+60)</f>
        <v/>
      </c>
      <c r="L112" s="5" t="str">
        <f aca="false">IF(OR(E112="",K112=""),"",MAX(E112,F112,G112,H112,I112,J112,K112)+90)</f>
        <v/>
      </c>
      <c r="M112" s="5" t="str">
        <f aca="false">IF(E112="","",IF(F112="",F112,IF(G112="",G112,IF(H112="",H112,IF(I112="",I112,IF(J112="",J112,IF(K112="",K112,IF(L112="",L112,"DONE"))))))))</f>
        <v/>
      </c>
      <c r="N112" s="1" t="str">
        <f aca="true">IF(OR(E112="",M112="DONE"),"",M112-TODAY())</f>
        <v/>
      </c>
      <c r="O112" s="1" t="str">
        <f aca="false">IF(E112="","",IF(M112="DONE","✅ Complete",IF(N112&lt;0,"🔴 OVERDUE",IF(N112=0,"🟡 TODAY",IF(N112&lt;=3,"🟠 SOON","🟢 Later")))))</f>
        <v/>
      </c>
    </row>
    <row r="113" customFormat="false" ht="15" hidden="false" customHeight="true" outlineLevel="0" collapsed="false">
      <c r="E113" s="5"/>
      <c r="F113" s="5" t="str">
        <f aca="false">IF(E113="","",E113+1)</f>
        <v/>
      </c>
      <c r="G113" s="5" t="str">
        <f aca="false">IF(OR(E113="",F113=""),"",MAX(E113,F113)+3)</f>
        <v/>
      </c>
      <c r="H113" s="5" t="str">
        <f aca="false">IF(OR(E113="",G113=""),"",MAX(E113,F113,G113)+7)</f>
        <v/>
      </c>
      <c r="I113" s="5" t="str">
        <f aca="false">IF(OR(E113="",H113=""),"",MAX(E113,F113,G113,H113)+15)</f>
        <v/>
      </c>
      <c r="J113" s="5" t="str">
        <f aca="false">IF(OR(E113="",I113=""),"",MAX(E113,F113,G113,H113,I113)+30)</f>
        <v/>
      </c>
      <c r="K113" s="5" t="str">
        <f aca="false">IF(OR(E113="",J113=""),"",MAX(E113,F113,G113,H113,I113,J113)+60)</f>
        <v/>
      </c>
      <c r="L113" s="5" t="str">
        <f aca="false">IF(OR(E113="",K113=""),"",MAX(E113,F113,G113,H113,I113,J113,K113)+90)</f>
        <v/>
      </c>
      <c r="M113" s="5" t="str">
        <f aca="false">IF(E113="","",IF(F113="",F113,IF(G113="",G113,IF(H113="",H113,IF(I113="",I113,IF(J113="",J113,IF(K113="",K113,IF(L113="",L113,"DONE"))))))))</f>
        <v/>
      </c>
      <c r="N113" s="1" t="str">
        <f aca="true">IF(OR(E113="",M113="DONE"),"",M113-TODAY())</f>
        <v/>
      </c>
      <c r="O113" s="1" t="str">
        <f aca="false">IF(E113="","",IF(M113="DONE","✅ Complete",IF(N113&lt;0,"🔴 OVERDUE",IF(N113=0,"🟡 TODAY",IF(N113&lt;=3,"🟠 SOON","🟢 Later")))))</f>
        <v/>
      </c>
    </row>
    <row r="114" customFormat="false" ht="15" hidden="false" customHeight="true" outlineLevel="0" collapsed="false">
      <c r="E114" s="5"/>
      <c r="F114" s="5" t="str">
        <f aca="false">IF(E114="","",E114+1)</f>
        <v/>
      </c>
      <c r="G114" s="5" t="str">
        <f aca="false">IF(OR(E114="",F114=""),"",MAX(E114,F114)+3)</f>
        <v/>
      </c>
      <c r="H114" s="5" t="str">
        <f aca="false">IF(OR(E114="",G114=""),"",MAX(E114,F114,G114)+7)</f>
        <v/>
      </c>
      <c r="I114" s="5" t="str">
        <f aca="false">IF(OR(E114="",H114=""),"",MAX(E114,F114,G114,H114)+15)</f>
        <v/>
      </c>
      <c r="J114" s="5" t="str">
        <f aca="false">IF(OR(E114="",I114=""),"",MAX(E114,F114,G114,H114,I114)+30)</f>
        <v/>
      </c>
      <c r="K114" s="5" t="str">
        <f aca="false">IF(OR(E114="",J114=""),"",MAX(E114,F114,G114,H114,I114,J114)+60)</f>
        <v/>
      </c>
      <c r="L114" s="5" t="str">
        <f aca="false">IF(OR(E114="",K114=""),"",MAX(E114,F114,G114,H114,I114,J114,K114)+90)</f>
        <v/>
      </c>
      <c r="M114" s="5" t="str">
        <f aca="false">IF(E114="","",IF(F114="",F114,IF(G114="",G114,IF(H114="",H114,IF(I114="",I114,IF(J114="",J114,IF(K114="",K114,IF(L114="",L114,"DONE"))))))))</f>
        <v/>
      </c>
      <c r="N114" s="1" t="str">
        <f aca="true">IF(OR(E114="",M114="DONE"),"",M114-TODAY())</f>
        <v/>
      </c>
      <c r="O114" s="1" t="str">
        <f aca="false">IF(E114="","",IF(M114="DONE","✅ Complete",IF(N114&lt;0,"🔴 OVERDUE",IF(N114=0,"🟡 TODAY",IF(N114&lt;=3,"🟠 SOON","🟢 Later")))))</f>
        <v/>
      </c>
    </row>
    <row r="115" customFormat="false" ht="15" hidden="false" customHeight="true" outlineLevel="0" collapsed="false">
      <c r="E115" s="5"/>
      <c r="F115" s="5" t="str">
        <f aca="false">IF(E115="","",E115+1)</f>
        <v/>
      </c>
      <c r="G115" s="5" t="str">
        <f aca="false">IF(OR(E115="",F115=""),"",MAX(E115,F115)+3)</f>
        <v/>
      </c>
      <c r="H115" s="5" t="str">
        <f aca="false">IF(OR(E115="",G115=""),"",MAX(E115,F115,G115)+7)</f>
        <v/>
      </c>
      <c r="I115" s="5" t="str">
        <f aca="false">IF(OR(E115="",H115=""),"",MAX(E115,F115,G115,H115)+15)</f>
        <v/>
      </c>
      <c r="J115" s="5" t="str">
        <f aca="false">IF(OR(E115="",I115=""),"",MAX(E115,F115,G115,H115,I115)+30)</f>
        <v/>
      </c>
      <c r="K115" s="5" t="str">
        <f aca="false">IF(OR(E115="",J115=""),"",MAX(E115,F115,G115,H115,I115,J115)+60)</f>
        <v/>
      </c>
      <c r="L115" s="5" t="str">
        <f aca="false">IF(OR(E115="",K115=""),"",MAX(E115,F115,G115,H115,I115,J115,K115)+90)</f>
        <v/>
      </c>
      <c r="M115" s="5" t="str">
        <f aca="false">IF(E115="","",IF(F115="",F115,IF(G115="",G115,IF(H115="",H115,IF(I115="",I115,IF(J115="",J115,IF(K115="",K115,IF(L115="",L115,"DONE"))))))))</f>
        <v/>
      </c>
      <c r="N115" s="1" t="str">
        <f aca="true">IF(OR(E115="",M115="DONE"),"",M115-TODAY())</f>
        <v/>
      </c>
      <c r="O115" s="1" t="str">
        <f aca="false">IF(E115="","",IF(M115="DONE","✅ Complete",IF(N115&lt;0,"🔴 OVERDUE",IF(N115=0,"🟡 TODAY",IF(N115&lt;=3,"🟠 SOON","🟢 Later")))))</f>
        <v/>
      </c>
    </row>
    <row r="116" customFormat="false" ht="15" hidden="false" customHeight="true" outlineLevel="0" collapsed="false">
      <c r="E116" s="5"/>
      <c r="F116" s="5" t="str">
        <f aca="false">IF(E116="","",E116+1)</f>
        <v/>
      </c>
      <c r="G116" s="5" t="str">
        <f aca="false">IF(OR(E116="",F116=""),"",MAX(E116,F116)+3)</f>
        <v/>
      </c>
      <c r="H116" s="5" t="str">
        <f aca="false">IF(OR(E116="",G116=""),"",MAX(E116,F116,G116)+7)</f>
        <v/>
      </c>
      <c r="I116" s="5" t="str">
        <f aca="false">IF(OR(E116="",H116=""),"",MAX(E116,F116,G116,H116)+15)</f>
        <v/>
      </c>
      <c r="J116" s="5" t="str">
        <f aca="false">IF(OR(E116="",I116=""),"",MAX(E116,F116,G116,H116,I116)+30)</f>
        <v/>
      </c>
      <c r="K116" s="5" t="str">
        <f aca="false">IF(OR(E116="",J116=""),"",MAX(E116,F116,G116,H116,I116,J116)+60)</f>
        <v/>
      </c>
      <c r="L116" s="5" t="str">
        <f aca="false">IF(OR(E116="",K116=""),"",MAX(E116,F116,G116,H116,I116,J116,K116)+90)</f>
        <v/>
      </c>
      <c r="M116" s="5" t="str">
        <f aca="false">IF(E116="","",IF(F116="",F116,IF(G116="",G116,IF(H116="",H116,IF(I116="",I116,IF(J116="",J116,IF(K116="",K116,IF(L116="",L116,"DONE"))))))))</f>
        <v/>
      </c>
      <c r="N116" s="1" t="str">
        <f aca="true">IF(OR(E116="",M116="DONE"),"",M116-TODAY())</f>
        <v/>
      </c>
      <c r="O116" s="1" t="str">
        <f aca="false">IF(E116="","",IF(M116="DONE","✅ Complete",IF(N116&lt;0,"🔴 OVERDUE",IF(N116=0,"🟡 TODAY",IF(N116&lt;=3,"🟠 SOON","🟢 Later")))))</f>
        <v/>
      </c>
    </row>
    <row r="117" customFormat="false" ht="15" hidden="false" customHeight="true" outlineLevel="0" collapsed="false">
      <c r="E117" s="5"/>
      <c r="F117" s="5" t="str">
        <f aca="false">IF(E117="","",E117+1)</f>
        <v/>
      </c>
      <c r="G117" s="5" t="str">
        <f aca="false">IF(OR(E117="",F117=""),"",MAX(E117,F117)+3)</f>
        <v/>
      </c>
      <c r="H117" s="5" t="str">
        <f aca="false">IF(OR(E117="",G117=""),"",MAX(E117,F117,G117)+7)</f>
        <v/>
      </c>
      <c r="I117" s="5" t="str">
        <f aca="false">IF(OR(E117="",H117=""),"",MAX(E117,F117,G117,H117)+15)</f>
        <v/>
      </c>
      <c r="J117" s="5" t="str">
        <f aca="false">IF(OR(E117="",I117=""),"",MAX(E117,F117,G117,H117,I117)+30)</f>
        <v/>
      </c>
      <c r="K117" s="5" t="str">
        <f aca="false">IF(OR(E117="",J117=""),"",MAX(E117,F117,G117,H117,I117,J117)+60)</f>
        <v/>
      </c>
      <c r="L117" s="5" t="str">
        <f aca="false">IF(OR(E117="",K117=""),"",MAX(E117,F117,G117,H117,I117,J117,K117)+90)</f>
        <v/>
      </c>
      <c r="M117" s="5" t="str">
        <f aca="false">IF(E117="","",IF(F117="",F117,IF(G117="",G117,IF(H117="",H117,IF(I117="",I117,IF(J117="",J117,IF(K117="",K117,IF(L117="",L117,"DONE"))))))))</f>
        <v/>
      </c>
      <c r="N117" s="1" t="str">
        <f aca="true">IF(OR(E117="",M117="DONE"),"",M117-TODAY())</f>
        <v/>
      </c>
      <c r="O117" s="1" t="str">
        <f aca="false">IF(E117="","",IF(M117="DONE","✅ Complete",IF(N117&lt;0,"🔴 OVERDUE",IF(N117=0,"🟡 TODAY",IF(N117&lt;=3,"🟠 SOON","🟢 Later")))))</f>
        <v/>
      </c>
    </row>
    <row r="118" customFormat="false" ht="15" hidden="false" customHeight="true" outlineLevel="0" collapsed="false">
      <c r="E118" s="5"/>
      <c r="F118" s="5" t="str">
        <f aca="false">IF(E118="","",E118+1)</f>
        <v/>
      </c>
      <c r="G118" s="5" t="str">
        <f aca="false">IF(OR(E118="",F118=""),"",MAX(E118,F118)+3)</f>
        <v/>
      </c>
      <c r="H118" s="5" t="str">
        <f aca="false">IF(OR(E118="",G118=""),"",MAX(E118,F118,G118)+7)</f>
        <v/>
      </c>
      <c r="I118" s="5" t="str">
        <f aca="false">IF(OR(E118="",H118=""),"",MAX(E118,F118,G118,H118)+15)</f>
        <v/>
      </c>
      <c r="J118" s="5" t="str">
        <f aca="false">IF(OR(E118="",I118=""),"",MAX(E118,F118,G118,H118,I118)+30)</f>
        <v/>
      </c>
      <c r="K118" s="5" t="str">
        <f aca="false">IF(OR(E118="",J118=""),"",MAX(E118,F118,G118,H118,I118,J118)+60)</f>
        <v/>
      </c>
      <c r="L118" s="5" t="str">
        <f aca="false">IF(OR(E118="",K118=""),"",MAX(E118,F118,G118,H118,I118,J118,K118)+90)</f>
        <v/>
      </c>
      <c r="M118" s="5" t="str">
        <f aca="false">IF(E118="","",IF(F118="",F118,IF(G118="",G118,IF(H118="",H118,IF(I118="",I118,IF(J118="",J118,IF(K118="",K118,IF(L118="",L118,"DONE"))))))))</f>
        <v/>
      </c>
      <c r="N118" s="1" t="str">
        <f aca="true">IF(OR(E118="",M118="DONE"),"",M118-TODAY())</f>
        <v/>
      </c>
      <c r="O118" s="1" t="str">
        <f aca="false">IF(E118="","",IF(M118="DONE","✅ Complete",IF(N118&lt;0,"🔴 OVERDUE",IF(N118=0,"🟡 TODAY",IF(N118&lt;=3,"🟠 SOON","🟢 Later")))))</f>
        <v/>
      </c>
    </row>
    <row r="119" customFormat="false" ht="15" hidden="false" customHeight="true" outlineLevel="0" collapsed="false">
      <c r="E119" s="5"/>
      <c r="F119" s="5" t="str">
        <f aca="false">IF(E119="","",E119+1)</f>
        <v/>
      </c>
      <c r="G119" s="5" t="str">
        <f aca="false">IF(OR(E119="",F119=""),"",MAX(E119,F119)+3)</f>
        <v/>
      </c>
      <c r="H119" s="5" t="str">
        <f aca="false">IF(OR(E119="",G119=""),"",MAX(E119,F119,G119)+7)</f>
        <v/>
      </c>
      <c r="I119" s="5" t="str">
        <f aca="false">IF(OR(E119="",H119=""),"",MAX(E119,F119,G119,H119)+15)</f>
        <v/>
      </c>
      <c r="J119" s="5" t="str">
        <f aca="false">IF(OR(E119="",I119=""),"",MAX(E119,F119,G119,H119,I119)+30)</f>
        <v/>
      </c>
      <c r="K119" s="5" t="str">
        <f aca="false">IF(OR(E119="",J119=""),"",MAX(E119,F119,G119,H119,I119,J119)+60)</f>
        <v/>
      </c>
      <c r="L119" s="5" t="str">
        <f aca="false">IF(OR(E119="",K119=""),"",MAX(E119,F119,G119,H119,I119,J119,K119)+90)</f>
        <v/>
      </c>
      <c r="M119" s="5" t="str">
        <f aca="false">IF(E119="","",IF(F119="",F119,IF(G119="",G119,IF(H119="",H119,IF(I119="",I119,IF(J119="",J119,IF(K119="",K119,IF(L119="",L119,"DONE"))))))))</f>
        <v/>
      </c>
      <c r="N119" s="1" t="str">
        <f aca="true">IF(OR(E119="",M119="DONE"),"",M119-TODAY())</f>
        <v/>
      </c>
      <c r="O119" s="1" t="str">
        <f aca="false">IF(E119="","",IF(M119="DONE","✅ Complete",IF(N119&lt;0,"🔴 OVERDUE",IF(N119=0,"🟡 TODAY",IF(N119&lt;=3,"🟠 SOON","🟢 Later")))))</f>
        <v/>
      </c>
    </row>
    <row r="120" customFormat="false" ht="15" hidden="false" customHeight="true" outlineLevel="0" collapsed="false">
      <c r="E120" s="5"/>
      <c r="F120" s="5" t="str">
        <f aca="false">IF(E120="","",E120+1)</f>
        <v/>
      </c>
      <c r="G120" s="5" t="str">
        <f aca="false">IF(OR(E120="",F120=""),"",MAX(E120,F120)+3)</f>
        <v/>
      </c>
      <c r="H120" s="5" t="str">
        <f aca="false">IF(OR(E120="",G120=""),"",MAX(E120,F120,G120)+7)</f>
        <v/>
      </c>
      <c r="I120" s="5" t="str">
        <f aca="false">IF(OR(E120="",H120=""),"",MAX(E120,F120,G120,H120)+15)</f>
        <v/>
      </c>
      <c r="J120" s="5" t="str">
        <f aca="false">IF(OR(E120="",I120=""),"",MAX(E120,F120,G120,H120,I120)+30)</f>
        <v/>
      </c>
      <c r="K120" s="5" t="str">
        <f aca="false">IF(OR(E120="",J120=""),"",MAX(E120,F120,G120,H120,I120,J120)+60)</f>
        <v/>
      </c>
      <c r="L120" s="5" t="str">
        <f aca="false">IF(OR(E120="",K120=""),"",MAX(E120,F120,G120,H120,I120,J120,K120)+90)</f>
        <v/>
      </c>
      <c r="M120" s="5" t="str">
        <f aca="false">IF(E120="","",IF(F120="",F120,IF(G120="",G120,IF(H120="",H120,IF(I120="",I120,IF(J120="",J120,IF(K120="",K120,IF(L120="",L120,"DONE"))))))))</f>
        <v/>
      </c>
      <c r="N120" s="1" t="str">
        <f aca="true">IF(OR(E120="",M120="DONE"),"",M120-TODAY())</f>
        <v/>
      </c>
      <c r="O120" s="1" t="str">
        <f aca="false">IF(E120="","",IF(M120="DONE","✅ Complete",IF(N120&lt;0,"🔴 OVERDUE",IF(N120=0,"🟡 TODAY",IF(N120&lt;=3,"🟠 SOON","🟢 Later")))))</f>
        <v/>
      </c>
    </row>
    <row r="121" customFormat="false" ht="15" hidden="false" customHeight="true" outlineLevel="0" collapsed="false">
      <c r="E121" s="5"/>
      <c r="F121" s="5" t="str">
        <f aca="false">IF(E121="","",E121+1)</f>
        <v/>
      </c>
      <c r="G121" s="5" t="str">
        <f aca="false">IF(OR(E121="",F121=""),"",MAX(E121,F121)+3)</f>
        <v/>
      </c>
      <c r="H121" s="5" t="str">
        <f aca="false">IF(OR(E121="",G121=""),"",MAX(E121,F121,G121)+7)</f>
        <v/>
      </c>
      <c r="I121" s="5" t="str">
        <f aca="false">IF(OR(E121="",H121=""),"",MAX(E121,F121,G121,H121)+15)</f>
        <v/>
      </c>
      <c r="J121" s="5" t="str">
        <f aca="false">IF(OR(E121="",I121=""),"",MAX(E121,F121,G121,H121,I121)+30)</f>
        <v/>
      </c>
      <c r="K121" s="5" t="str">
        <f aca="false">IF(OR(E121="",J121=""),"",MAX(E121,F121,G121,H121,I121,J121)+60)</f>
        <v/>
      </c>
      <c r="L121" s="5" t="str">
        <f aca="false">IF(OR(E121="",K121=""),"",MAX(E121,F121,G121,H121,I121,J121,K121)+90)</f>
        <v/>
      </c>
      <c r="M121" s="5" t="str">
        <f aca="false">IF(E121="","",IF(F121="",F121,IF(G121="",G121,IF(H121="",H121,IF(I121="",I121,IF(J121="",J121,IF(K121="",K121,IF(L121="",L121,"DONE"))))))))</f>
        <v/>
      </c>
      <c r="N121" s="1" t="str">
        <f aca="true">IF(OR(E121="",M121="DONE"),"",M121-TODAY())</f>
        <v/>
      </c>
      <c r="O121" s="1" t="str">
        <f aca="false">IF(E121="","",IF(M121="DONE","✅ Complete",IF(N121&lt;0,"🔴 OVERDUE",IF(N121=0,"🟡 TODAY",IF(N121&lt;=3,"🟠 SOON","🟢 Later")))))</f>
        <v/>
      </c>
    </row>
    <row r="122" customFormat="false" ht="15" hidden="false" customHeight="true" outlineLevel="0" collapsed="false">
      <c r="E122" s="5"/>
      <c r="F122" s="5" t="str">
        <f aca="false">IF(E122="","",E122+1)</f>
        <v/>
      </c>
      <c r="G122" s="5" t="str">
        <f aca="false">IF(OR(E122="",F122=""),"",MAX(E122,F122)+3)</f>
        <v/>
      </c>
      <c r="H122" s="5" t="str">
        <f aca="false">IF(OR(E122="",G122=""),"",MAX(E122,F122,G122)+7)</f>
        <v/>
      </c>
      <c r="I122" s="5" t="str">
        <f aca="false">IF(OR(E122="",H122=""),"",MAX(E122,F122,G122,H122)+15)</f>
        <v/>
      </c>
      <c r="J122" s="5" t="str">
        <f aca="false">IF(OR(E122="",I122=""),"",MAX(E122,F122,G122,H122,I122)+30)</f>
        <v/>
      </c>
      <c r="K122" s="5" t="str">
        <f aca="false">IF(OR(E122="",J122=""),"",MAX(E122,F122,G122,H122,I122,J122)+60)</f>
        <v/>
      </c>
      <c r="L122" s="5" t="str">
        <f aca="false">IF(OR(E122="",K122=""),"",MAX(E122,F122,G122,H122,I122,J122,K122)+90)</f>
        <v/>
      </c>
      <c r="M122" s="5" t="str">
        <f aca="false">IF(E122="","",IF(F122="",F122,IF(G122="",G122,IF(H122="",H122,IF(I122="",I122,IF(J122="",J122,IF(K122="",K122,IF(L122="",L122,"DONE"))))))))</f>
        <v/>
      </c>
      <c r="N122" s="1" t="str">
        <f aca="true">IF(OR(E122="",M122="DONE"),"",M122-TODAY())</f>
        <v/>
      </c>
      <c r="O122" s="1" t="str">
        <f aca="false">IF(E122="","",IF(M122="DONE","✅ Complete",IF(N122&lt;0,"🔴 OVERDUE",IF(N122=0,"🟡 TODAY",IF(N122&lt;=3,"🟠 SOON","🟢 Later")))))</f>
        <v/>
      </c>
    </row>
    <row r="123" customFormat="false" ht="15" hidden="false" customHeight="true" outlineLevel="0" collapsed="false">
      <c r="E123" s="5"/>
      <c r="F123" s="5" t="str">
        <f aca="false">IF(E123="","",E123+1)</f>
        <v/>
      </c>
      <c r="G123" s="5" t="str">
        <f aca="false">IF(OR(E123="",F123=""),"",MAX(E123,F123)+3)</f>
        <v/>
      </c>
      <c r="H123" s="5" t="str">
        <f aca="false">IF(OR(E123="",G123=""),"",MAX(E123,F123,G123)+7)</f>
        <v/>
      </c>
      <c r="I123" s="5" t="str">
        <f aca="false">IF(OR(E123="",H123=""),"",MAX(E123,F123,G123,H123)+15)</f>
        <v/>
      </c>
      <c r="J123" s="5" t="str">
        <f aca="false">IF(OR(E123="",I123=""),"",MAX(E123,F123,G123,H123,I123)+30)</f>
        <v/>
      </c>
      <c r="K123" s="5" t="str">
        <f aca="false">IF(OR(E123="",J123=""),"",MAX(E123,F123,G123,H123,I123,J123)+60)</f>
        <v/>
      </c>
      <c r="L123" s="5" t="str">
        <f aca="false">IF(OR(E123="",K123=""),"",MAX(E123,F123,G123,H123,I123,J123,K123)+90)</f>
        <v/>
      </c>
      <c r="M123" s="5" t="str">
        <f aca="false">IF(E123="","",IF(F123="",F123,IF(G123="",G123,IF(H123="",H123,IF(I123="",I123,IF(J123="",J123,IF(K123="",K123,IF(L123="",L123,"DONE"))))))))</f>
        <v/>
      </c>
      <c r="N123" s="1" t="str">
        <f aca="true">IF(OR(E123="",M123="DONE"),"",M123-TODAY())</f>
        <v/>
      </c>
      <c r="O123" s="1" t="str">
        <f aca="false">IF(E123="","",IF(M123="DONE","✅ Complete",IF(N123&lt;0,"🔴 OVERDUE",IF(N123=0,"🟡 TODAY",IF(N123&lt;=3,"🟠 SOON","🟢 Later")))))</f>
        <v/>
      </c>
    </row>
    <row r="124" customFormat="false" ht="15" hidden="false" customHeight="true" outlineLevel="0" collapsed="false">
      <c r="E124" s="5"/>
      <c r="F124" s="5" t="str">
        <f aca="false">IF(E124="","",E124+1)</f>
        <v/>
      </c>
      <c r="G124" s="5" t="str">
        <f aca="false">IF(OR(E124="",F124=""),"",MAX(E124,F124)+3)</f>
        <v/>
      </c>
      <c r="H124" s="5" t="str">
        <f aca="false">IF(OR(E124="",G124=""),"",MAX(E124,F124,G124)+7)</f>
        <v/>
      </c>
      <c r="I124" s="5" t="str">
        <f aca="false">IF(OR(E124="",H124=""),"",MAX(E124,F124,G124,H124)+15)</f>
        <v/>
      </c>
      <c r="J124" s="5" t="str">
        <f aca="false">IF(OR(E124="",I124=""),"",MAX(E124,F124,G124,H124,I124)+30)</f>
        <v/>
      </c>
      <c r="K124" s="5" t="str">
        <f aca="false">IF(OR(E124="",J124=""),"",MAX(E124,F124,G124,H124,I124,J124)+60)</f>
        <v/>
      </c>
      <c r="L124" s="5" t="str">
        <f aca="false">IF(OR(E124="",K124=""),"",MAX(E124,F124,G124,H124,I124,J124,K124)+90)</f>
        <v/>
      </c>
      <c r="M124" s="5" t="str">
        <f aca="false">IF(E124="","",IF(F124="",F124,IF(G124="",G124,IF(H124="",H124,IF(I124="",I124,IF(J124="",J124,IF(K124="",K124,IF(L124="",L124,"DONE"))))))))</f>
        <v/>
      </c>
      <c r="N124" s="1" t="str">
        <f aca="true">IF(OR(E124="",M124="DONE"),"",M124-TODAY())</f>
        <v/>
      </c>
      <c r="O124" s="1" t="str">
        <f aca="false">IF(E124="","",IF(M124="DONE","✅ Complete",IF(N124&lt;0,"🔴 OVERDUE",IF(N124=0,"🟡 TODAY",IF(N124&lt;=3,"🟠 SOON","🟢 Later")))))</f>
        <v/>
      </c>
    </row>
    <row r="125" customFormat="false" ht="15" hidden="false" customHeight="true" outlineLevel="0" collapsed="false">
      <c r="E125" s="5"/>
      <c r="F125" s="5" t="str">
        <f aca="false">IF(E125="","",E125+1)</f>
        <v/>
      </c>
      <c r="G125" s="5" t="str">
        <f aca="false">IF(OR(E125="",F125=""),"",MAX(E125,F125)+3)</f>
        <v/>
      </c>
      <c r="H125" s="5" t="str">
        <f aca="false">IF(OR(E125="",G125=""),"",MAX(E125,F125,G125)+7)</f>
        <v/>
      </c>
      <c r="I125" s="5" t="str">
        <f aca="false">IF(OR(E125="",H125=""),"",MAX(E125,F125,G125,H125)+15)</f>
        <v/>
      </c>
      <c r="J125" s="5" t="str">
        <f aca="false">IF(OR(E125="",I125=""),"",MAX(E125,F125,G125,H125,I125)+30)</f>
        <v/>
      </c>
      <c r="K125" s="5" t="str">
        <f aca="false">IF(OR(E125="",J125=""),"",MAX(E125,F125,G125,H125,I125,J125)+60)</f>
        <v/>
      </c>
      <c r="L125" s="5" t="str">
        <f aca="false">IF(OR(E125="",K125=""),"",MAX(E125,F125,G125,H125,I125,J125,K125)+90)</f>
        <v/>
      </c>
      <c r="M125" s="5" t="str">
        <f aca="false">IF(E125="","",IF(F125="",F125,IF(G125="",G125,IF(H125="",H125,IF(I125="",I125,IF(J125="",J125,IF(K125="",K125,IF(L125="",L125,"DONE"))))))))</f>
        <v/>
      </c>
      <c r="N125" s="1" t="str">
        <f aca="true">IF(OR(E125="",M125="DONE"),"",M125-TODAY())</f>
        <v/>
      </c>
      <c r="O125" s="1" t="str">
        <f aca="false">IF(E125="","",IF(M125="DONE","✅ Complete",IF(N125&lt;0,"🔴 OVERDUE",IF(N125=0,"🟡 TODAY",IF(N125&lt;=3,"🟠 SOON","🟢 Later")))))</f>
        <v/>
      </c>
    </row>
    <row r="126" customFormat="false" ht="15" hidden="false" customHeight="true" outlineLevel="0" collapsed="false">
      <c r="E126" s="5"/>
      <c r="F126" s="5" t="str">
        <f aca="false">IF(E126="","",E126+1)</f>
        <v/>
      </c>
      <c r="G126" s="5" t="str">
        <f aca="false">IF(OR(E126="",F126=""),"",MAX(E126,F126)+3)</f>
        <v/>
      </c>
      <c r="H126" s="5" t="str">
        <f aca="false">IF(OR(E126="",G126=""),"",MAX(E126,F126,G126)+7)</f>
        <v/>
      </c>
      <c r="I126" s="5" t="str">
        <f aca="false">IF(OR(E126="",H126=""),"",MAX(E126,F126,G126,H126)+15)</f>
        <v/>
      </c>
      <c r="J126" s="5" t="str">
        <f aca="false">IF(OR(E126="",I126=""),"",MAX(E126,F126,G126,H126,I126)+30)</f>
        <v/>
      </c>
      <c r="K126" s="5" t="str">
        <f aca="false">IF(OR(E126="",J126=""),"",MAX(E126,F126,G126,H126,I126,J126)+60)</f>
        <v/>
      </c>
      <c r="L126" s="5" t="str">
        <f aca="false">IF(OR(E126="",K126=""),"",MAX(E126,F126,G126,H126,I126,J126,K126)+90)</f>
        <v/>
      </c>
      <c r="M126" s="5" t="str">
        <f aca="false">IF(E126="","",IF(F126="",F126,IF(G126="",G126,IF(H126="",H126,IF(I126="",I126,IF(J126="",J126,IF(K126="",K126,IF(L126="",L126,"DONE"))))))))</f>
        <v/>
      </c>
      <c r="N126" s="1" t="str">
        <f aca="true">IF(OR(E126="",M126="DONE"),"",M126-TODAY())</f>
        <v/>
      </c>
      <c r="O126" s="1" t="str">
        <f aca="false">IF(E126="","",IF(M126="DONE","✅ Complete",IF(N126&lt;0,"🔴 OVERDUE",IF(N126=0,"🟡 TODAY",IF(N126&lt;=3,"🟠 SOON","🟢 Later")))))</f>
        <v/>
      </c>
    </row>
    <row r="127" customFormat="false" ht="15" hidden="false" customHeight="true" outlineLevel="0" collapsed="false">
      <c r="E127" s="5"/>
      <c r="F127" s="5" t="str">
        <f aca="false">IF(E127="","",E127+1)</f>
        <v/>
      </c>
      <c r="G127" s="5" t="str">
        <f aca="false">IF(OR(E127="",F127=""),"",MAX(E127,F127)+3)</f>
        <v/>
      </c>
      <c r="H127" s="5" t="str">
        <f aca="false">IF(OR(E127="",G127=""),"",MAX(E127,F127,G127)+7)</f>
        <v/>
      </c>
      <c r="I127" s="5" t="str">
        <f aca="false">IF(OR(E127="",H127=""),"",MAX(E127,F127,G127,H127)+15)</f>
        <v/>
      </c>
      <c r="J127" s="5" t="str">
        <f aca="false">IF(OR(E127="",I127=""),"",MAX(E127,F127,G127,H127,I127)+30)</f>
        <v/>
      </c>
      <c r="K127" s="5" t="str">
        <f aca="false">IF(OR(E127="",J127=""),"",MAX(E127,F127,G127,H127,I127,J127)+60)</f>
        <v/>
      </c>
      <c r="L127" s="5" t="str">
        <f aca="false">IF(OR(E127="",K127=""),"",MAX(E127,F127,G127,H127,I127,J127,K127)+90)</f>
        <v/>
      </c>
      <c r="M127" s="5" t="str">
        <f aca="false">IF(E127="","",IF(F127="",F127,IF(G127="",G127,IF(H127="",H127,IF(I127="",I127,IF(J127="",J127,IF(K127="",K127,IF(L127="",L127,"DONE"))))))))</f>
        <v/>
      </c>
      <c r="N127" s="1" t="str">
        <f aca="true">IF(OR(E127="",M127="DONE"),"",M127-TODAY())</f>
        <v/>
      </c>
      <c r="O127" s="1" t="str">
        <f aca="false">IF(E127="","",IF(M127="DONE","✅ Complete",IF(N127&lt;0,"🔴 OVERDUE",IF(N127=0,"🟡 TODAY",IF(N127&lt;=3,"🟠 SOON","🟢 Later")))))</f>
        <v/>
      </c>
    </row>
    <row r="128" customFormat="false" ht="15" hidden="false" customHeight="true" outlineLevel="0" collapsed="false">
      <c r="E128" s="5"/>
      <c r="F128" s="5" t="str">
        <f aca="false">IF(E128="","",E128+1)</f>
        <v/>
      </c>
      <c r="G128" s="5" t="str">
        <f aca="false">IF(OR(E128="",F128=""),"",MAX(E128,F128)+3)</f>
        <v/>
      </c>
      <c r="H128" s="5" t="str">
        <f aca="false">IF(OR(E128="",G128=""),"",MAX(E128,F128,G128)+7)</f>
        <v/>
      </c>
      <c r="I128" s="5" t="str">
        <f aca="false">IF(OR(E128="",H128=""),"",MAX(E128,F128,G128,H128)+15)</f>
        <v/>
      </c>
      <c r="J128" s="5" t="str">
        <f aca="false">IF(OR(E128="",I128=""),"",MAX(E128,F128,G128,H128,I128)+30)</f>
        <v/>
      </c>
      <c r="K128" s="5" t="str">
        <f aca="false">IF(OR(E128="",J128=""),"",MAX(E128,F128,G128,H128,I128,J128)+60)</f>
        <v/>
      </c>
      <c r="L128" s="5" t="str">
        <f aca="false">IF(OR(E128="",K128=""),"",MAX(E128,F128,G128,H128,I128,J128,K128)+90)</f>
        <v/>
      </c>
      <c r="M128" s="5" t="str">
        <f aca="false">IF(E128="","",IF(F128="",F128,IF(G128="",G128,IF(H128="",H128,IF(I128="",I128,IF(J128="",J128,IF(K128="",K128,IF(L128="",L128,"DONE"))))))))</f>
        <v/>
      </c>
      <c r="N128" s="1" t="str">
        <f aca="true">IF(OR(E128="",M128="DONE"),"",M128-TODAY())</f>
        <v/>
      </c>
      <c r="O128" s="1" t="str">
        <f aca="false">IF(E128="","",IF(M128="DONE","✅ Complete",IF(N128&lt;0,"🔴 OVERDUE",IF(N128=0,"🟡 TODAY",IF(N128&lt;=3,"🟠 SOON","🟢 Later")))))</f>
        <v/>
      </c>
    </row>
    <row r="129" customFormat="false" ht="15" hidden="false" customHeight="true" outlineLevel="0" collapsed="false">
      <c r="E129" s="5"/>
      <c r="F129" s="5" t="str">
        <f aca="false">IF(E129="","",E129+1)</f>
        <v/>
      </c>
      <c r="G129" s="5" t="str">
        <f aca="false">IF(OR(E129="",F129=""),"",MAX(E129,F129)+3)</f>
        <v/>
      </c>
      <c r="H129" s="5" t="str">
        <f aca="false">IF(OR(E129="",G129=""),"",MAX(E129,F129,G129)+7)</f>
        <v/>
      </c>
      <c r="I129" s="5" t="str">
        <f aca="false">IF(OR(E129="",H129=""),"",MAX(E129,F129,G129,H129)+15)</f>
        <v/>
      </c>
      <c r="J129" s="5" t="str">
        <f aca="false">IF(OR(E129="",I129=""),"",MAX(E129,F129,G129,H129,I129)+30)</f>
        <v/>
      </c>
      <c r="K129" s="5" t="str">
        <f aca="false">IF(OR(E129="",J129=""),"",MAX(E129,F129,G129,H129,I129,J129)+60)</f>
        <v/>
      </c>
      <c r="L129" s="5" t="str">
        <f aca="false">IF(OR(E129="",K129=""),"",MAX(E129,F129,G129,H129,I129,J129,K129)+90)</f>
        <v/>
      </c>
      <c r="M129" s="5" t="str">
        <f aca="false">IF(E129="","",IF(F129="",F129,IF(G129="",G129,IF(H129="",H129,IF(I129="",I129,IF(J129="",J129,IF(K129="",K129,IF(L129="",L129,"DONE"))))))))</f>
        <v/>
      </c>
      <c r="N129" s="1" t="str">
        <f aca="true">IF(OR(E129="",M129="DONE"),"",M129-TODAY())</f>
        <v/>
      </c>
      <c r="O129" s="1" t="str">
        <f aca="false">IF(E129="","",IF(M129="DONE","✅ Complete",IF(N129&lt;0,"🔴 OVERDUE",IF(N129=0,"🟡 TODAY",IF(N129&lt;=3,"🟠 SOON","🟢 Later")))))</f>
        <v/>
      </c>
    </row>
    <row r="130" customFormat="false" ht="15" hidden="false" customHeight="true" outlineLevel="0" collapsed="false">
      <c r="E130" s="5"/>
      <c r="F130" s="5" t="str">
        <f aca="false">IF(E130="","",E130+1)</f>
        <v/>
      </c>
      <c r="G130" s="5" t="str">
        <f aca="false">IF(OR(E130="",F130=""),"",MAX(E130,F130)+3)</f>
        <v/>
      </c>
      <c r="H130" s="5" t="str">
        <f aca="false">IF(OR(E130="",G130=""),"",MAX(E130,F130,G130)+7)</f>
        <v/>
      </c>
      <c r="I130" s="5" t="str">
        <f aca="false">IF(OR(E130="",H130=""),"",MAX(E130,F130,G130,H130)+15)</f>
        <v/>
      </c>
      <c r="J130" s="5" t="str">
        <f aca="false">IF(OR(E130="",I130=""),"",MAX(E130,F130,G130,H130,I130)+30)</f>
        <v/>
      </c>
      <c r="K130" s="5" t="str">
        <f aca="false">IF(OR(E130="",J130=""),"",MAX(E130,F130,G130,H130,I130,J130)+60)</f>
        <v/>
      </c>
      <c r="L130" s="5" t="str">
        <f aca="false">IF(OR(E130="",K130=""),"",MAX(E130,F130,G130,H130,I130,J130,K130)+90)</f>
        <v/>
      </c>
      <c r="M130" s="5" t="str">
        <f aca="false">IF(E130="","",IF(F130="",F130,IF(G130="",G130,IF(H130="",H130,IF(I130="",I130,IF(J130="",J130,IF(K130="",K130,IF(L130="",L130,"DONE"))))))))</f>
        <v/>
      </c>
      <c r="N130" s="1" t="str">
        <f aca="true">IF(OR(E130="",M130="DONE"),"",M130-TODAY())</f>
        <v/>
      </c>
      <c r="O130" s="1" t="str">
        <f aca="false">IF(E130="","",IF(M130="DONE","✅ Complete",IF(N130&lt;0,"🔴 OVERDUE",IF(N130=0,"🟡 TODAY",IF(N130&lt;=3,"🟠 SOON","🟢 Later")))))</f>
        <v/>
      </c>
    </row>
    <row r="131" customFormat="false" ht="15" hidden="false" customHeight="true" outlineLevel="0" collapsed="false">
      <c r="E131" s="5"/>
      <c r="F131" s="5" t="str">
        <f aca="false">IF(E131="","",E131+1)</f>
        <v/>
      </c>
      <c r="G131" s="5" t="str">
        <f aca="false">IF(OR(E131="",F131=""),"",MAX(E131,F131)+3)</f>
        <v/>
      </c>
      <c r="H131" s="5" t="str">
        <f aca="false">IF(OR(E131="",G131=""),"",MAX(E131,F131,G131)+7)</f>
        <v/>
      </c>
      <c r="I131" s="5" t="str">
        <f aca="false">IF(OR(E131="",H131=""),"",MAX(E131,F131,G131,H131)+15)</f>
        <v/>
      </c>
      <c r="J131" s="5" t="str">
        <f aca="false">IF(OR(E131="",I131=""),"",MAX(E131,F131,G131,H131,I131)+30)</f>
        <v/>
      </c>
      <c r="K131" s="5" t="str">
        <f aca="false">IF(OR(E131="",J131=""),"",MAX(E131,F131,G131,H131,I131,J131)+60)</f>
        <v/>
      </c>
      <c r="L131" s="5" t="str">
        <f aca="false">IF(OR(E131="",K131=""),"",MAX(E131,F131,G131,H131,I131,J131,K131)+90)</f>
        <v/>
      </c>
      <c r="M131" s="5" t="str">
        <f aca="false">IF(E131="","",IF(F131="",F131,IF(G131="",G131,IF(H131="",H131,IF(I131="",I131,IF(J131="",J131,IF(K131="",K131,IF(L131="",L131,"DONE"))))))))</f>
        <v/>
      </c>
      <c r="N131" s="1" t="str">
        <f aca="true">IF(OR(E131="",M131="DONE"),"",M131-TODAY())</f>
        <v/>
      </c>
      <c r="O131" s="1" t="str">
        <f aca="false">IF(E131="","",IF(M131="DONE","✅ Complete",IF(N131&lt;0,"🔴 OVERDUE",IF(N131=0,"🟡 TODAY",IF(N131&lt;=3,"🟠 SOON","🟢 Later")))))</f>
        <v/>
      </c>
    </row>
    <row r="132" customFormat="false" ht="15" hidden="false" customHeight="true" outlineLevel="0" collapsed="false">
      <c r="E132" s="5"/>
      <c r="F132" s="5" t="str">
        <f aca="false">IF(E132="","",E132+1)</f>
        <v/>
      </c>
      <c r="G132" s="5" t="str">
        <f aca="false">IF(OR(E132="",F132=""),"",MAX(E132,F132)+3)</f>
        <v/>
      </c>
      <c r="H132" s="5" t="str">
        <f aca="false">IF(OR(E132="",G132=""),"",MAX(E132,F132,G132)+7)</f>
        <v/>
      </c>
      <c r="I132" s="5" t="str">
        <f aca="false">IF(OR(E132="",H132=""),"",MAX(E132,F132,G132,H132)+15)</f>
        <v/>
      </c>
      <c r="J132" s="5" t="str">
        <f aca="false">IF(OR(E132="",I132=""),"",MAX(E132,F132,G132,H132,I132)+30)</f>
        <v/>
      </c>
      <c r="K132" s="5" t="str">
        <f aca="false">IF(OR(E132="",J132=""),"",MAX(E132,F132,G132,H132,I132,J132)+60)</f>
        <v/>
      </c>
      <c r="L132" s="5" t="str">
        <f aca="false">IF(OR(E132="",K132=""),"",MAX(E132,F132,G132,H132,I132,J132,K132)+90)</f>
        <v/>
      </c>
      <c r="M132" s="5" t="str">
        <f aca="false">IF(E132="","",IF(F132="",F132,IF(G132="",G132,IF(H132="",H132,IF(I132="",I132,IF(J132="",J132,IF(K132="",K132,IF(L132="",L132,"DONE"))))))))</f>
        <v/>
      </c>
      <c r="N132" s="1" t="str">
        <f aca="true">IF(OR(E132="",M132="DONE"),"",M132-TODAY())</f>
        <v/>
      </c>
      <c r="O132" s="1" t="str">
        <f aca="false">IF(E132="","",IF(M132="DONE","✅ Complete",IF(N132&lt;0,"🔴 OVERDUE",IF(N132=0,"🟡 TODAY",IF(N132&lt;=3,"🟠 SOON","🟢 Later")))))</f>
        <v/>
      </c>
    </row>
    <row r="133" customFormat="false" ht="15" hidden="false" customHeight="true" outlineLevel="0" collapsed="false">
      <c r="E133" s="5"/>
      <c r="F133" s="5" t="str">
        <f aca="false">IF(E133="","",E133+1)</f>
        <v/>
      </c>
      <c r="G133" s="5" t="str">
        <f aca="false">IF(OR(E133="",F133=""),"",MAX(E133,F133)+3)</f>
        <v/>
      </c>
      <c r="H133" s="5" t="str">
        <f aca="false">IF(OR(E133="",G133=""),"",MAX(E133,F133,G133)+7)</f>
        <v/>
      </c>
      <c r="I133" s="5" t="str">
        <f aca="false">IF(OR(E133="",H133=""),"",MAX(E133,F133,G133,H133)+15)</f>
        <v/>
      </c>
      <c r="J133" s="5" t="str">
        <f aca="false">IF(OR(E133="",I133=""),"",MAX(E133,F133,G133,H133,I133)+30)</f>
        <v/>
      </c>
      <c r="K133" s="5" t="str">
        <f aca="false">IF(OR(E133="",J133=""),"",MAX(E133,F133,G133,H133,I133,J133)+60)</f>
        <v/>
      </c>
      <c r="L133" s="5" t="str">
        <f aca="false">IF(OR(E133="",K133=""),"",MAX(E133,F133,G133,H133,I133,J133,K133)+90)</f>
        <v/>
      </c>
      <c r="M133" s="5" t="str">
        <f aca="false">IF(E133="","",IF(F133="",F133,IF(G133="",G133,IF(H133="",H133,IF(I133="",I133,IF(J133="",J133,IF(K133="",K133,IF(L133="",L133,"DONE"))))))))</f>
        <v/>
      </c>
      <c r="N133" s="1" t="str">
        <f aca="true">IF(OR(E133="",M133="DONE"),"",M133-TODAY())</f>
        <v/>
      </c>
      <c r="O133" s="1" t="str">
        <f aca="false">IF(E133="","",IF(M133="DONE","✅ Complete",IF(N133&lt;0,"🔴 OVERDUE",IF(N133=0,"🟡 TODAY",IF(N133&lt;=3,"🟠 SOON","🟢 Later")))))</f>
        <v/>
      </c>
    </row>
    <row r="134" customFormat="false" ht="15" hidden="false" customHeight="true" outlineLevel="0" collapsed="false">
      <c r="E134" s="5"/>
      <c r="F134" s="5" t="str">
        <f aca="false">IF(E134="","",E134+1)</f>
        <v/>
      </c>
      <c r="G134" s="5" t="str">
        <f aca="false">IF(OR(E134="",F134=""),"",MAX(E134,F134)+3)</f>
        <v/>
      </c>
      <c r="H134" s="5" t="str">
        <f aca="false">IF(OR(E134="",G134=""),"",MAX(E134,F134,G134)+7)</f>
        <v/>
      </c>
      <c r="I134" s="5" t="str">
        <f aca="false">IF(OR(E134="",H134=""),"",MAX(E134,F134,G134,H134)+15)</f>
        <v/>
      </c>
      <c r="J134" s="5" t="str">
        <f aca="false">IF(OR(E134="",I134=""),"",MAX(E134,F134,G134,H134,I134)+30)</f>
        <v/>
      </c>
      <c r="K134" s="5" t="str">
        <f aca="false">IF(OR(E134="",J134=""),"",MAX(E134,F134,G134,H134,I134,J134)+60)</f>
        <v/>
      </c>
      <c r="L134" s="5" t="str">
        <f aca="false">IF(OR(E134="",K134=""),"",MAX(E134,F134,G134,H134,I134,J134,K134)+90)</f>
        <v/>
      </c>
      <c r="M134" s="5" t="str">
        <f aca="false">IF(E134="","",IF(F134="",F134,IF(G134="",G134,IF(H134="",H134,IF(I134="",I134,IF(J134="",J134,IF(K134="",K134,IF(L134="",L134,"DONE"))))))))</f>
        <v/>
      </c>
      <c r="N134" s="1" t="str">
        <f aca="true">IF(OR(E134="",M134="DONE"),"",M134-TODAY())</f>
        <v/>
      </c>
      <c r="O134" s="1" t="str">
        <f aca="false">IF(E134="","",IF(M134="DONE","✅ Complete",IF(N134&lt;0,"🔴 OVERDUE",IF(N134=0,"🟡 TODAY",IF(N134&lt;=3,"🟠 SOON","🟢 Later")))))</f>
        <v/>
      </c>
    </row>
    <row r="135" customFormat="false" ht="15" hidden="false" customHeight="true" outlineLevel="0" collapsed="false">
      <c r="E135" s="5"/>
      <c r="F135" s="5" t="str">
        <f aca="false">IF(E135="","",E135+1)</f>
        <v/>
      </c>
      <c r="G135" s="5" t="str">
        <f aca="false">IF(OR(E135="",F135=""),"",MAX(E135,F135)+3)</f>
        <v/>
      </c>
      <c r="H135" s="5" t="str">
        <f aca="false">IF(OR(E135="",G135=""),"",MAX(E135,F135,G135)+7)</f>
        <v/>
      </c>
      <c r="I135" s="5" t="str">
        <f aca="false">IF(OR(E135="",H135=""),"",MAX(E135,F135,G135,H135)+15)</f>
        <v/>
      </c>
      <c r="J135" s="5" t="str">
        <f aca="false">IF(OR(E135="",I135=""),"",MAX(E135,F135,G135,H135,I135)+30)</f>
        <v/>
      </c>
      <c r="K135" s="5" t="str">
        <f aca="false">IF(OR(E135="",J135=""),"",MAX(E135,F135,G135,H135,I135,J135)+60)</f>
        <v/>
      </c>
      <c r="L135" s="5" t="str">
        <f aca="false">IF(OR(E135="",K135=""),"",MAX(E135,F135,G135,H135,I135,J135,K135)+90)</f>
        <v/>
      </c>
      <c r="M135" s="5" t="str">
        <f aca="false">IF(E135="","",IF(F135="",F135,IF(G135="",G135,IF(H135="",H135,IF(I135="",I135,IF(J135="",J135,IF(K135="",K135,IF(L135="",L135,"DONE"))))))))</f>
        <v/>
      </c>
      <c r="N135" s="1" t="str">
        <f aca="true">IF(OR(E135="",M135="DONE"),"",M135-TODAY())</f>
        <v/>
      </c>
      <c r="O135" s="1" t="str">
        <f aca="false">IF(E135="","",IF(M135="DONE","✅ Complete",IF(N135&lt;0,"🔴 OVERDUE",IF(N135=0,"🟡 TODAY",IF(N135&lt;=3,"🟠 SOON","🟢 Later")))))</f>
        <v/>
      </c>
    </row>
    <row r="136" customFormat="false" ht="15" hidden="false" customHeight="true" outlineLevel="0" collapsed="false">
      <c r="E136" s="5"/>
      <c r="F136" s="5" t="str">
        <f aca="false">IF(E136="","",E136+1)</f>
        <v/>
      </c>
      <c r="G136" s="5" t="str">
        <f aca="false">IF(OR(E136="",F136=""),"",MAX(E136,F136)+3)</f>
        <v/>
      </c>
      <c r="H136" s="5" t="str">
        <f aca="false">IF(OR(E136="",G136=""),"",MAX(E136,F136,G136)+7)</f>
        <v/>
      </c>
      <c r="I136" s="5" t="str">
        <f aca="false">IF(OR(E136="",H136=""),"",MAX(E136,F136,G136,H136)+15)</f>
        <v/>
      </c>
      <c r="J136" s="5" t="str">
        <f aca="false">IF(OR(E136="",I136=""),"",MAX(E136,F136,G136,H136,I136)+30)</f>
        <v/>
      </c>
      <c r="K136" s="5" t="str">
        <f aca="false">IF(OR(E136="",J136=""),"",MAX(E136,F136,G136,H136,I136,J136)+60)</f>
        <v/>
      </c>
      <c r="L136" s="5" t="str">
        <f aca="false">IF(OR(E136="",K136=""),"",MAX(E136,F136,G136,H136,I136,J136,K136)+90)</f>
        <v/>
      </c>
      <c r="M136" s="5" t="str">
        <f aca="false">IF(E136="","",IF(F136="",F136,IF(G136="",G136,IF(H136="",H136,IF(I136="",I136,IF(J136="",J136,IF(K136="",K136,IF(L136="",L136,"DONE"))))))))</f>
        <v/>
      </c>
      <c r="N136" s="1" t="str">
        <f aca="true">IF(OR(E136="",M136="DONE"),"",M136-TODAY())</f>
        <v/>
      </c>
      <c r="O136" s="1" t="str">
        <f aca="false">IF(E136="","",IF(M136="DONE","✅ Complete",IF(N136&lt;0,"🔴 OVERDUE",IF(N136=0,"🟡 TODAY",IF(N136&lt;=3,"🟠 SOON","🟢 Later")))))</f>
        <v/>
      </c>
    </row>
    <row r="137" customFormat="false" ht="15" hidden="false" customHeight="true" outlineLevel="0" collapsed="false">
      <c r="E137" s="5"/>
      <c r="F137" s="5" t="str">
        <f aca="false">IF(E137="","",E137+1)</f>
        <v/>
      </c>
      <c r="G137" s="5" t="str">
        <f aca="false">IF(OR(E137="",F137=""),"",MAX(E137,F137)+3)</f>
        <v/>
      </c>
      <c r="H137" s="5" t="str">
        <f aca="false">IF(OR(E137="",G137=""),"",MAX(E137,F137,G137)+7)</f>
        <v/>
      </c>
      <c r="I137" s="5" t="str">
        <f aca="false">IF(OR(E137="",H137=""),"",MAX(E137,F137,G137,H137)+15)</f>
        <v/>
      </c>
      <c r="J137" s="5" t="str">
        <f aca="false">IF(OR(E137="",I137=""),"",MAX(E137,F137,G137,H137,I137)+30)</f>
        <v/>
      </c>
      <c r="K137" s="5" t="str">
        <f aca="false">IF(OR(E137="",J137=""),"",MAX(E137,F137,G137,H137,I137,J137)+60)</f>
        <v/>
      </c>
      <c r="L137" s="5" t="str">
        <f aca="false">IF(OR(E137="",K137=""),"",MAX(E137,F137,G137,H137,I137,J137,K137)+90)</f>
        <v/>
      </c>
      <c r="M137" s="5" t="str">
        <f aca="false">IF(E137="","",IF(F137="",F137,IF(G137="",G137,IF(H137="",H137,IF(I137="",I137,IF(J137="",J137,IF(K137="",K137,IF(L137="",L137,"DONE"))))))))</f>
        <v/>
      </c>
      <c r="N137" s="1" t="str">
        <f aca="true">IF(OR(E137="",M137="DONE"),"",M137-TODAY())</f>
        <v/>
      </c>
      <c r="O137" s="1" t="str">
        <f aca="false">IF(E137="","",IF(M137="DONE","✅ Complete",IF(N137&lt;0,"🔴 OVERDUE",IF(N137=0,"🟡 TODAY",IF(N137&lt;=3,"🟠 SOON","🟢 Later")))))</f>
        <v/>
      </c>
    </row>
    <row r="138" customFormat="false" ht="15" hidden="false" customHeight="true" outlineLevel="0" collapsed="false">
      <c r="E138" s="5"/>
      <c r="F138" s="5" t="str">
        <f aca="false">IF(E138="","",E138+1)</f>
        <v/>
      </c>
      <c r="G138" s="5" t="str">
        <f aca="false">IF(OR(E138="",F138=""),"",MAX(E138,F138)+3)</f>
        <v/>
      </c>
      <c r="H138" s="5" t="str">
        <f aca="false">IF(OR(E138="",G138=""),"",MAX(E138,F138,G138)+7)</f>
        <v/>
      </c>
      <c r="I138" s="5" t="str">
        <f aca="false">IF(OR(E138="",H138=""),"",MAX(E138,F138,G138,H138)+15)</f>
        <v/>
      </c>
      <c r="J138" s="5" t="str">
        <f aca="false">IF(OR(E138="",I138=""),"",MAX(E138,F138,G138,H138,I138)+30)</f>
        <v/>
      </c>
      <c r="K138" s="5" t="str">
        <f aca="false">IF(OR(E138="",J138=""),"",MAX(E138,F138,G138,H138,I138,J138)+60)</f>
        <v/>
      </c>
      <c r="L138" s="5" t="str">
        <f aca="false">IF(OR(E138="",K138=""),"",MAX(E138,F138,G138,H138,I138,J138,K138)+90)</f>
        <v/>
      </c>
      <c r="M138" s="5" t="str">
        <f aca="false">IF(E138="","",IF(F138="",F138,IF(G138="",G138,IF(H138="",H138,IF(I138="",I138,IF(J138="",J138,IF(K138="",K138,IF(L138="",L138,"DONE"))))))))</f>
        <v/>
      </c>
      <c r="N138" s="1" t="str">
        <f aca="true">IF(OR(E138="",M138="DONE"),"",M138-TODAY())</f>
        <v/>
      </c>
      <c r="O138" s="1" t="str">
        <f aca="false">IF(E138="","",IF(M138="DONE","✅ Complete",IF(N138&lt;0,"🔴 OVERDUE",IF(N138=0,"🟡 TODAY",IF(N138&lt;=3,"🟠 SOON","🟢 Later")))))</f>
        <v/>
      </c>
    </row>
    <row r="139" customFormat="false" ht="15" hidden="false" customHeight="true" outlineLevel="0" collapsed="false">
      <c r="E139" s="5"/>
      <c r="F139" s="5" t="str">
        <f aca="false">IF(E139="","",E139+1)</f>
        <v/>
      </c>
      <c r="G139" s="5" t="str">
        <f aca="false">IF(OR(E139="",F139=""),"",MAX(E139,F139)+3)</f>
        <v/>
      </c>
      <c r="H139" s="5" t="str">
        <f aca="false">IF(OR(E139="",G139=""),"",MAX(E139,F139,G139)+7)</f>
        <v/>
      </c>
      <c r="I139" s="5" t="str">
        <f aca="false">IF(OR(E139="",H139=""),"",MAX(E139,F139,G139,H139)+15)</f>
        <v/>
      </c>
      <c r="J139" s="5" t="str">
        <f aca="false">IF(OR(E139="",I139=""),"",MAX(E139,F139,G139,H139,I139)+30)</f>
        <v/>
      </c>
      <c r="K139" s="5" t="str">
        <f aca="false">IF(OR(E139="",J139=""),"",MAX(E139,F139,G139,H139,I139,J139)+60)</f>
        <v/>
      </c>
      <c r="L139" s="5" t="str">
        <f aca="false">IF(OR(E139="",K139=""),"",MAX(E139,F139,G139,H139,I139,J139,K139)+90)</f>
        <v/>
      </c>
      <c r="M139" s="5" t="str">
        <f aca="false">IF(E139="","",IF(F139="",F139,IF(G139="",G139,IF(H139="",H139,IF(I139="",I139,IF(J139="",J139,IF(K139="",K139,IF(L139="",L139,"DONE"))))))))</f>
        <v/>
      </c>
      <c r="N139" s="1" t="str">
        <f aca="true">IF(OR(E139="",M139="DONE"),"",M139-TODAY())</f>
        <v/>
      </c>
      <c r="O139" s="1" t="str">
        <f aca="false">IF(E139="","",IF(M139="DONE","✅ Complete",IF(N139&lt;0,"🔴 OVERDUE",IF(N139=0,"🟡 TODAY",IF(N139&lt;=3,"🟠 SOON","🟢 Later")))))</f>
        <v/>
      </c>
    </row>
    <row r="140" customFormat="false" ht="15" hidden="false" customHeight="true" outlineLevel="0" collapsed="false">
      <c r="E140" s="5"/>
      <c r="F140" s="5" t="str">
        <f aca="false">IF(E140="","",E140+1)</f>
        <v/>
      </c>
      <c r="G140" s="5" t="str">
        <f aca="false">IF(OR(E140="",F140=""),"",MAX(E140,F140)+3)</f>
        <v/>
      </c>
      <c r="H140" s="5" t="str">
        <f aca="false">IF(OR(E140="",G140=""),"",MAX(E140,F140,G140)+7)</f>
        <v/>
      </c>
      <c r="I140" s="5" t="str">
        <f aca="false">IF(OR(E140="",H140=""),"",MAX(E140,F140,G140,H140)+15)</f>
        <v/>
      </c>
      <c r="J140" s="5" t="str">
        <f aca="false">IF(OR(E140="",I140=""),"",MAX(E140,F140,G140,H140,I140)+30)</f>
        <v/>
      </c>
      <c r="K140" s="5" t="str">
        <f aca="false">IF(OR(E140="",J140=""),"",MAX(E140,F140,G140,H140,I140,J140)+60)</f>
        <v/>
      </c>
      <c r="L140" s="5" t="str">
        <f aca="false">IF(OR(E140="",K140=""),"",MAX(E140,F140,G140,H140,I140,J140,K140)+90)</f>
        <v/>
      </c>
      <c r="M140" s="5" t="str">
        <f aca="false">IF(E140="","",IF(F140="",F140,IF(G140="",G140,IF(H140="",H140,IF(I140="",I140,IF(J140="",J140,IF(K140="",K140,IF(L140="",L140,"DONE"))))))))</f>
        <v/>
      </c>
      <c r="N140" s="1" t="str">
        <f aca="true">IF(OR(E140="",M140="DONE"),"",M140-TODAY())</f>
        <v/>
      </c>
      <c r="O140" s="1" t="str">
        <f aca="false">IF(E140="","",IF(M140="DONE","✅ Complete",IF(N140&lt;0,"🔴 OVERDUE",IF(N140=0,"🟡 TODAY",IF(N140&lt;=3,"🟠 SOON","🟢 Later")))))</f>
        <v/>
      </c>
    </row>
    <row r="141" customFormat="false" ht="15" hidden="false" customHeight="true" outlineLevel="0" collapsed="false">
      <c r="E141" s="5"/>
      <c r="F141" s="5" t="str">
        <f aca="false">IF(E141="","",E141+1)</f>
        <v/>
      </c>
      <c r="G141" s="5" t="str">
        <f aca="false">IF(OR(E141="",F141=""),"",MAX(E141,F141)+3)</f>
        <v/>
      </c>
      <c r="H141" s="5" t="str">
        <f aca="false">IF(OR(E141="",G141=""),"",MAX(E141,F141,G141)+7)</f>
        <v/>
      </c>
      <c r="I141" s="5" t="str">
        <f aca="false">IF(OR(E141="",H141=""),"",MAX(E141,F141,G141,H141)+15)</f>
        <v/>
      </c>
      <c r="J141" s="5" t="str">
        <f aca="false">IF(OR(E141="",I141=""),"",MAX(E141,F141,G141,H141,I141)+30)</f>
        <v/>
      </c>
      <c r="K141" s="5" t="str">
        <f aca="false">IF(OR(E141="",J141=""),"",MAX(E141,F141,G141,H141,I141,J141)+60)</f>
        <v/>
      </c>
      <c r="L141" s="5" t="str">
        <f aca="false">IF(OR(E141="",K141=""),"",MAX(E141,F141,G141,H141,I141,J141,K141)+90)</f>
        <v/>
      </c>
      <c r="M141" s="5" t="str">
        <f aca="false">IF(E141="","",IF(F141="",F141,IF(G141="",G141,IF(H141="",H141,IF(I141="",I141,IF(J141="",J141,IF(K141="",K141,IF(L141="",L141,"DONE"))))))))</f>
        <v/>
      </c>
      <c r="N141" s="1" t="str">
        <f aca="true">IF(OR(E141="",M141="DONE"),"",M141-TODAY())</f>
        <v/>
      </c>
      <c r="O141" s="1" t="str">
        <f aca="false">IF(E141="","",IF(M141="DONE","✅ Complete",IF(N141&lt;0,"🔴 OVERDUE",IF(N141=0,"🟡 TODAY",IF(N141&lt;=3,"🟠 SOON","🟢 Later")))))</f>
        <v/>
      </c>
    </row>
    <row r="142" customFormat="false" ht="15" hidden="false" customHeight="true" outlineLevel="0" collapsed="false">
      <c r="E142" s="5"/>
      <c r="F142" s="5" t="str">
        <f aca="false">IF(E142="","",E142+1)</f>
        <v/>
      </c>
      <c r="G142" s="5" t="str">
        <f aca="false">IF(OR(E142="",F142=""),"",MAX(E142,F142)+3)</f>
        <v/>
      </c>
      <c r="H142" s="5" t="str">
        <f aca="false">IF(OR(E142="",G142=""),"",MAX(E142,F142,G142)+7)</f>
        <v/>
      </c>
      <c r="I142" s="5" t="str">
        <f aca="false">IF(OR(E142="",H142=""),"",MAX(E142,F142,G142,H142)+15)</f>
        <v/>
      </c>
      <c r="J142" s="5" t="str">
        <f aca="false">IF(OR(E142="",I142=""),"",MAX(E142,F142,G142,H142,I142)+30)</f>
        <v/>
      </c>
      <c r="K142" s="5" t="str">
        <f aca="false">IF(OR(E142="",J142=""),"",MAX(E142,F142,G142,H142,I142,J142)+60)</f>
        <v/>
      </c>
      <c r="L142" s="5" t="str">
        <f aca="false">IF(OR(E142="",K142=""),"",MAX(E142,F142,G142,H142,I142,J142,K142)+90)</f>
        <v/>
      </c>
      <c r="M142" s="5" t="str">
        <f aca="false">IF(E142="","",IF(F142="",F142,IF(G142="",G142,IF(H142="",H142,IF(I142="",I142,IF(J142="",J142,IF(K142="",K142,IF(L142="",L142,"DONE"))))))))</f>
        <v/>
      </c>
      <c r="N142" s="1" t="str">
        <f aca="true">IF(OR(E142="",M142="DONE"),"",M142-TODAY())</f>
        <v/>
      </c>
      <c r="O142" s="1" t="str">
        <f aca="false">IF(E142="","",IF(M142="DONE","✅ Complete",IF(N142&lt;0,"🔴 OVERDUE",IF(N142=0,"🟡 TODAY",IF(N142&lt;=3,"🟠 SOON","🟢 Later")))))</f>
        <v/>
      </c>
    </row>
    <row r="143" customFormat="false" ht="15" hidden="false" customHeight="true" outlineLevel="0" collapsed="false">
      <c r="E143" s="5"/>
      <c r="F143" s="5" t="str">
        <f aca="false">IF(E143="","",E143+1)</f>
        <v/>
      </c>
      <c r="G143" s="5" t="str">
        <f aca="false">IF(OR(E143="",F143=""),"",MAX(E143,F143)+3)</f>
        <v/>
      </c>
      <c r="H143" s="5" t="str">
        <f aca="false">IF(OR(E143="",G143=""),"",MAX(E143,F143,G143)+7)</f>
        <v/>
      </c>
      <c r="I143" s="5" t="str">
        <f aca="false">IF(OR(E143="",H143=""),"",MAX(E143,F143,G143,H143)+15)</f>
        <v/>
      </c>
      <c r="J143" s="5" t="str">
        <f aca="false">IF(OR(E143="",I143=""),"",MAX(E143,F143,G143,H143,I143)+30)</f>
        <v/>
      </c>
      <c r="K143" s="5" t="str">
        <f aca="false">IF(OR(E143="",J143=""),"",MAX(E143,F143,G143,H143,I143,J143)+60)</f>
        <v/>
      </c>
      <c r="L143" s="5" t="str">
        <f aca="false">IF(OR(E143="",K143=""),"",MAX(E143,F143,G143,H143,I143,J143,K143)+90)</f>
        <v/>
      </c>
      <c r="M143" s="5" t="str">
        <f aca="false">IF(E143="","",IF(F143="",F143,IF(G143="",G143,IF(H143="",H143,IF(I143="",I143,IF(J143="",J143,IF(K143="",K143,IF(L143="",L143,"DONE"))))))))</f>
        <v/>
      </c>
      <c r="N143" s="1" t="str">
        <f aca="true">IF(OR(E143="",M143="DONE"),"",M143-TODAY())</f>
        <v/>
      </c>
      <c r="O143" s="1" t="str">
        <f aca="false">IF(E143="","",IF(M143="DONE","✅ Complete",IF(N143&lt;0,"🔴 OVERDUE",IF(N143=0,"🟡 TODAY",IF(N143&lt;=3,"🟠 SOON","🟢 Later")))))</f>
        <v/>
      </c>
    </row>
    <row r="144" customFormat="false" ht="15" hidden="false" customHeight="true" outlineLevel="0" collapsed="false">
      <c r="E144" s="5"/>
      <c r="F144" s="5" t="str">
        <f aca="false">IF(E144="","",E144+1)</f>
        <v/>
      </c>
      <c r="G144" s="5" t="str">
        <f aca="false">IF(OR(E144="",F144=""),"",MAX(E144,F144)+3)</f>
        <v/>
      </c>
      <c r="H144" s="5" t="str">
        <f aca="false">IF(OR(E144="",G144=""),"",MAX(E144,F144,G144)+7)</f>
        <v/>
      </c>
      <c r="I144" s="5" t="str">
        <f aca="false">IF(OR(E144="",H144=""),"",MAX(E144,F144,G144,H144)+15)</f>
        <v/>
      </c>
      <c r="J144" s="5" t="str">
        <f aca="false">IF(OR(E144="",I144=""),"",MAX(E144,F144,G144,H144,I144)+30)</f>
        <v/>
      </c>
      <c r="K144" s="5" t="str">
        <f aca="false">IF(OR(E144="",J144=""),"",MAX(E144,F144,G144,H144,I144,J144)+60)</f>
        <v/>
      </c>
      <c r="L144" s="5" t="str">
        <f aca="false">IF(OR(E144="",K144=""),"",MAX(E144,F144,G144,H144,I144,J144,K144)+90)</f>
        <v/>
      </c>
      <c r="M144" s="5" t="str">
        <f aca="false">IF(E144="","",IF(F144="",F144,IF(G144="",G144,IF(H144="",H144,IF(I144="",I144,IF(J144="",J144,IF(K144="",K144,IF(L144="",L144,"DONE"))))))))</f>
        <v/>
      </c>
      <c r="N144" s="1" t="str">
        <f aca="true">IF(OR(E144="",M144="DONE"),"",M144-TODAY())</f>
        <v/>
      </c>
      <c r="O144" s="1" t="str">
        <f aca="false">IF(E144="","",IF(M144="DONE","✅ Complete",IF(N144&lt;0,"🔴 OVERDUE",IF(N144=0,"🟡 TODAY",IF(N144&lt;=3,"🟠 SOON","🟢 Later")))))</f>
        <v/>
      </c>
    </row>
    <row r="145" customFormat="false" ht="15" hidden="false" customHeight="true" outlineLevel="0" collapsed="false">
      <c r="E145" s="5"/>
      <c r="F145" s="5" t="str">
        <f aca="false">IF(E145="","",E145+1)</f>
        <v/>
      </c>
      <c r="G145" s="5" t="str">
        <f aca="false">IF(OR(E145="",F145=""),"",MAX(E145,F145)+3)</f>
        <v/>
      </c>
      <c r="H145" s="5" t="str">
        <f aca="false">IF(OR(E145="",G145=""),"",MAX(E145,F145,G145)+7)</f>
        <v/>
      </c>
      <c r="I145" s="5" t="str">
        <f aca="false">IF(OR(E145="",H145=""),"",MAX(E145,F145,G145,H145)+15)</f>
        <v/>
      </c>
      <c r="J145" s="5" t="str">
        <f aca="false">IF(OR(E145="",I145=""),"",MAX(E145,F145,G145,H145,I145)+30)</f>
        <v/>
      </c>
      <c r="K145" s="5" t="str">
        <f aca="false">IF(OR(E145="",J145=""),"",MAX(E145,F145,G145,H145,I145,J145)+60)</f>
        <v/>
      </c>
      <c r="L145" s="5" t="str">
        <f aca="false">IF(OR(E145="",K145=""),"",MAX(E145,F145,G145,H145,I145,J145,K145)+90)</f>
        <v/>
      </c>
      <c r="M145" s="5" t="str">
        <f aca="false">IF(E145="","",IF(F145="",F145,IF(G145="",G145,IF(H145="",H145,IF(I145="",I145,IF(J145="",J145,IF(K145="",K145,IF(L145="",L145,"DONE"))))))))</f>
        <v/>
      </c>
      <c r="N145" s="1" t="str">
        <f aca="true">IF(OR(E145="",M145="DONE"),"",M145-TODAY())</f>
        <v/>
      </c>
      <c r="O145" s="1" t="str">
        <f aca="false">IF(E145="","",IF(M145="DONE","✅ Complete",IF(N145&lt;0,"🔴 OVERDUE",IF(N145=0,"🟡 TODAY",IF(N145&lt;=3,"🟠 SOON","🟢 Later")))))</f>
        <v/>
      </c>
    </row>
    <row r="146" customFormat="false" ht="15" hidden="false" customHeight="true" outlineLevel="0" collapsed="false">
      <c r="E146" s="5"/>
      <c r="F146" s="5" t="str">
        <f aca="false">IF(E146="","",E146+1)</f>
        <v/>
      </c>
      <c r="G146" s="5" t="str">
        <f aca="false">IF(OR(E146="",F146=""),"",MAX(E146,F146)+3)</f>
        <v/>
      </c>
      <c r="H146" s="5" t="str">
        <f aca="false">IF(OR(E146="",G146=""),"",MAX(E146,F146,G146)+7)</f>
        <v/>
      </c>
      <c r="I146" s="5" t="str">
        <f aca="false">IF(OR(E146="",H146=""),"",MAX(E146,F146,G146,H146)+15)</f>
        <v/>
      </c>
      <c r="J146" s="5" t="str">
        <f aca="false">IF(OR(E146="",I146=""),"",MAX(E146,F146,G146,H146,I146)+30)</f>
        <v/>
      </c>
      <c r="K146" s="5" t="str">
        <f aca="false">IF(OR(E146="",J146=""),"",MAX(E146,F146,G146,H146,I146,J146)+60)</f>
        <v/>
      </c>
      <c r="L146" s="5" t="str">
        <f aca="false">IF(OR(E146="",K146=""),"",MAX(E146,F146,G146,H146,I146,J146,K146)+90)</f>
        <v/>
      </c>
      <c r="M146" s="5" t="str">
        <f aca="false">IF(E146="","",IF(F146="",F146,IF(G146="",G146,IF(H146="",H146,IF(I146="",I146,IF(J146="",J146,IF(K146="",K146,IF(L146="",L146,"DONE"))))))))</f>
        <v/>
      </c>
      <c r="N146" s="1" t="str">
        <f aca="true">IF(OR(E146="",M146="DONE"),"",M146-TODAY())</f>
        <v/>
      </c>
      <c r="O146" s="1" t="str">
        <f aca="false">IF(E146="","",IF(M146="DONE","✅ Complete",IF(N146&lt;0,"🔴 OVERDUE",IF(N146=0,"🟡 TODAY",IF(N146&lt;=3,"🟠 SOON","🟢 Later")))))</f>
        <v/>
      </c>
    </row>
    <row r="147" customFormat="false" ht="15" hidden="false" customHeight="true" outlineLevel="0" collapsed="false">
      <c r="E147" s="5"/>
      <c r="F147" s="5" t="str">
        <f aca="false">IF(E147="","",E147+1)</f>
        <v/>
      </c>
      <c r="G147" s="5" t="str">
        <f aca="false">IF(OR(E147="",F147=""),"",MAX(E147,F147)+3)</f>
        <v/>
      </c>
      <c r="H147" s="5" t="str">
        <f aca="false">IF(OR(E147="",G147=""),"",MAX(E147,F147,G147)+7)</f>
        <v/>
      </c>
      <c r="I147" s="5" t="str">
        <f aca="false">IF(OR(E147="",H147=""),"",MAX(E147,F147,G147,H147)+15)</f>
        <v/>
      </c>
      <c r="J147" s="5" t="str">
        <f aca="false">IF(OR(E147="",I147=""),"",MAX(E147,F147,G147,H147,I147)+30)</f>
        <v/>
      </c>
      <c r="K147" s="5" t="str">
        <f aca="false">IF(OR(E147="",J147=""),"",MAX(E147,F147,G147,H147,I147,J147)+60)</f>
        <v/>
      </c>
      <c r="L147" s="5" t="str">
        <f aca="false">IF(OR(E147="",K147=""),"",MAX(E147,F147,G147,H147,I147,J147,K147)+90)</f>
        <v/>
      </c>
      <c r="M147" s="5" t="str">
        <f aca="false">IF(E147="","",IF(F147="",F147,IF(G147="",G147,IF(H147="",H147,IF(I147="",I147,IF(J147="",J147,IF(K147="",K147,IF(L147="",L147,"DONE"))))))))</f>
        <v/>
      </c>
      <c r="N147" s="1" t="str">
        <f aca="true">IF(OR(E147="",M147="DONE"),"",M147-TODAY())</f>
        <v/>
      </c>
      <c r="O147" s="1" t="str">
        <f aca="false">IF(E147="","",IF(M147="DONE","✅ Complete",IF(N147&lt;0,"🔴 OVERDUE",IF(N147=0,"🟡 TODAY",IF(N147&lt;=3,"🟠 SOON","🟢 Later")))))</f>
        <v/>
      </c>
    </row>
    <row r="148" customFormat="false" ht="15" hidden="false" customHeight="true" outlineLevel="0" collapsed="false">
      <c r="E148" s="5"/>
      <c r="F148" s="5" t="str">
        <f aca="false">IF(E148="","",E148+1)</f>
        <v/>
      </c>
      <c r="G148" s="5" t="str">
        <f aca="false">IF(OR(E148="",F148=""),"",MAX(E148,F148)+3)</f>
        <v/>
      </c>
      <c r="H148" s="5" t="str">
        <f aca="false">IF(OR(E148="",G148=""),"",MAX(E148,F148,G148)+7)</f>
        <v/>
      </c>
      <c r="I148" s="5" t="str">
        <f aca="false">IF(OR(E148="",H148=""),"",MAX(E148,F148,G148,H148)+15)</f>
        <v/>
      </c>
      <c r="J148" s="5" t="str">
        <f aca="false">IF(OR(E148="",I148=""),"",MAX(E148,F148,G148,H148,I148)+30)</f>
        <v/>
      </c>
      <c r="K148" s="5" t="str">
        <f aca="false">IF(OR(E148="",J148=""),"",MAX(E148,F148,G148,H148,I148,J148)+60)</f>
        <v/>
      </c>
      <c r="L148" s="5" t="str">
        <f aca="false">IF(OR(E148="",K148=""),"",MAX(E148,F148,G148,H148,I148,J148,K148)+90)</f>
        <v/>
      </c>
      <c r="M148" s="5" t="str">
        <f aca="false">IF(E148="","",IF(F148="",F148,IF(G148="",G148,IF(H148="",H148,IF(I148="",I148,IF(J148="",J148,IF(K148="",K148,IF(L148="",L148,"DONE"))))))))</f>
        <v/>
      </c>
      <c r="N148" s="1" t="str">
        <f aca="true">IF(OR(E148="",M148="DONE"),"",M148-TODAY())</f>
        <v/>
      </c>
      <c r="O148" s="1" t="str">
        <f aca="false">IF(E148="","",IF(M148="DONE","✅ Complete",IF(N148&lt;0,"🔴 OVERDUE",IF(N148=0,"🟡 TODAY",IF(N148&lt;=3,"🟠 SOON","🟢 Later")))))</f>
        <v/>
      </c>
    </row>
    <row r="149" customFormat="false" ht="15" hidden="false" customHeight="true" outlineLevel="0" collapsed="false">
      <c r="E149" s="5"/>
      <c r="F149" s="5" t="str">
        <f aca="false">IF(E149="","",E149+1)</f>
        <v/>
      </c>
      <c r="G149" s="5" t="str">
        <f aca="false">IF(OR(E149="",F149=""),"",MAX(E149,F149)+3)</f>
        <v/>
      </c>
      <c r="H149" s="5" t="str">
        <f aca="false">IF(OR(E149="",G149=""),"",MAX(E149,F149,G149)+7)</f>
        <v/>
      </c>
      <c r="I149" s="5" t="str">
        <f aca="false">IF(OR(E149="",H149=""),"",MAX(E149,F149,G149,H149)+15)</f>
        <v/>
      </c>
      <c r="J149" s="5" t="str">
        <f aca="false">IF(OR(E149="",I149=""),"",MAX(E149,F149,G149,H149,I149)+30)</f>
        <v/>
      </c>
      <c r="K149" s="5" t="str">
        <f aca="false">IF(OR(E149="",J149=""),"",MAX(E149,F149,G149,H149,I149,J149)+60)</f>
        <v/>
      </c>
      <c r="L149" s="5" t="str">
        <f aca="false">IF(OR(E149="",K149=""),"",MAX(E149,F149,G149,H149,I149,J149,K149)+90)</f>
        <v/>
      </c>
      <c r="M149" s="5" t="str">
        <f aca="false">IF(E149="","",IF(F149="",F149,IF(G149="",G149,IF(H149="",H149,IF(I149="",I149,IF(J149="",J149,IF(K149="",K149,IF(L149="",L149,"DONE"))))))))</f>
        <v/>
      </c>
      <c r="N149" s="1" t="str">
        <f aca="true">IF(OR(E149="",M149="DONE"),"",M149-TODAY())</f>
        <v/>
      </c>
      <c r="O149" s="1" t="str">
        <f aca="false">IF(E149="","",IF(M149="DONE","✅ Complete",IF(N149&lt;0,"🔴 OVERDUE",IF(N149=0,"🟡 TODAY",IF(N149&lt;=3,"🟠 SOON","🟢 Later")))))</f>
        <v/>
      </c>
    </row>
    <row r="150" customFormat="false" ht="15" hidden="false" customHeight="true" outlineLevel="0" collapsed="false">
      <c r="E150" s="5"/>
      <c r="F150" s="5" t="str">
        <f aca="false">IF(E150="","",E150+1)</f>
        <v/>
      </c>
      <c r="G150" s="5" t="str">
        <f aca="false">IF(OR(E150="",F150=""),"",MAX(E150,F150)+3)</f>
        <v/>
      </c>
      <c r="H150" s="5" t="str">
        <f aca="false">IF(OR(E150="",G150=""),"",MAX(E150,F150,G150)+7)</f>
        <v/>
      </c>
      <c r="I150" s="5" t="str">
        <f aca="false">IF(OR(E150="",H150=""),"",MAX(E150,F150,G150,H150)+15)</f>
        <v/>
      </c>
      <c r="J150" s="5" t="str">
        <f aca="false">IF(OR(E150="",I150=""),"",MAX(E150,F150,G150,H150,I150)+30)</f>
        <v/>
      </c>
      <c r="K150" s="5" t="str">
        <f aca="false">IF(OR(E150="",J150=""),"",MAX(E150,F150,G150,H150,I150,J150)+60)</f>
        <v/>
      </c>
      <c r="L150" s="5" t="str">
        <f aca="false">IF(OR(E150="",K150=""),"",MAX(E150,F150,G150,H150,I150,J150,K150)+90)</f>
        <v/>
      </c>
      <c r="M150" s="5" t="str">
        <f aca="false">IF(E150="","",IF(F150="",F150,IF(G150="",G150,IF(H150="",H150,IF(I150="",I150,IF(J150="",J150,IF(K150="",K150,IF(L150="",L150,"DONE"))))))))</f>
        <v/>
      </c>
      <c r="N150" s="1" t="str">
        <f aca="true">IF(OR(E150="",M150="DONE"),"",M150-TODAY())</f>
        <v/>
      </c>
      <c r="O150" s="1" t="str">
        <f aca="false">IF(E150="","",IF(M150="DONE","✅ Complete",IF(N150&lt;0,"🔴 OVERDUE",IF(N150=0,"🟡 TODAY",IF(N150&lt;=3,"🟠 SOON","🟢 Later")))))</f>
        <v/>
      </c>
    </row>
    <row r="151" customFormat="false" ht="15" hidden="false" customHeight="true" outlineLevel="0" collapsed="false">
      <c r="E151" s="5"/>
      <c r="F151" s="5" t="str">
        <f aca="false">IF(E151="","",E151+1)</f>
        <v/>
      </c>
      <c r="G151" s="5" t="str">
        <f aca="false">IF(OR(E151="",F151=""),"",MAX(E151,F151)+3)</f>
        <v/>
      </c>
      <c r="H151" s="5" t="str">
        <f aca="false">IF(OR(E151="",G151=""),"",MAX(E151,F151,G151)+7)</f>
        <v/>
      </c>
      <c r="I151" s="5" t="str">
        <f aca="false">IF(OR(E151="",H151=""),"",MAX(E151,F151,G151,H151)+15)</f>
        <v/>
      </c>
      <c r="J151" s="5" t="str">
        <f aca="false">IF(OR(E151="",I151=""),"",MAX(E151,F151,G151,H151,I151)+30)</f>
        <v/>
      </c>
      <c r="K151" s="5" t="str">
        <f aca="false">IF(OR(E151="",J151=""),"",MAX(E151,F151,G151,H151,I151,J151)+60)</f>
        <v/>
      </c>
      <c r="L151" s="5" t="str">
        <f aca="false">IF(OR(E151="",K151=""),"",MAX(E151,F151,G151,H151,I151,J151,K151)+90)</f>
        <v/>
      </c>
      <c r="M151" s="5" t="str">
        <f aca="false">IF(E151="","",IF(F151="",F151,IF(G151="",G151,IF(H151="",H151,IF(I151="",I151,IF(J151="",J151,IF(K151="",K151,IF(L151="",L151,"DONE"))))))))</f>
        <v/>
      </c>
      <c r="N151" s="1" t="str">
        <f aca="true">IF(OR(E151="",M151="DONE"),"",M151-TODAY())</f>
        <v/>
      </c>
      <c r="O151" s="1" t="str">
        <f aca="false">IF(E151="","",IF(M151="DONE","✅ Complete",IF(N151&lt;0,"🔴 OVERDUE",IF(N151=0,"🟡 TODAY",IF(N151&lt;=3,"🟠 SOON","🟢 Later")))))</f>
        <v/>
      </c>
    </row>
    <row r="152" customFormat="false" ht="15" hidden="false" customHeight="true" outlineLevel="0" collapsed="false">
      <c r="E152" s="5"/>
      <c r="F152" s="5" t="str">
        <f aca="false">IF(E152="","",E152+1)</f>
        <v/>
      </c>
      <c r="G152" s="5" t="str">
        <f aca="false">IF(OR(E152="",F152=""),"",MAX(E152,F152)+3)</f>
        <v/>
      </c>
      <c r="H152" s="5" t="str">
        <f aca="false">IF(OR(E152="",G152=""),"",MAX(E152,F152,G152)+7)</f>
        <v/>
      </c>
      <c r="I152" s="5" t="str">
        <f aca="false">IF(OR(E152="",H152=""),"",MAX(E152,F152,G152,H152)+15)</f>
        <v/>
      </c>
      <c r="J152" s="5" t="str">
        <f aca="false">IF(OR(E152="",I152=""),"",MAX(E152,F152,G152,H152,I152)+30)</f>
        <v/>
      </c>
      <c r="K152" s="5" t="str">
        <f aca="false">IF(OR(E152="",J152=""),"",MAX(E152,F152,G152,H152,I152,J152)+60)</f>
        <v/>
      </c>
      <c r="L152" s="5" t="str">
        <f aca="false">IF(OR(E152="",K152=""),"",MAX(E152,F152,G152,H152,I152,J152,K152)+90)</f>
        <v/>
      </c>
      <c r="M152" s="5" t="str">
        <f aca="false">IF(E152="","",IF(F152="",F152,IF(G152="",G152,IF(H152="",H152,IF(I152="",I152,IF(J152="",J152,IF(K152="",K152,IF(L152="",L152,"DONE"))))))))</f>
        <v/>
      </c>
      <c r="N152" s="1" t="str">
        <f aca="true">IF(OR(E152="",M152="DONE"),"",M152-TODAY())</f>
        <v/>
      </c>
      <c r="O152" s="1" t="str">
        <f aca="false">IF(E152="","",IF(M152="DONE","✅ Complete",IF(N152&lt;0,"🔴 OVERDUE",IF(N152=0,"🟡 TODAY",IF(N152&lt;=3,"🟠 SOON","🟢 Later")))))</f>
        <v/>
      </c>
    </row>
    <row r="153" customFormat="false" ht="15" hidden="false" customHeight="true" outlineLevel="0" collapsed="false">
      <c r="E153" s="5"/>
      <c r="F153" s="5" t="str">
        <f aca="false">IF(E153="","",E153+1)</f>
        <v/>
      </c>
      <c r="G153" s="5" t="str">
        <f aca="false">IF(OR(E153="",F153=""),"",MAX(E153,F153)+3)</f>
        <v/>
      </c>
      <c r="H153" s="5" t="str">
        <f aca="false">IF(OR(E153="",G153=""),"",MAX(E153,F153,G153)+7)</f>
        <v/>
      </c>
      <c r="I153" s="5" t="str">
        <f aca="false">IF(OR(E153="",H153=""),"",MAX(E153,F153,G153,H153)+15)</f>
        <v/>
      </c>
      <c r="J153" s="5" t="str">
        <f aca="false">IF(OR(E153="",I153=""),"",MAX(E153,F153,G153,H153,I153)+30)</f>
        <v/>
      </c>
      <c r="K153" s="5" t="str">
        <f aca="false">IF(OR(E153="",J153=""),"",MAX(E153,F153,G153,H153,I153,J153)+60)</f>
        <v/>
      </c>
      <c r="L153" s="5" t="str">
        <f aca="false">IF(OR(E153="",K153=""),"",MAX(E153,F153,G153,H153,I153,J153,K153)+90)</f>
        <v/>
      </c>
      <c r="M153" s="5" t="str">
        <f aca="false">IF(E153="","",IF(F153="",F153,IF(G153="",G153,IF(H153="",H153,IF(I153="",I153,IF(J153="",J153,IF(K153="",K153,IF(L153="",L153,"DONE"))))))))</f>
        <v/>
      </c>
      <c r="N153" s="1" t="str">
        <f aca="true">IF(OR(E153="",M153="DONE"),"",M153-TODAY())</f>
        <v/>
      </c>
      <c r="O153" s="1" t="str">
        <f aca="false">IF(E153="","",IF(M153="DONE","✅ Complete",IF(N153&lt;0,"🔴 OVERDUE",IF(N153=0,"🟡 TODAY",IF(N153&lt;=3,"🟠 SOON","🟢 Later")))))</f>
        <v/>
      </c>
    </row>
    <row r="154" customFormat="false" ht="15" hidden="false" customHeight="true" outlineLevel="0" collapsed="false">
      <c r="E154" s="5"/>
      <c r="F154" s="5" t="str">
        <f aca="false">IF(E154="","",E154+1)</f>
        <v/>
      </c>
      <c r="G154" s="5" t="str">
        <f aca="false">IF(OR(E154="",F154=""),"",MAX(E154,F154)+3)</f>
        <v/>
      </c>
      <c r="H154" s="5" t="str">
        <f aca="false">IF(OR(E154="",G154=""),"",MAX(E154,F154,G154)+7)</f>
        <v/>
      </c>
      <c r="I154" s="5" t="str">
        <f aca="false">IF(OR(E154="",H154=""),"",MAX(E154,F154,G154,H154)+15)</f>
        <v/>
      </c>
      <c r="J154" s="5" t="str">
        <f aca="false">IF(OR(E154="",I154=""),"",MAX(E154,F154,G154,H154,I154)+30)</f>
        <v/>
      </c>
      <c r="K154" s="5" t="str">
        <f aca="false">IF(OR(E154="",J154=""),"",MAX(E154,F154,G154,H154,I154,J154)+60)</f>
        <v/>
      </c>
      <c r="L154" s="5" t="str">
        <f aca="false">IF(OR(E154="",K154=""),"",MAX(E154,F154,G154,H154,I154,J154,K154)+90)</f>
        <v/>
      </c>
      <c r="M154" s="5" t="str">
        <f aca="false">IF(E154="","",IF(F154="",F154,IF(G154="",G154,IF(H154="",H154,IF(I154="",I154,IF(J154="",J154,IF(K154="",K154,IF(L154="",L154,"DONE"))))))))</f>
        <v/>
      </c>
      <c r="N154" s="1" t="str">
        <f aca="true">IF(OR(E154="",M154="DONE"),"",M154-TODAY())</f>
        <v/>
      </c>
      <c r="O154" s="1" t="str">
        <f aca="false">IF(E154="","",IF(M154="DONE","✅ Complete",IF(N154&lt;0,"🔴 OVERDUE",IF(N154=0,"🟡 TODAY",IF(N154&lt;=3,"🟠 SOON","🟢 Later")))))</f>
        <v/>
      </c>
    </row>
    <row r="155" customFormat="false" ht="15" hidden="false" customHeight="true" outlineLevel="0" collapsed="false">
      <c r="E155" s="5"/>
      <c r="F155" s="5" t="str">
        <f aca="false">IF(E155="","",E155+1)</f>
        <v/>
      </c>
      <c r="G155" s="5" t="str">
        <f aca="false">IF(OR(E155="",F155=""),"",MAX(E155,F155)+3)</f>
        <v/>
      </c>
      <c r="H155" s="5" t="str">
        <f aca="false">IF(OR(E155="",G155=""),"",MAX(E155,F155,G155)+7)</f>
        <v/>
      </c>
      <c r="I155" s="5" t="str">
        <f aca="false">IF(OR(E155="",H155=""),"",MAX(E155,F155,G155,H155)+15)</f>
        <v/>
      </c>
      <c r="J155" s="5" t="str">
        <f aca="false">IF(OR(E155="",I155=""),"",MAX(E155,F155,G155,H155,I155)+30)</f>
        <v/>
      </c>
      <c r="K155" s="5" t="str">
        <f aca="false">IF(OR(E155="",J155=""),"",MAX(E155,F155,G155,H155,I155,J155)+60)</f>
        <v/>
      </c>
      <c r="L155" s="5" t="str">
        <f aca="false">IF(OR(E155="",K155=""),"",MAX(E155,F155,G155,H155,I155,J155,K155)+90)</f>
        <v/>
      </c>
      <c r="M155" s="5" t="str">
        <f aca="false">IF(E155="","",IF(F155="",F155,IF(G155="",G155,IF(H155="",H155,IF(I155="",I155,IF(J155="",J155,IF(K155="",K155,IF(L155="",L155,"DONE"))))))))</f>
        <v/>
      </c>
      <c r="N155" s="1" t="str">
        <f aca="true">IF(OR(E155="",M155="DONE"),"",M155-TODAY())</f>
        <v/>
      </c>
      <c r="O155" s="1" t="str">
        <f aca="false">IF(E155="","",IF(M155="DONE","✅ Complete",IF(N155&lt;0,"🔴 OVERDUE",IF(N155=0,"🟡 TODAY",IF(N155&lt;=3,"🟠 SOON","🟢 Later")))))</f>
        <v/>
      </c>
    </row>
    <row r="156" customFormat="false" ht="15" hidden="false" customHeight="true" outlineLevel="0" collapsed="false">
      <c r="E156" s="5"/>
      <c r="F156" s="5" t="str">
        <f aca="false">IF(E156="","",E156+1)</f>
        <v/>
      </c>
      <c r="G156" s="5" t="str">
        <f aca="false">IF(OR(E156="",F156=""),"",MAX(E156,F156)+3)</f>
        <v/>
      </c>
      <c r="H156" s="5" t="str">
        <f aca="false">IF(OR(E156="",G156=""),"",MAX(E156,F156,G156)+7)</f>
        <v/>
      </c>
      <c r="I156" s="5" t="str">
        <f aca="false">IF(OR(E156="",H156=""),"",MAX(E156,F156,G156,H156)+15)</f>
        <v/>
      </c>
      <c r="J156" s="5" t="str">
        <f aca="false">IF(OR(E156="",I156=""),"",MAX(E156,F156,G156,H156,I156)+30)</f>
        <v/>
      </c>
      <c r="K156" s="5" t="str">
        <f aca="false">IF(OR(E156="",J156=""),"",MAX(E156,F156,G156,H156,I156,J156)+60)</f>
        <v/>
      </c>
      <c r="L156" s="5" t="str">
        <f aca="false">IF(OR(E156="",K156=""),"",MAX(E156,F156,G156,H156,I156,J156,K156)+90)</f>
        <v/>
      </c>
      <c r="M156" s="5" t="str">
        <f aca="false">IF(E156="","",IF(F156="",F156,IF(G156="",G156,IF(H156="",H156,IF(I156="",I156,IF(J156="",J156,IF(K156="",K156,IF(L156="",L156,"DONE"))))))))</f>
        <v/>
      </c>
      <c r="N156" s="1" t="str">
        <f aca="true">IF(OR(E156="",M156="DONE"),"",M156-TODAY())</f>
        <v/>
      </c>
      <c r="O156" s="1" t="str">
        <f aca="false">IF(E156="","",IF(M156="DONE","✅ Complete",IF(N156&lt;0,"🔴 OVERDUE",IF(N156=0,"🟡 TODAY",IF(N156&lt;=3,"🟠 SOON","🟢 Later")))))</f>
        <v/>
      </c>
    </row>
    <row r="157" customFormat="false" ht="15" hidden="false" customHeight="true" outlineLevel="0" collapsed="false">
      <c r="E157" s="5"/>
      <c r="F157" s="5" t="str">
        <f aca="false">IF(E157="","",E157+1)</f>
        <v/>
      </c>
      <c r="G157" s="5" t="str">
        <f aca="false">IF(OR(E157="",F157=""),"",MAX(E157,F157)+3)</f>
        <v/>
      </c>
      <c r="H157" s="5" t="str">
        <f aca="false">IF(OR(E157="",G157=""),"",MAX(E157,F157,G157)+7)</f>
        <v/>
      </c>
      <c r="I157" s="5" t="str">
        <f aca="false">IF(OR(E157="",H157=""),"",MAX(E157,F157,G157,H157)+15)</f>
        <v/>
      </c>
      <c r="J157" s="5" t="str">
        <f aca="false">IF(OR(E157="",I157=""),"",MAX(E157,F157,G157,H157,I157)+30)</f>
        <v/>
      </c>
      <c r="K157" s="5" t="str">
        <f aca="false">IF(OR(E157="",J157=""),"",MAX(E157,F157,G157,H157,I157,J157)+60)</f>
        <v/>
      </c>
      <c r="L157" s="5" t="str">
        <f aca="false">IF(OR(E157="",K157=""),"",MAX(E157,F157,G157,H157,I157,J157,K157)+90)</f>
        <v/>
      </c>
      <c r="M157" s="5" t="str">
        <f aca="false">IF(E157="","",IF(F157="",F157,IF(G157="",G157,IF(H157="",H157,IF(I157="",I157,IF(J157="",J157,IF(K157="",K157,IF(L157="",L157,"DONE"))))))))</f>
        <v/>
      </c>
      <c r="N157" s="1" t="str">
        <f aca="true">IF(OR(E157="",M157="DONE"),"",M157-TODAY())</f>
        <v/>
      </c>
      <c r="O157" s="1" t="str">
        <f aca="false">IF(E157="","",IF(M157="DONE","✅ Complete",IF(N157&lt;0,"🔴 OVERDUE",IF(N157=0,"🟡 TODAY",IF(N157&lt;=3,"🟠 SOON","🟢 Later")))))</f>
        <v/>
      </c>
    </row>
    <row r="158" customFormat="false" ht="15" hidden="false" customHeight="true" outlineLevel="0" collapsed="false">
      <c r="E158" s="5"/>
      <c r="F158" s="5" t="str">
        <f aca="false">IF(E158="","",E158+1)</f>
        <v/>
      </c>
      <c r="G158" s="5" t="str">
        <f aca="false">IF(OR(E158="",F158=""),"",MAX(E158,F158)+3)</f>
        <v/>
      </c>
      <c r="H158" s="5" t="str">
        <f aca="false">IF(OR(E158="",G158=""),"",MAX(E158,F158,G158)+7)</f>
        <v/>
      </c>
      <c r="I158" s="5" t="str">
        <f aca="false">IF(OR(E158="",H158=""),"",MAX(E158,F158,G158,H158)+15)</f>
        <v/>
      </c>
      <c r="J158" s="5" t="str">
        <f aca="false">IF(OR(E158="",I158=""),"",MAX(E158,F158,G158,H158,I158)+30)</f>
        <v/>
      </c>
      <c r="K158" s="5" t="str">
        <f aca="false">IF(OR(E158="",J158=""),"",MAX(E158,F158,G158,H158,I158,J158)+60)</f>
        <v/>
      </c>
      <c r="L158" s="5" t="str">
        <f aca="false">IF(OR(E158="",K158=""),"",MAX(E158,F158,G158,H158,I158,J158,K158)+90)</f>
        <v/>
      </c>
      <c r="M158" s="5" t="str">
        <f aca="false">IF(E158="","",IF(F158="",F158,IF(G158="",G158,IF(H158="",H158,IF(I158="",I158,IF(J158="",J158,IF(K158="",K158,IF(L158="",L158,"DONE"))))))))</f>
        <v/>
      </c>
      <c r="N158" s="1" t="str">
        <f aca="true">IF(OR(E158="",M158="DONE"),"",M158-TODAY())</f>
        <v/>
      </c>
      <c r="O158" s="1" t="str">
        <f aca="false">IF(E158="","",IF(M158="DONE","✅ Complete",IF(N158&lt;0,"🔴 OVERDUE",IF(N158=0,"🟡 TODAY",IF(N158&lt;=3,"🟠 SOON","🟢 Later")))))</f>
        <v/>
      </c>
    </row>
    <row r="159" customFormat="false" ht="15" hidden="false" customHeight="true" outlineLevel="0" collapsed="false">
      <c r="E159" s="5"/>
      <c r="F159" s="5" t="str">
        <f aca="false">IF(E159="","",E159+1)</f>
        <v/>
      </c>
      <c r="G159" s="5" t="str">
        <f aca="false">IF(OR(E159="",F159=""),"",MAX(E159,F159)+3)</f>
        <v/>
      </c>
      <c r="H159" s="5" t="str">
        <f aca="false">IF(OR(E159="",G159=""),"",MAX(E159,F159,G159)+7)</f>
        <v/>
      </c>
      <c r="I159" s="5" t="str">
        <f aca="false">IF(OR(E159="",H159=""),"",MAX(E159,F159,G159,H159)+15)</f>
        <v/>
      </c>
      <c r="J159" s="5" t="str">
        <f aca="false">IF(OR(E159="",I159=""),"",MAX(E159,F159,G159,H159,I159)+30)</f>
        <v/>
      </c>
      <c r="K159" s="5" t="str">
        <f aca="false">IF(OR(E159="",J159=""),"",MAX(E159,F159,G159,H159,I159,J159)+60)</f>
        <v/>
      </c>
      <c r="L159" s="5" t="str">
        <f aca="false">IF(OR(E159="",K159=""),"",MAX(E159,F159,G159,H159,I159,J159,K159)+90)</f>
        <v/>
      </c>
      <c r="M159" s="5" t="str">
        <f aca="false">IF(E159="","",IF(F159="",F159,IF(G159="",G159,IF(H159="",H159,IF(I159="",I159,IF(J159="",J159,IF(K159="",K159,IF(L159="",L159,"DONE"))))))))</f>
        <v/>
      </c>
      <c r="N159" s="1" t="str">
        <f aca="true">IF(OR(E159="",M159="DONE"),"",M159-TODAY())</f>
        <v/>
      </c>
      <c r="O159" s="1" t="str">
        <f aca="false">IF(E159="","",IF(M159="DONE","✅ Complete",IF(N159&lt;0,"🔴 OVERDUE",IF(N159=0,"🟡 TODAY",IF(N159&lt;=3,"🟠 SOON","🟢 Later")))))</f>
        <v/>
      </c>
    </row>
    <row r="160" customFormat="false" ht="15" hidden="false" customHeight="true" outlineLevel="0" collapsed="false">
      <c r="E160" s="5"/>
      <c r="F160" s="5" t="str">
        <f aca="false">IF(E160="","",E160+1)</f>
        <v/>
      </c>
      <c r="G160" s="5" t="str">
        <f aca="false">IF(OR(E160="",F160=""),"",MAX(E160,F160)+3)</f>
        <v/>
      </c>
      <c r="H160" s="5" t="str">
        <f aca="false">IF(OR(E160="",G160=""),"",MAX(E160,F160,G160)+7)</f>
        <v/>
      </c>
      <c r="I160" s="5" t="str">
        <f aca="false">IF(OR(E160="",H160=""),"",MAX(E160,F160,G160,H160)+15)</f>
        <v/>
      </c>
      <c r="J160" s="5" t="str">
        <f aca="false">IF(OR(E160="",I160=""),"",MAX(E160,F160,G160,H160,I160)+30)</f>
        <v/>
      </c>
      <c r="K160" s="5" t="str">
        <f aca="false">IF(OR(E160="",J160=""),"",MAX(E160,F160,G160,H160,I160,J160)+60)</f>
        <v/>
      </c>
      <c r="L160" s="5" t="str">
        <f aca="false">IF(OR(E160="",K160=""),"",MAX(E160,F160,G160,H160,I160,J160,K160)+90)</f>
        <v/>
      </c>
      <c r="M160" s="5" t="str">
        <f aca="false">IF(E160="","",IF(F160="",F160,IF(G160="",G160,IF(H160="",H160,IF(I160="",I160,IF(J160="",J160,IF(K160="",K160,IF(L160="",L160,"DONE"))))))))</f>
        <v/>
      </c>
      <c r="N160" s="1" t="str">
        <f aca="true">IF(OR(E160="",M160="DONE"),"",M160-TODAY())</f>
        <v/>
      </c>
      <c r="O160" s="1" t="str">
        <f aca="false">IF(E160="","",IF(M160="DONE","✅ Complete",IF(N160&lt;0,"🔴 OVERDUE",IF(N160=0,"🟡 TODAY",IF(N160&lt;=3,"🟠 SOON","🟢 Later")))))</f>
        <v/>
      </c>
    </row>
    <row r="161" customFormat="false" ht="15" hidden="false" customHeight="true" outlineLevel="0" collapsed="false">
      <c r="E161" s="5"/>
      <c r="F161" s="5" t="str">
        <f aca="false">IF(E161="","",E161+1)</f>
        <v/>
      </c>
      <c r="G161" s="5" t="str">
        <f aca="false">IF(OR(E161="",F161=""),"",MAX(E161,F161)+3)</f>
        <v/>
      </c>
      <c r="H161" s="5" t="str">
        <f aca="false">IF(OR(E161="",G161=""),"",MAX(E161,F161,G161)+7)</f>
        <v/>
      </c>
      <c r="I161" s="5" t="str">
        <f aca="false">IF(OR(E161="",H161=""),"",MAX(E161,F161,G161,H161)+15)</f>
        <v/>
      </c>
      <c r="J161" s="5" t="str">
        <f aca="false">IF(OR(E161="",I161=""),"",MAX(E161,F161,G161,H161,I161)+30)</f>
        <v/>
      </c>
      <c r="K161" s="5" t="str">
        <f aca="false">IF(OR(E161="",J161=""),"",MAX(E161,F161,G161,H161,I161,J161)+60)</f>
        <v/>
      </c>
      <c r="L161" s="5" t="str">
        <f aca="false">IF(OR(E161="",K161=""),"",MAX(E161,F161,G161,H161,I161,J161,K161)+90)</f>
        <v/>
      </c>
      <c r="M161" s="5" t="str">
        <f aca="false">IF(E161="","",IF(F161="",F161,IF(G161="",G161,IF(H161="",H161,IF(I161="",I161,IF(J161="",J161,IF(K161="",K161,IF(L161="",L161,"DONE"))))))))</f>
        <v/>
      </c>
      <c r="N161" s="1" t="str">
        <f aca="true">IF(OR(E161="",M161="DONE"),"",M161-TODAY())</f>
        <v/>
      </c>
      <c r="O161" s="1" t="str">
        <f aca="false">IF(E161="","",IF(M161="DONE","✅ Complete",IF(N161&lt;0,"🔴 OVERDUE",IF(N161=0,"🟡 TODAY",IF(N161&lt;=3,"🟠 SOON","🟢 Later")))))</f>
        <v/>
      </c>
    </row>
    <row r="162" customFormat="false" ht="15" hidden="false" customHeight="true" outlineLevel="0" collapsed="false">
      <c r="E162" s="5"/>
      <c r="F162" s="5" t="str">
        <f aca="false">IF(E162="","",E162+1)</f>
        <v/>
      </c>
      <c r="G162" s="5" t="str">
        <f aca="false">IF(OR(E162="",F162=""),"",MAX(E162,F162)+3)</f>
        <v/>
      </c>
      <c r="H162" s="5" t="str">
        <f aca="false">IF(OR(E162="",G162=""),"",MAX(E162,F162,G162)+7)</f>
        <v/>
      </c>
      <c r="I162" s="5" t="str">
        <f aca="false">IF(OR(E162="",H162=""),"",MAX(E162,F162,G162,H162)+15)</f>
        <v/>
      </c>
      <c r="J162" s="5" t="str">
        <f aca="false">IF(OR(E162="",I162=""),"",MAX(E162,F162,G162,H162,I162)+30)</f>
        <v/>
      </c>
      <c r="K162" s="5" t="str">
        <f aca="false">IF(OR(E162="",J162=""),"",MAX(E162,F162,G162,H162,I162,J162)+60)</f>
        <v/>
      </c>
      <c r="L162" s="5" t="str">
        <f aca="false">IF(OR(E162="",K162=""),"",MAX(E162,F162,G162,H162,I162,J162,K162)+90)</f>
        <v/>
      </c>
      <c r="M162" s="5" t="str">
        <f aca="false">IF(E162="","",IF(F162="",F162,IF(G162="",G162,IF(H162="",H162,IF(I162="",I162,IF(J162="",J162,IF(K162="",K162,IF(L162="",L162,"DONE"))))))))</f>
        <v/>
      </c>
      <c r="N162" s="1" t="str">
        <f aca="true">IF(OR(E162="",M162="DONE"),"",M162-TODAY())</f>
        <v/>
      </c>
      <c r="O162" s="1" t="str">
        <f aca="false">IF(E162="","",IF(M162="DONE","✅ Complete",IF(N162&lt;0,"🔴 OVERDUE",IF(N162=0,"🟡 TODAY",IF(N162&lt;=3,"🟠 SOON","🟢 Later")))))</f>
        <v/>
      </c>
    </row>
    <row r="163" customFormat="false" ht="15" hidden="false" customHeight="true" outlineLevel="0" collapsed="false">
      <c r="E163" s="5"/>
      <c r="F163" s="5" t="str">
        <f aca="false">IF(E163="","",E163+1)</f>
        <v/>
      </c>
      <c r="G163" s="5" t="str">
        <f aca="false">IF(OR(E163="",F163=""),"",MAX(E163,F163)+3)</f>
        <v/>
      </c>
      <c r="H163" s="5" t="str">
        <f aca="false">IF(OR(E163="",G163=""),"",MAX(E163,F163,G163)+7)</f>
        <v/>
      </c>
      <c r="I163" s="5" t="str">
        <f aca="false">IF(OR(E163="",H163=""),"",MAX(E163,F163,G163,H163)+15)</f>
        <v/>
      </c>
      <c r="J163" s="5" t="str">
        <f aca="false">IF(OR(E163="",I163=""),"",MAX(E163,F163,G163,H163,I163)+30)</f>
        <v/>
      </c>
      <c r="K163" s="5" t="str">
        <f aca="false">IF(OR(E163="",J163=""),"",MAX(E163,F163,G163,H163,I163,J163)+60)</f>
        <v/>
      </c>
      <c r="L163" s="5" t="str">
        <f aca="false">IF(OR(E163="",K163=""),"",MAX(E163,F163,G163,H163,I163,J163,K163)+90)</f>
        <v/>
      </c>
      <c r="M163" s="5" t="str">
        <f aca="false">IF(E163="","",IF(F163="",F163,IF(G163="",G163,IF(H163="",H163,IF(I163="",I163,IF(J163="",J163,IF(K163="",K163,IF(L163="",L163,"DONE"))))))))</f>
        <v/>
      </c>
      <c r="N163" s="1" t="str">
        <f aca="true">IF(OR(E163="",M163="DONE"),"",M163-TODAY())</f>
        <v/>
      </c>
      <c r="O163" s="1" t="str">
        <f aca="false">IF(E163="","",IF(M163="DONE","✅ Complete",IF(N163&lt;0,"🔴 OVERDUE",IF(N163=0,"🟡 TODAY",IF(N163&lt;=3,"🟠 SOON","🟢 Later")))))</f>
        <v/>
      </c>
    </row>
    <row r="164" customFormat="false" ht="15" hidden="false" customHeight="true" outlineLevel="0" collapsed="false">
      <c r="E164" s="5"/>
      <c r="F164" s="5" t="str">
        <f aca="false">IF(E164="","",E164+1)</f>
        <v/>
      </c>
      <c r="G164" s="5" t="str">
        <f aca="false">IF(OR(E164="",F164=""),"",MAX(E164,F164)+3)</f>
        <v/>
      </c>
      <c r="H164" s="5" t="str">
        <f aca="false">IF(OR(E164="",G164=""),"",MAX(E164,F164,G164)+7)</f>
        <v/>
      </c>
      <c r="I164" s="5" t="str">
        <f aca="false">IF(OR(E164="",H164=""),"",MAX(E164,F164,G164,H164)+15)</f>
        <v/>
      </c>
      <c r="J164" s="5" t="str">
        <f aca="false">IF(OR(E164="",I164=""),"",MAX(E164,F164,G164,H164,I164)+30)</f>
        <v/>
      </c>
      <c r="K164" s="5" t="str">
        <f aca="false">IF(OR(E164="",J164=""),"",MAX(E164,F164,G164,H164,I164,J164)+60)</f>
        <v/>
      </c>
      <c r="L164" s="5" t="str">
        <f aca="false">IF(OR(E164="",K164=""),"",MAX(E164,F164,G164,H164,I164,J164,K164)+90)</f>
        <v/>
      </c>
      <c r="M164" s="5" t="str">
        <f aca="false">IF(E164="","",IF(F164="",F164,IF(G164="",G164,IF(H164="",H164,IF(I164="",I164,IF(J164="",J164,IF(K164="",K164,IF(L164="",L164,"DONE"))))))))</f>
        <v/>
      </c>
      <c r="N164" s="1" t="str">
        <f aca="true">IF(OR(E164="",M164="DONE"),"",M164-TODAY())</f>
        <v/>
      </c>
      <c r="O164" s="1" t="str">
        <f aca="false">IF(E164="","",IF(M164="DONE","✅ Complete",IF(N164&lt;0,"🔴 OVERDUE",IF(N164=0,"🟡 TODAY",IF(N164&lt;=3,"🟠 SOON","🟢 Later")))))</f>
        <v/>
      </c>
    </row>
    <row r="165" customFormat="false" ht="15" hidden="false" customHeight="true" outlineLevel="0" collapsed="false">
      <c r="E165" s="5"/>
      <c r="F165" s="5" t="str">
        <f aca="false">IF(E165="","",E165+1)</f>
        <v/>
      </c>
      <c r="G165" s="5" t="str">
        <f aca="false">IF(OR(E165="",F165=""),"",MAX(E165,F165)+3)</f>
        <v/>
      </c>
      <c r="H165" s="5" t="str">
        <f aca="false">IF(OR(E165="",G165=""),"",MAX(E165,F165,G165)+7)</f>
        <v/>
      </c>
      <c r="I165" s="5" t="str">
        <f aca="false">IF(OR(E165="",H165=""),"",MAX(E165,F165,G165,H165)+15)</f>
        <v/>
      </c>
      <c r="J165" s="5" t="str">
        <f aca="false">IF(OR(E165="",I165=""),"",MAX(E165,F165,G165,H165,I165)+30)</f>
        <v/>
      </c>
      <c r="K165" s="5" t="str">
        <f aca="false">IF(OR(E165="",J165=""),"",MAX(E165,F165,G165,H165,I165,J165)+60)</f>
        <v/>
      </c>
      <c r="L165" s="5" t="str">
        <f aca="false">IF(OR(E165="",K165=""),"",MAX(E165,F165,G165,H165,I165,J165,K165)+90)</f>
        <v/>
      </c>
      <c r="M165" s="5" t="str">
        <f aca="false">IF(E165="","",IF(F165="",F165,IF(G165="",G165,IF(H165="",H165,IF(I165="",I165,IF(J165="",J165,IF(K165="",K165,IF(L165="",L165,"DONE"))))))))</f>
        <v/>
      </c>
      <c r="N165" s="1" t="str">
        <f aca="true">IF(OR(E165="",M165="DONE"),"",M165-TODAY())</f>
        <v/>
      </c>
      <c r="O165" s="1" t="str">
        <f aca="false">IF(E165="","",IF(M165="DONE","✅ Complete",IF(N165&lt;0,"🔴 OVERDUE",IF(N165=0,"🟡 TODAY",IF(N165&lt;=3,"🟠 SOON","🟢 Later")))))</f>
        <v/>
      </c>
    </row>
    <row r="166" customFormat="false" ht="15" hidden="false" customHeight="true" outlineLevel="0" collapsed="false">
      <c r="E166" s="5"/>
      <c r="F166" s="5" t="str">
        <f aca="false">IF(E166="","",E166+1)</f>
        <v/>
      </c>
      <c r="G166" s="5" t="str">
        <f aca="false">IF(OR(E166="",F166=""),"",MAX(E166,F166)+3)</f>
        <v/>
      </c>
      <c r="H166" s="5" t="str">
        <f aca="false">IF(OR(E166="",G166=""),"",MAX(E166,F166,G166)+7)</f>
        <v/>
      </c>
      <c r="I166" s="5" t="str">
        <f aca="false">IF(OR(E166="",H166=""),"",MAX(E166,F166,G166,H166)+15)</f>
        <v/>
      </c>
      <c r="J166" s="5" t="str">
        <f aca="false">IF(OR(E166="",I166=""),"",MAX(E166,F166,G166,H166,I166)+30)</f>
        <v/>
      </c>
      <c r="K166" s="5" t="str">
        <f aca="false">IF(OR(E166="",J166=""),"",MAX(E166,F166,G166,H166,I166,J166)+60)</f>
        <v/>
      </c>
      <c r="L166" s="5" t="str">
        <f aca="false">IF(OR(E166="",K166=""),"",MAX(E166,F166,G166,H166,I166,J166,K166)+90)</f>
        <v/>
      </c>
      <c r="M166" s="5" t="str">
        <f aca="false">IF(E166="","",IF(F166="",F166,IF(G166="",G166,IF(H166="",H166,IF(I166="",I166,IF(J166="",J166,IF(K166="",K166,IF(L166="",L166,"DONE"))))))))</f>
        <v/>
      </c>
      <c r="N166" s="1" t="str">
        <f aca="true">IF(OR(E166="",M166="DONE"),"",M166-TODAY())</f>
        <v/>
      </c>
      <c r="O166" s="1" t="str">
        <f aca="false">IF(E166="","",IF(M166="DONE","✅ Complete",IF(N166&lt;0,"🔴 OVERDUE",IF(N166=0,"🟡 TODAY",IF(N166&lt;=3,"🟠 SOON","🟢 Later")))))</f>
        <v/>
      </c>
    </row>
    <row r="167" customFormat="false" ht="15" hidden="false" customHeight="true" outlineLevel="0" collapsed="false">
      <c r="E167" s="5"/>
      <c r="F167" s="5" t="str">
        <f aca="false">IF(E167="","",E167+1)</f>
        <v/>
      </c>
      <c r="G167" s="5" t="str">
        <f aca="false">IF(OR(E167="",F167=""),"",MAX(E167,F167)+3)</f>
        <v/>
      </c>
      <c r="H167" s="5" t="str">
        <f aca="false">IF(OR(E167="",G167=""),"",MAX(E167,F167,G167)+7)</f>
        <v/>
      </c>
      <c r="I167" s="5" t="str">
        <f aca="false">IF(OR(E167="",H167=""),"",MAX(E167,F167,G167,H167)+15)</f>
        <v/>
      </c>
      <c r="J167" s="5" t="str">
        <f aca="false">IF(OR(E167="",I167=""),"",MAX(E167,F167,G167,H167,I167)+30)</f>
        <v/>
      </c>
      <c r="K167" s="5" t="str">
        <f aca="false">IF(OR(E167="",J167=""),"",MAX(E167,F167,G167,H167,I167,J167)+60)</f>
        <v/>
      </c>
      <c r="L167" s="5" t="str">
        <f aca="false">IF(OR(E167="",K167=""),"",MAX(E167,F167,G167,H167,I167,J167,K167)+90)</f>
        <v/>
      </c>
      <c r="M167" s="5" t="str">
        <f aca="false">IF(E167="","",IF(F167="",F167,IF(G167="",G167,IF(H167="",H167,IF(I167="",I167,IF(J167="",J167,IF(K167="",K167,IF(L167="",L167,"DONE"))))))))</f>
        <v/>
      </c>
      <c r="N167" s="1" t="str">
        <f aca="true">IF(OR(E167="",M167="DONE"),"",M167-TODAY())</f>
        <v/>
      </c>
      <c r="O167" s="1" t="str">
        <f aca="false">IF(E167="","",IF(M167="DONE","✅ Complete",IF(N167&lt;0,"🔴 OVERDUE",IF(N167=0,"🟡 TODAY",IF(N167&lt;=3,"🟠 SOON","🟢 Later")))))</f>
        <v/>
      </c>
    </row>
    <row r="168" customFormat="false" ht="15" hidden="false" customHeight="true" outlineLevel="0" collapsed="false">
      <c r="E168" s="5"/>
      <c r="F168" s="5" t="str">
        <f aca="false">IF(E168="","",E168+1)</f>
        <v/>
      </c>
      <c r="G168" s="5" t="str">
        <f aca="false">IF(OR(E168="",F168=""),"",MAX(E168,F168)+3)</f>
        <v/>
      </c>
      <c r="H168" s="5" t="str">
        <f aca="false">IF(OR(E168="",G168=""),"",MAX(E168,F168,G168)+7)</f>
        <v/>
      </c>
      <c r="I168" s="5" t="str">
        <f aca="false">IF(OR(E168="",H168=""),"",MAX(E168,F168,G168,H168)+15)</f>
        <v/>
      </c>
      <c r="J168" s="5" t="str">
        <f aca="false">IF(OR(E168="",I168=""),"",MAX(E168,F168,G168,H168,I168)+30)</f>
        <v/>
      </c>
      <c r="K168" s="5" t="str">
        <f aca="false">IF(OR(E168="",J168=""),"",MAX(E168,F168,G168,H168,I168,J168)+60)</f>
        <v/>
      </c>
      <c r="L168" s="5" t="str">
        <f aca="false">IF(OR(E168="",K168=""),"",MAX(E168,F168,G168,H168,I168,J168,K168)+90)</f>
        <v/>
      </c>
      <c r="M168" s="5" t="str">
        <f aca="false">IF(E168="","",IF(F168="",F168,IF(G168="",G168,IF(H168="",H168,IF(I168="",I168,IF(J168="",J168,IF(K168="",K168,IF(L168="",L168,"DONE"))))))))</f>
        <v/>
      </c>
      <c r="N168" s="1" t="str">
        <f aca="true">IF(OR(E168="",M168="DONE"),"",M168-TODAY())</f>
        <v/>
      </c>
      <c r="O168" s="1" t="str">
        <f aca="false">IF(E168="","",IF(M168="DONE","✅ Complete",IF(N168&lt;0,"🔴 OVERDUE",IF(N168=0,"🟡 TODAY",IF(N168&lt;=3,"🟠 SOON","🟢 Later")))))</f>
        <v/>
      </c>
    </row>
    <row r="169" customFormat="false" ht="15" hidden="false" customHeight="true" outlineLevel="0" collapsed="false">
      <c r="E169" s="5"/>
      <c r="F169" s="5" t="str">
        <f aca="false">IF(E169="","",E169+1)</f>
        <v/>
      </c>
      <c r="G169" s="5" t="str">
        <f aca="false">IF(OR(E169="",F169=""),"",MAX(E169,F169)+3)</f>
        <v/>
      </c>
      <c r="H169" s="5" t="str">
        <f aca="false">IF(OR(E169="",G169=""),"",MAX(E169,F169,G169)+7)</f>
        <v/>
      </c>
      <c r="I169" s="5" t="str">
        <f aca="false">IF(OR(E169="",H169=""),"",MAX(E169,F169,G169,H169)+15)</f>
        <v/>
      </c>
      <c r="J169" s="5" t="str">
        <f aca="false">IF(OR(E169="",I169=""),"",MAX(E169,F169,G169,H169,I169)+30)</f>
        <v/>
      </c>
      <c r="K169" s="5" t="str">
        <f aca="false">IF(OR(E169="",J169=""),"",MAX(E169,F169,G169,H169,I169,J169)+60)</f>
        <v/>
      </c>
      <c r="L169" s="5" t="str">
        <f aca="false">IF(OR(E169="",K169=""),"",MAX(E169,F169,G169,H169,I169,J169,K169)+90)</f>
        <v/>
      </c>
      <c r="M169" s="5" t="str">
        <f aca="false">IF(E169="","",IF(F169="",F169,IF(G169="",G169,IF(H169="",H169,IF(I169="",I169,IF(J169="",J169,IF(K169="",K169,IF(L169="",L169,"DONE"))))))))</f>
        <v/>
      </c>
      <c r="N169" s="1" t="str">
        <f aca="true">IF(OR(E169="",M169="DONE"),"",M169-TODAY())</f>
        <v/>
      </c>
      <c r="O169" s="1" t="str">
        <f aca="false">IF(E169="","",IF(M169="DONE","✅ Complete",IF(N169&lt;0,"🔴 OVERDUE",IF(N169=0,"🟡 TODAY",IF(N169&lt;=3,"🟠 SOON","🟢 Later")))))</f>
        <v/>
      </c>
    </row>
    <row r="170" customFormat="false" ht="15" hidden="false" customHeight="true" outlineLevel="0" collapsed="false">
      <c r="E170" s="5"/>
      <c r="F170" s="5" t="str">
        <f aca="false">IF(E170="","",E170+1)</f>
        <v/>
      </c>
      <c r="G170" s="5" t="str">
        <f aca="false">IF(OR(E170="",F170=""),"",MAX(E170,F170)+3)</f>
        <v/>
      </c>
      <c r="H170" s="5" t="str">
        <f aca="false">IF(OR(E170="",G170=""),"",MAX(E170,F170,G170)+7)</f>
        <v/>
      </c>
      <c r="I170" s="5" t="str">
        <f aca="false">IF(OR(E170="",H170=""),"",MAX(E170,F170,G170,H170)+15)</f>
        <v/>
      </c>
      <c r="J170" s="5" t="str">
        <f aca="false">IF(OR(E170="",I170=""),"",MAX(E170,F170,G170,H170,I170)+30)</f>
        <v/>
      </c>
      <c r="K170" s="5" t="str">
        <f aca="false">IF(OR(E170="",J170=""),"",MAX(E170,F170,G170,H170,I170,J170)+60)</f>
        <v/>
      </c>
      <c r="L170" s="5" t="str">
        <f aca="false">IF(OR(E170="",K170=""),"",MAX(E170,F170,G170,H170,I170,J170,K170)+90)</f>
        <v/>
      </c>
      <c r="M170" s="5" t="str">
        <f aca="false">IF(E170="","",IF(F170="",F170,IF(G170="",G170,IF(H170="",H170,IF(I170="",I170,IF(J170="",J170,IF(K170="",K170,IF(L170="",L170,"DONE"))))))))</f>
        <v/>
      </c>
      <c r="N170" s="1" t="str">
        <f aca="true">IF(OR(E170="",M170="DONE"),"",M170-TODAY())</f>
        <v/>
      </c>
      <c r="O170" s="1" t="str">
        <f aca="false">IF(E170="","",IF(M170="DONE","✅ Complete",IF(N170&lt;0,"🔴 OVERDUE",IF(N170=0,"🟡 TODAY",IF(N170&lt;=3,"🟠 SOON","🟢 Later")))))</f>
        <v/>
      </c>
    </row>
    <row r="171" customFormat="false" ht="15" hidden="false" customHeight="true" outlineLevel="0" collapsed="false">
      <c r="E171" s="5"/>
      <c r="F171" s="5" t="str">
        <f aca="false">IF(E171="","",E171+1)</f>
        <v/>
      </c>
      <c r="G171" s="5" t="str">
        <f aca="false">IF(OR(E171="",F171=""),"",MAX(E171,F171)+3)</f>
        <v/>
      </c>
      <c r="H171" s="5" t="str">
        <f aca="false">IF(OR(E171="",G171=""),"",MAX(E171,F171,G171)+7)</f>
        <v/>
      </c>
      <c r="I171" s="5" t="str">
        <f aca="false">IF(OR(E171="",H171=""),"",MAX(E171,F171,G171,H171)+15)</f>
        <v/>
      </c>
      <c r="J171" s="5" t="str">
        <f aca="false">IF(OR(E171="",I171=""),"",MAX(E171,F171,G171,H171,I171)+30)</f>
        <v/>
      </c>
      <c r="K171" s="5" t="str">
        <f aca="false">IF(OR(E171="",J171=""),"",MAX(E171,F171,G171,H171,I171,J171)+60)</f>
        <v/>
      </c>
      <c r="L171" s="5" t="str">
        <f aca="false">IF(OR(E171="",K171=""),"",MAX(E171,F171,G171,H171,I171,J171,K171)+90)</f>
        <v/>
      </c>
      <c r="M171" s="5" t="str">
        <f aca="false">IF(E171="","",IF(F171="",F171,IF(G171="",G171,IF(H171="",H171,IF(I171="",I171,IF(J171="",J171,IF(K171="",K171,IF(L171="",L171,"DONE"))))))))</f>
        <v/>
      </c>
      <c r="N171" s="1" t="str">
        <f aca="true">IF(OR(E171="",M171="DONE"),"",M171-TODAY())</f>
        <v/>
      </c>
      <c r="O171" s="1" t="str">
        <f aca="false">IF(E171="","",IF(M171="DONE","✅ Complete",IF(N171&lt;0,"🔴 OVERDUE",IF(N171=0,"🟡 TODAY",IF(N171&lt;=3,"🟠 SOON","🟢 Later")))))</f>
        <v/>
      </c>
    </row>
    <row r="172" customFormat="false" ht="15" hidden="false" customHeight="true" outlineLevel="0" collapsed="false">
      <c r="E172" s="5"/>
      <c r="F172" s="5" t="str">
        <f aca="false">IF(E172="","",E172+1)</f>
        <v/>
      </c>
      <c r="G172" s="5" t="str">
        <f aca="false">IF(OR(E172="",F172=""),"",MAX(E172,F172)+3)</f>
        <v/>
      </c>
      <c r="H172" s="5" t="str">
        <f aca="false">IF(OR(E172="",G172=""),"",MAX(E172,F172,G172)+7)</f>
        <v/>
      </c>
      <c r="I172" s="5" t="str">
        <f aca="false">IF(OR(E172="",H172=""),"",MAX(E172,F172,G172,H172)+15)</f>
        <v/>
      </c>
      <c r="J172" s="5" t="str">
        <f aca="false">IF(OR(E172="",I172=""),"",MAX(E172,F172,G172,H172,I172)+30)</f>
        <v/>
      </c>
      <c r="K172" s="5" t="str">
        <f aca="false">IF(OR(E172="",J172=""),"",MAX(E172,F172,G172,H172,I172,J172)+60)</f>
        <v/>
      </c>
      <c r="L172" s="5" t="str">
        <f aca="false">IF(OR(E172="",K172=""),"",MAX(E172,F172,G172,H172,I172,J172,K172)+90)</f>
        <v/>
      </c>
      <c r="M172" s="5" t="str">
        <f aca="false">IF(E172="","",IF(F172="",F172,IF(G172="",G172,IF(H172="",H172,IF(I172="",I172,IF(J172="",J172,IF(K172="",K172,IF(L172="",L172,"DONE"))))))))</f>
        <v/>
      </c>
      <c r="N172" s="1" t="str">
        <f aca="true">IF(OR(E172="",M172="DONE"),"",M172-TODAY())</f>
        <v/>
      </c>
      <c r="O172" s="1" t="str">
        <f aca="false">IF(E172="","",IF(M172="DONE","✅ Complete",IF(N172&lt;0,"🔴 OVERDUE",IF(N172=0,"🟡 TODAY",IF(N172&lt;=3,"🟠 SOON","🟢 Later")))))</f>
        <v/>
      </c>
    </row>
    <row r="173" customFormat="false" ht="15" hidden="false" customHeight="true" outlineLevel="0" collapsed="false">
      <c r="E173" s="5"/>
      <c r="F173" s="5" t="str">
        <f aca="false">IF(E173="","",E173+1)</f>
        <v/>
      </c>
      <c r="G173" s="5" t="str">
        <f aca="false">IF(OR(E173="",F173=""),"",MAX(E173,F173)+3)</f>
        <v/>
      </c>
      <c r="H173" s="5" t="str">
        <f aca="false">IF(OR(E173="",G173=""),"",MAX(E173,F173,G173)+7)</f>
        <v/>
      </c>
      <c r="I173" s="5" t="str">
        <f aca="false">IF(OR(E173="",H173=""),"",MAX(E173,F173,G173,H173)+15)</f>
        <v/>
      </c>
      <c r="J173" s="5" t="str">
        <f aca="false">IF(OR(E173="",I173=""),"",MAX(E173,F173,G173,H173,I173)+30)</f>
        <v/>
      </c>
      <c r="K173" s="5" t="str">
        <f aca="false">IF(OR(E173="",J173=""),"",MAX(E173,F173,G173,H173,I173,J173)+60)</f>
        <v/>
      </c>
      <c r="L173" s="5" t="str">
        <f aca="false">IF(OR(E173="",K173=""),"",MAX(E173,F173,G173,H173,I173,J173,K173)+90)</f>
        <v/>
      </c>
      <c r="M173" s="5" t="str">
        <f aca="false">IF(E173="","",IF(F173="",F173,IF(G173="",G173,IF(H173="",H173,IF(I173="",I173,IF(J173="",J173,IF(K173="",K173,IF(L173="",L173,"DONE"))))))))</f>
        <v/>
      </c>
      <c r="N173" s="1" t="str">
        <f aca="true">IF(OR(E173="",M173="DONE"),"",M173-TODAY())</f>
        <v/>
      </c>
      <c r="O173" s="1" t="str">
        <f aca="false">IF(E173="","",IF(M173="DONE","✅ Complete",IF(N173&lt;0,"🔴 OVERDUE",IF(N173=0,"🟡 TODAY",IF(N173&lt;=3,"🟠 SOON","🟢 Later")))))</f>
        <v/>
      </c>
    </row>
    <row r="174" customFormat="false" ht="15" hidden="false" customHeight="true" outlineLevel="0" collapsed="false">
      <c r="E174" s="5"/>
      <c r="F174" s="5" t="str">
        <f aca="false">IF(E174="","",E174+1)</f>
        <v/>
      </c>
      <c r="G174" s="5" t="str">
        <f aca="false">IF(OR(E174="",F174=""),"",MAX(E174,F174)+3)</f>
        <v/>
      </c>
      <c r="H174" s="5" t="str">
        <f aca="false">IF(OR(E174="",G174=""),"",MAX(E174,F174,G174)+7)</f>
        <v/>
      </c>
      <c r="I174" s="5" t="str">
        <f aca="false">IF(OR(E174="",H174=""),"",MAX(E174,F174,G174,H174)+15)</f>
        <v/>
      </c>
      <c r="J174" s="5" t="str">
        <f aca="false">IF(OR(E174="",I174=""),"",MAX(E174,F174,G174,H174,I174)+30)</f>
        <v/>
      </c>
      <c r="K174" s="5" t="str">
        <f aca="false">IF(OR(E174="",J174=""),"",MAX(E174,F174,G174,H174,I174,J174)+60)</f>
        <v/>
      </c>
      <c r="L174" s="5" t="str">
        <f aca="false">IF(OR(E174="",K174=""),"",MAX(E174,F174,G174,H174,I174,J174,K174)+90)</f>
        <v/>
      </c>
      <c r="M174" s="5" t="str">
        <f aca="false">IF(E174="","",IF(F174="",F174,IF(G174="",G174,IF(H174="",H174,IF(I174="",I174,IF(J174="",J174,IF(K174="",K174,IF(L174="",L174,"DONE"))))))))</f>
        <v/>
      </c>
      <c r="N174" s="1" t="str">
        <f aca="true">IF(OR(E174="",M174="DONE"),"",M174-TODAY())</f>
        <v/>
      </c>
      <c r="O174" s="1" t="str">
        <f aca="false">IF(E174="","",IF(M174="DONE","✅ Complete",IF(N174&lt;0,"🔴 OVERDUE",IF(N174=0,"🟡 TODAY",IF(N174&lt;=3,"🟠 SOON","🟢 Later")))))</f>
        <v/>
      </c>
    </row>
    <row r="175" customFormat="false" ht="15" hidden="false" customHeight="true" outlineLevel="0" collapsed="false">
      <c r="E175" s="5"/>
      <c r="F175" s="5" t="str">
        <f aca="false">IF(E175="","",E175+1)</f>
        <v/>
      </c>
      <c r="G175" s="5" t="str">
        <f aca="false">IF(OR(E175="",F175=""),"",MAX(E175,F175)+3)</f>
        <v/>
      </c>
      <c r="H175" s="5" t="str">
        <f aca="false">IF(OR(E175="",G175=""),"",MAX(E175,F175,G175)+7)</f>
        <v/>
      </c>
      <c r="I175" s="5" t="str">
        <f aca="false">IF(OR(E175="",H175=""),"",MAX(E175,F175,G175,H175)+15)</f>
        <v/>
      </c>
      <c r="J175" s="5" t="str">
        <f aca="false">IF(OR(E175="",I175=""),"",MAX(E175,F175,G175,H175,I175)+30)</f>
        <v/>
      </c>
      <c r="K175" s="5" t="str">
        <f aca="false">IF(OR(E175="",J175=""),"",MAX(E175,F175,G175,H175,I175,J175)+60)</f>
        <v/>
      </c>
      <c r="L175" s="5" t="str">
        <f aca="false">IF(OR(E175="",K175=""),"",MAX(E175,F175,G175,H175,I175,J175,K175)+90)</f>
        <v/>
      </c>
      <c r="M175" s="5" t="str">
        <f aca="false">IF(E175="","",IF(F175="",F175,IF(G175="",G175,IF(H175="",H175,IF(I175="",I175,IF(J175="",J175,IF(K175="",K175,IF(L175="",L175,"DONE"))))))))</f>
        <v/>
      </c>
      <c r="N175" s="1" t="str">
        <f aca="true">IF(OR(E175="",M175="DONE"),"",M175-TODAY())</f>
        <v/>
      </c>
      <c r="O175" s="1" t="str">
        <f aca="false">IF(E175="","",IF(M175="DONE","✅ Complete",IF(N175&lt;0,"🔴 OVERDUE",IF(N175=0,"🟡 TODAY",IF(N175&lt;=3,"🟠 SOON","🟢 Later")))))</f>
        <v/>
      </c>
    </row>
    <row r="176" customFormat="false" ht="15" hidden="false" customHeight="true" outlineLevel="0" collapsed="false">
      <c r="E176" s="5"/>
      <c r="F176" s="5" t="str">
        <f aca="false">IF(E176="","",E176+1)</f>
        <v/>
      </c>
      <c r="G176" s="5" t="str">
        <f aca="false">IF(OR(E176="",F176=""),"",MAX(E176,F176)+3)</f>
        <v/>
      </c>
      <c r="H176" s="5" t="str">
        <f aca="false">IF(OR(E176="",G176=""),"",MAX(E176,F176,G176)+7)</f>
        <v/>
      </c>
      <c r="I176" s="5" t="str">
        <f aca="false">IF(OR(E176="",H176=""),"",MAX(E176,F176,G176,H176)+15)</f>
        <v/>
      </c>
      <c r="J176" s="5" t="str">
        <f aca="false">IF(OR(E176="",I176=""),"",MAX(E176,F176,G176,H176,I176)+30)</f>
        <v/>
      </c>
      <c r="K176" s="5" t="str">
        <f aca="false">IF(OR(E176="",J176=""),"",MAX(E176,F176,G176,H176,I176,J176)+60)</f>
        <v/>
      </c>
      <c r="L176" s="5" t="str">
        <f aca="false">IF(OR(E176="",K176=""),"",MAX(E176,F176,G176,H176,I176,J176,K176)+90)</f>
        <v/>
      </c>
      <c r="M176" s="5" t="str">
        <f aca="false">IF(E176="","",IF(F176="",F176,IF(G176="",G176,IF(H176="",H176,IF(I176="",I176,IF(J176="",J176,IF(K176="",K176,IF(L176="",L176,"DONE"))))))))</f>
        <v/>
      </c>
      <c r="N176" s="1" t="str">
        <f aca="true">IF(OR(E176="",M176="DONE"),"",M176-TODAY())</f>
        <v/>
      </c>
      <c r="O176" s="1" t="str">
        <f aca="false">IF(E176="","",IF(M176="DONE","✅ Complete",IF(N176&lt;0,"🔴 OVERDUE",IF(N176=0,"🟡 TODAY",IF(N176&lt;=3,"🟠 SOON","🟢 Later")))))</f>
        <v/>
      </c>
    </row>
    <row r="177" customFormat="false" ht="15" hidden="false" customHeight="true" outlineLevel="0" collapsed="false">
      <c r="E177" s="5"/>
      <c r="F177" s="5" t="str">
        <f aca="false">IF(E177="","",E177+1)</f>
        <v/>
      </c>
      <c r="G177" s="5" t="str">
        <f aca="false">IF(OR(E177="",F177=""),"",MAX(E177,F177)+3)</f>
        <v/>
      </c>
      <c r="H177" s="5" t="str">
        <f aca="false">IF(OR(E177="",G177=""),"",MAX(E177,F177,G177)+7)</f>
        <v/>
      </c>
      <c r="I177" s="5" t="str">
        <f aca="false">IF(OR(E177="",H177=""),"",MAX(E177,F177,G177,H177)+15)</f>
        <v/>
      </c>
      <c r="J177" s="5" t="str">
        <f aca="false">IF(OR(E177="",I177=""),"",MAX(E177,F177,G177,H177,I177)+30)</f>
        <v/>
      </c>
      <c r="K177" s="5" t="str">
        <f aca="false">IF(OR(E177="",J177=""),"",MAX(E177,F177,G177,H177,I177,J177)+60)</f>
        <v/>
      </c>
      <c r="L177" s="5" t="str">
        <f aca="false">IF(OR(E177="",K177=""),"",MAX(E177,F177,G177,H177,I177,J177,K177)+90)</f>
        <v/>
      </c>
      <c r="M177" s="5" t="str">
        <f aca="false">IF(E177="","",IF(F177="",F177,IF(G177="",G177,IF(H177="",H177,IF(I177="",I177,IF(J177="",J177,IF(K177="",K177,IF(L177="",L177,"DONE"))))))))</f>
        <v/>
      </c>
      <c r="N177" s="1" t="str">
        <f aca="true">IF(OR(E177="",M177="DONE"),"",M177-TODAY())</f>
        <v/>
      </c>
      <c r="O177" s="1" t="str">
        <f aca="false">IF(E177="","",IF(M177="DONE","✅ Complete",IF(N177&lt;0,"🔴 OVERDUE",IF(N177=0,"🟡 TODAY",IF(N177&lt;=3,"🟠 SOON","🟢 Later")))))</f>
        <v/>
      </c>
    </row>
    <row r="178" customFormat="false" ht="15" hidden="false" customHeight="true" outlineLevel="0" collapsed="false">
      <c r="E178" s="5"/>
      <c r="F178" s="5" t="str">
        <f aca="false">IF(E178="","",E178+1)</f>
        <v/>
      </c>
      <c r="G178" s="5" t="str">
        <f aca="false">IF(OR(E178="",F178=""),"",MAX(E178,F178)+3)</f>
        <v/>
      </c>
      <c r="H178" s="5" t="str">
        <f aca="false">IF(OR(E178="",G178=""),"",MAX(E178,F178,G178)+7)</f>
        <v/>
      </c>
      <c r="I178" s="5" t="str">
        <f aca="false">IF(OR(E178="",H178=""),"",MAX(E178,F178,G178,H178)+15)</f>
        <v/>
      </c>
      <c r="J178" s="5" t="str">
        <f aca="false">IF(OR(E178="",I178=""),"",MAX(E178,F178,G178,H178,I178)+30)</f>
        <v/>
      </c>
      <c r="K178" s="5" t="str">
        <f aca="false">IF(OR(E178="",J178=""),"",MAX(E178,F178,G178,H178,I178,J178)+60)</f>
        <v/>
      </c>
      <c r="L178" s="5" t="str">
        <f aca="false">IF(OR(E178="",K178=""),"",MAX(E178,F178,G178,H178,I178,J178,K178)+90)</f>
        <v/>
      </c>
      <c r="M178" s="5" t="str">
        <f aca="false">IF(E178="","",IF(F178="",F178,IF(G178="",G178,IF(H178="",H178,IF(I178="",I178,IF(J178="",J178,IF(K178="",K178,IF(L178="",L178,"DONE"))))))))</f>
        <v/>
      </c>
      <c r="N178" s="1" t="str">
        <f aca="true">IF(OR(E178="",M178="DONE"),"",M178-TODAY())</f>
        <v/>
      </c>
      <c r="O178" s="1" t="str">
        <f aca="false">IF(E178="","",IF(M178="DONE","✅ Complete",IF(N178&lt;0,"🔴 OVERDUE",IF(N178=0,"🟡 TODAY",IF(N178&lt;=3,"🟠 SOON","🟢 Later")))))</f>
        <v/>
      </c>
    </row>
    <row r="179" customFormat="false" ht="15" hidden="false" customHeight="true" outlineLevel="0" collapsed="false">
      <c r="E179" s="5"/>
      <c r="F179" s="5" t="str">
        <f aca="false">IF(E179="","",E179+1)</f>
        <v/>
      </c>
      <c r="G179" s="5" t="str">
        <f aca="false">IF(OR(E179="",F179=""),"",MAX(E179,F179)+3)</f>
        <v/>
      </c>
      <c r="H179" s="5" t="str">
        <f aca="false">IF(OR(E179="",G179=""),"",MAX(E179,F179,G179)+7)</f>
        <v/>
      </c>
      <c r="I179" s="5" t="str">
        <f aca="false">IF(OR(E179="",H179=""),"",MAX(E179,F179,G179,H179)+15)</f>
        <v/>
      </c>
      <c r="J179" s="5" t="str">
        <f aca="false">IF(OR(E179="",I179=""),"",MAX(E179,F179,G179,H179,I179)+30)</f>
        <v/>
      </c>
      <c r="K179" s="5" t="str">
        <f aca="false">IF(OR(E179="",J179=""),"",MAX(E179,F179,G179,H179,I179,J179)+60)</f>
        <v/>
      </c>
      <c r="L179" s="5" t="str">
        <f aca="false">IF(OR(E179="",K179=""),"",MAX(E179,F179,G179,H179,I179,J179,K179)+90)</f>
        <v/>
      </c>
      <c r="M179" s="5" t="str">
        <f aca="false">IF(E179="","",IF(F179="",F179,IF(G179="",G179,IF(H179="",H179,IF(I179="",I179,IF(J179="",J179,IF(K179="",K179,IF(L179="",L179,"DONE"))))))))</f>
        <v/>
      </c>
      <c r="N179" s="1" t="str">
        <f aca="true">IF(OR(E179="",M179="DONE"),"",M179-TODAY())</f>
        <v/>
      </c>
      <c r="O179" s="1" t="str">
        <f aca="false">IF(E179="","",IF(M179="DONE","✅ Complete",IF(N179&lt;0,"🔴 OVERDUE",IF(N179=0,"🟡 TODAY",IF(N179&lt;=3,"🟠 SOON","🟢 Later")))))</f>
        <v/>
      </c>
    </row>
    <row r="180" customFormat="false" ht="15" hidden="false" customHeight="true" outlineLevel="0" collapsed="false">
      <c r="E180" s="5"/>
      <c r="F180" s="5" t="str">
        <f aca="false">IF(E180="","",E180+1)</f>
        <v/>
      </c>
      <c r="G180" s="5" t="str">
        <f aca="false">IF(OR(E180="",F180=""),"",MAX(E180,F180)+3)</f>
        <v/>
      </c>
      <c r="H180" s="5" t="str">
        <f aca="false">IF(OR(E180="",G180=""),"",MAX(E180,F180,G180)+7)</f>
        <v/>
      </c>
      <c r="I180" s="5" t="str">
        <f aca="false">IF(OR(E180="",H180=""),"",MAX(E180,F180,G180,H180)+15)</f>
        <v/>
      </c>
      <c r="J180" s="5" t="str">
        <f aca="false">IF(OR(E180="",I180=""),"",MAX(E180,F180,G180,H180,I180)+30)</f>
        <v/>
      </c>
      <c r="K180" s="5" t="str">
        <f aca="false">IF(OR(E180="",J180=""),"",MAX(E180,F180,G180,H180,I180,J180)+60)</f>
        <v/>
      </c>
      <c r="L180" s="5" t="str">
        <f aca="false">IF(OR(E180="",K180=""),"",MAX(E180,F180,G180,H180,I180,J180,K180)+90)</f>
        <v/>
      </c>
      <c r="M180" s="5" t="str">
        <f aca="false">IF(E180="","",IF(F180="",F180,IF(G180="",G180,IF(H180="",H180,IF(I180="",I180,IF(J180="",J180,IF(K180="",K180,IF(L180="",L180,"DONE"))))))))</f>
        <v/>
      </c>
      <c r="N180" s="1" t="str">
        <f aca="true">IF(OR(E180="",M180="DONE"),"",M180-TODAY())</f>
        <v/>
      </c>
      <c r="O180" s="1" t="str">
        <f aca="false">IF(E180="","",IF(M180="DONE","✅ Complete",IF(N180&lt;0,"🔴 OVERDUE",IF(N180=0,"🟡 TODAY",IF(N180&lt;=3,"🟠 SOON","🟢 Later")))))</f>
        <v/>
      </c>
    </row>
    <row r="181" customFormat="false" ht="15" hidden="false" customHeight="true" outlineLevel="0" collapsed="false">
      <c r="E181" s="5"/>
      <c r="F181" s="5" t="str">
        <f aca="false">IF(E181="","",E181+1)</f>
        <v/>
      </c>
      <c r="G181" s="5" t="str">
        <f aca="false">IF(OR(E181="",F181=""),"",MAX(E181,F181)+3)</f>
        <v/>
      </c>
      <c r="H181" s="5" t="str">
        <f aca="false">IF(OR(E181="",G181=""),"",MAX(E181,F181,G181)+7)</f>
        <v/>
      </c>
      <c r="I181" s="5" t="str">
        <f aca="false">IF(OR(E181="",H181=""),"",MAX(E181,F181,G181,H181)+15)</f>
        <v/>
      </c>
      <c r="J181" s="5" t="str">
        <f aca="false">IF(OR(E181="",I181=""),"",MAX(E181,F181,G181,H181,I181)+30)</f>
        <v/>
      </c>
      <c r="K181" s="5" t="str">
        <f aca="false">IF(OR(E181="",J181=""),"",MAX(E181,F181,G181,H181,I181,J181)+60)</f>
        <v/>
      </c>
      <c r="L181" s="5" t="str">
        <f aca="false">IF(OR(E181="",K181=""),"",MAX(E181,F181,G181,H181,I181,J181,K181)+90)</f>
        <v/>
      </c>
      <c r="M181" s="5" t="str">
        <f aca="false">IF(E181="","",IF(F181="",F181,IF(G181="",G181,IF(H181="",H181,IF(I181="",I181,IF(J181="",J181,IF(K181="",K181,IF(L181="",L181,"DONE"))))))))</f>
        <v/>
      </c>
      <c r="N181" s="1" t="str">
        <f aca="true">IF(OR(E181="",M181="DONE"),"",M181-TODAY())</f>
        <v/>
      </c>
      <c r="O181" s="1" t="str">
        <f aca="false">IF(E181="","",IF(M181="DONE","✅ Complete",IF(N181&lt;0,"🔴 OVERDUE",IF(N181=0,"🟡 TODAY",IF(N181&lt;=3,"🟠 SOON","🟢 Later")))))</f>
        <v/>
      </c>
    </row>
    <row r="182" customFormat="false" ht="15" hidden="false" customHeight="true" outlineLevel="0" collapsed="false">
      <c r="E182" s="5"/>
      <c r="F182" s="5" t="str">
        <f aca="false">IF(E182="","",E182+1)</f>
        <v/>
      </c>
      <c r="G182" s="5" t="str">
        <f aca="false">IF(OR(E182="",F182=""),"",MAX(E182,F182)+3)</f>
        <v/>
      </c>
      <c r="H182" s="5" t="str">
        <f aca="false">IF(OR(E182="",G182=""),"",MAX(E182,F182,G182)+7)</f>
        <v/>
      </c>
      <c r="I182" s="5" t="str">
        <f aca="false">IF(OR(E182="",H182=""),"",MAX(E182,F182,G182,H182)+15)</f>
        <v/>
      </c>
      <c r="J182" s="5" t="str">
        <f aca="false">IF(OR(E182="",I182=""),"",MAX(E182,F182,G182,H182,I182)+30)</f>
        <v/>
      </c>
      <c r="K182" s="5" t="str">
        <f aca="false">IF(OR(E182="",J182=""),"",MAX(E182,F182,G182,H182,I182,J182)+60)</f>
        <v/>
      </c>
      <c r="L182" s="5" t="str">
        <f aca="false">IF(OR(E182="",K182=""),"",MAX(E182,F182,G182,H182,I182,J182,K182)+90)</f>
        <v/>
      </c>
      <c r="M182" s="5" t="str">
        <f aca="false">IF(E182="","",IF(F182="",F182,IF(G182="",G182,IF(H182="",H182,IF(I182="",I182,IF(J182="",J182,IF(K182="",K182,IF(L182="",L182,"DONE"))))))))</f>
        <v/>
      </c>
      <c r="N182" s="1" t="str">
        <f aca="true">IF(OR(E182="",M182="DONE"),"",M182-TODAY())</f>
        <v/>
      </c>
      <c r="O182" s="1" t="str">
        <f aca="false">IF(E182="","",IF(M182="DONE","✅ Complete",IF(N182&lt;0,"🔴 OVERDUE",IF(N182=0,"🟡 TODAY",IF(N182&lt;=3,"🟠 SOON","🟢 Later")))))</f>
        <v/>
      </c>
    </row>
    <row r="183" customFormat="false" ht="15" hidden="false" customHeight="true" outlineLevel="0" collapsed="false">
      <c r="E183" s="5"/>
      <c r="F183" s="5" t="str">
        <f aca="false">IF(E183="","",E183+1)</f>
        <v/>
      </c>
      <c r="G183" s="5" t="str">
        <f aca="false">IF(OR(E183="",F183=""),"",MAX(E183,F183)+3)</f>
        <v/>
      </c>
      <c r="H183" s="5" t="str">
        <f aca="false">IF(OR(E183="",G183=""),"",MAX(E183,F183,G183)+7)</f>
        <v/>
      </c>
      <c r="I183" s="5" t="str">
        <f aca="false">IF(OR(E183="",H183=""),"",MAX(E183,F183,G183,H183)+15)</f>
        <v/>
      </c>
      <c r="J183" s="5" t="str">
        <f aca="false">IF(OR(E183="",I183=""),"",MAX(E183,F183,G183,H183,I183)+30)</f>
        <v/>
      </c>
      <c r="K183" s="5" t="str">
        <f aca="false">IF(OR(E183="",J183=""),"",MAX(E183,F183,G183,H183,I183,J183)+60)</f>
        <v/>
      </c>
      <c r="L183" s="5" t="str">
        <f aca="false">IF(OR(E183="",K183=""),"",MAX(E183,F183,G183,H183,I183,J183,K183)+90)</f>
        <v/>
      </c>
      <c r="M183" s="5" t="str">
        <f aca="false">IF(E183="","",IF(F183="",F183,IF(G183="",G183,IF(H183="",H183,IF(I183="",I183,IF(J183="",J183,IF(K183="",K183,IF(L183="",L183,"DONE"))))))))</f>
        <v/>
      </c>
      <c r="N183" s="1" t="str">
        <f aca="true">IF(OR(E183="",M183="DONE"),"",M183-TODAY())</f>
        <v/>
      </c>
      <c r="O183" s="1" t="str">
        <f aca="false">IF(E183="","",IF(M183="DONE","✅ Complete",IF(N183&lt;0,"🔴 OVERDUE",IF(N183=0,"🟡 TODAY",IF(N183&lt;=3,"🟠 SOON","🟢 Later")))))</f>
        <v/>
      </c>
    </row>
    <row r="184" customFormat="false" ht="15" hidden="false" customHeight="true" outlineLevel="0" collapsed="false">
      <c r="E184" s="5"/>
      <c r="F184" s="5" t="str">
        <f aca="false">IF(E184="","",E184+1)</f>
        <v/>
      </c>
      <c r="G184" s="5" t="str">
        <f aca="false">IF(OR(E184="",F184=""),"",MAX(E184,F184)+3)</f>
        <v/>
      </c>
      <c r="H184" s="5" t="str">
        <f aca="false">IF(OR(E184="",G184=""),"",MAX(E184,F184,G184)+7)</f>
        <v/>
      </c>
      <c r="I184" s="5" t="str">
        <f aca="false">IF(OR(E184="",H184=""),"",MAX(E184,F184,G184,H184)+15)</f>
        <v/>
      </c>
      <c r="J184" s="5" t="str">
        <f aca="false">IF(OR(E184="",I184=""),"",MAX(E184,F184,G184,H184,I184)+30)</f>
        <v/>
      </c>
      <c r="K184" s="5" t="str">
        <f aca="false">IF(OR(E184="",J184=""),"",MAX(E184,F184,G184,H184,I184,J184)+60)</f>
        <v/>
      </c>
      <c r="L184" s="5" t="str">
        <f aca="false">IF(OR(E184="",K184=""),"",MAX(E184,F184,G184,H184,I184,J184,K184)+90)</f>
        <v/>
      </c>
      <c r="M184" s="5" t="str">
        <f aca="false">IF(E184="","",IF(F184="",F184,IF(G184="",G184,IF(H184="",H184,IF(I184="",I184,IF(J184="",J184,IF(K184="",K184,IF(L184="",L184,"DONE"))))))))</f>
        <v/>
      </c>
      <c r="N184" s="1" t="str">
        <f aca="true">IF(OR(E184="",M184="DONE"),"",M184-TODAY())</f>
        <v/>
      </c>
      <c r="O184" s="1" t="str">
        <f aca="false">IF(E184="","",IF(M184="DONE","✅ Complete",IF(N184&lt;0,"🔴 OVERDUE",IF(N184=0,"🟡 TODAY",IF(N184&lt;=3,"🟠 SOON","🟢 Later")))))</f>
        <v/>
      </c>
    </row>
    <row r="185" customFormat="false" ht="15" hidden="false" customHeight="true" outlineLevel="0" collapsed="false">
      <c r="E185" s="5"/>
      <c r="F185" s="5" t="str">
        <f aca="false">IF(E185="","",E185+1)</f>
        <v/>
      </c>
      <c r="G185" s="5" t="str">
        <f aca="false">IF(OR(E185="",F185=""),"",MAX(E185,F185)+3)</f>
        <v/>
      </c>
      <c r="H185" s="5" t="str">
        <f aca="false">IF(OR(E185="",G185=""),"",MAX(E185,F185,G185)+7)</f>
        <v/>
      </c>
      <c r="I185" s="5" t="str">
        <f aca="false">IF(OR(E185="",H185=""),"",MAX(E185,F185,G185,H185)+15)</f>
        <v/>
      </c>
      <c r="J185" s="5" t="str">
        <f aca="false">IF(OR(E185="",I185=""),"",MAX(E185,F185,G185,H185,I185)+30)</f>
        <v/>
      </c>
      <c r="K185" s="5" t="str">
        <f aca="false">IF(OR(E185="",J185=""),"",MAX(E185,F185,G185,H185,I185,J185)+60)</f>
        <v/>
      </c>
      <c r="L185" s="5" t="str">
        <f aca="false">IF(OR(E185="",K185=""),"",MAX(E185,F185,G185,H185,I185,J185,K185)+90)</f>
        <v/>
      </c>
      <c r="M185" s="5" t="str">
        <f aca="false">IF(E185="","",IF(F185="",F185,IF(G185="",G185,IF(H185="",H185,IF(I185="",I185,IF(J185="",J185,IF(K185="",K185,IF(L185="",L185,"DONE"))))))))</f>
        <v/>
      </c>
      <c r="N185" s="1" t="str">
        <f aca="true">IF(OR(E185="",M185="DONE"),"",M185-TODAY())</f>
        <v/>
      </c>
      <c r="O185" s="1" t="str">
        <f aca="false">IF(E185="","",IF(M185="DONE","✅ Complete",IF(N185&lt;0,"🔴 OVERDUE",IF(N185=0,"🟡 TODAY",IF(N185&lt;=3,"🟠 SOON","🟢 Later")))))</f>
        <v/>
      </c>
    </row>
    <row r="186" customFormat="false" ht="15" hidden="false" customHeight="true" outlineLevel="0" collapsed="false">
      <c r="E186" s="5"/>
      <c r="F186" s="5" t="str">
        <f aca="false">IF(E186="","",E186+1)</f>
        <v/>
      </c>
      <c r="G186" s="5" t="str">
        <f aca="false">IF(OR(E186="",F186=""),"",MAX(E186,F186)+3)</f>
        <v/>
      </c>
      <c r="H186" s="5" t="str">
        <f aca="false">IF(OR(E186="",G186=""),"",MAX(E186,F186,G186)+7)</f>
        <v/>
      </c>
      <c r="I186" s="5" t="str">
        <f aca="false">IF(OR(E186="",H186=""),"",MAX(E186,F186,G186,H186)+15)</f>
        <v/>
      </c>
      <c r="J186" s="5" t="str">
        <f aca="false">IF(OR(E186="",I186=""),"",MAX(E186,F186,G186,H186,I186)+30)</f>
        <v/>
      </c>
      <c r="K186" s="5" t="str">
        <f aca="false">IF(OR(E186="",J186=""),"",MAX(E186,F186,G186,H186,I186,J186)+60)</f>
        <v/>
      </c>
      <c r="L186" s="5" t="str">
        <f aca="false">IF(OR(E186="",K186=""),"",MAX(E186,F186,G186,H186,I186,J186,K186)+90)</f>
        <v/>
      </c>
      <c r="M186" s="5" t="str">
        <f aca="false">IF(E186="","",IF(F186="",F186,IF(G186="",G186,IF(H186="",H186,IF(I186="",I186,IF(J186="",J186,IF(K186="",K186,IF(L186="",L186,"DONE"))))))))</f>
        <v/>
      </c>
      <c r="N186" s="1" t="str">
        <f aca="true">IF(OR(E186="",M186="DONE"),"",M186-TODAY())</f>
        <v/>
      </c>
      <c r="O186" s="1" t="str">
        <f aca="false">IF(E186="","",IF(M186="DONE","✅ Complete",IF(N186&lt;0,"🔴 OVERDUE",IF(N186=0,"🟡 TODAY",IF(N186&lt;=3,"🟠 SOON","🟢 Later")))))</f>
        <v/>
      </c>
    </row>
    <row r="187" customFormat="false" ht="15" hidden="false" customHeight="true" outlineLevel="0" collapsed="false">
      <c r="E187" s="5"/>
      <c r="F187" s="5" t="str">
        <f aca="false">IF(E187="","",E187+1)</f>
        <v/>
      </c>
      <c r="G187" s="5" t="str">
        <f aca="false">IF(OR(E187="",F187=""),"",MAX(E187,F187)+3)</f>
        <v/>
      </c>
      <c r="H187" s="5" t="str">
        <f aca="false">IF(OR(E187="",G187=""),"",MAX(E187,F187,G187)+7)</f>
        <v/>
      </c>
      <c r="I187" s="5" t="str">
        <f aca="false">IF(OR(E187="",H187=""),"",MAX(E187,F187,G187,H187)+15)</f>
        <v/>
      </c>
      <c r="J187" s="5" t="str">
        <f aca="false">IF(OR(E187="",I187=""),"",MAX(E187,F187,G187,H187,I187)+30)</f>
        <v/>
      </c>
      <c r="K187" s="5" t="str">
        <f aca="false">IF(OR(E187="",J187=""),"",MAX(E187,F187,G187,H187,I187,J187)+60)</f>
        <v/>
      </c>
      <c r="L187" s="5" t="str">
        <f aca="false">IF(OR(E187="",K187=""),"",MAX(E187,F187,G187,H187,I187,J187,K187)+90)</f>
        <v/>
      </c>
      <c r="M187" s="5" t="str">
        <f aca="false">IF(E187="","",IF(F187="",F187,IF(G187="",G187,IF(H187="",H187,IF(I187="",I187,IF(J187="",J187,IF(K187="",K187,IF(L187="",L187,"DONE"))))))))</f>
        <v/>
      </c>
      <c r="N187" s="1" t="str">
        <f aca="true">IF(OR(E187="",M187="DONE"),"",M187-TODAY())</f>
        <v/>
      </c>
      <c r="O187" s="1" t="str">
        <f aca="false">IF(E187="","",IF(M187="DONE","✅ Complete",IF(N187&lt;0,"🔴 OVERDUE",IF(N187=0,"🟡 TODAY",IF(N187&lt;=3,"🟠 SOON","🟢 Later")))))</f>
        <v/>
      </c>
    </row>
    <row r="188" customFormat="false" ht="15" hidden="false" customHeight="true" outlineLevel="0" collapsed="false">
      <c r="E188" s="5"/>
      <c r="F188" s="5" t="str">
        <f aca="false">IF(E188="","",E188+1)</f>
        <v/>
      </c>
      <c r="G188" s="5" t="str">
        <f aca="false">IF(OR(E188="",F188=""),"",MAX(E188,F188)+3)</f>
        <v/>
      </c>
      <c r="H188" s="5" t="str">
        <f aca="false">IF(OR(E188="",G188=""),"",MAX(E188,F188,G188)+7)</f>
        <v/>
      </c>
      <c r="I188" s="5" t="str">
        <f aca="false">IF(OR(E188="",H188=""),"",MAX(E188,F188,G188,H188)+15)</f>
        <v/>
      </c>
      <c r="J188" s="5" t="str">
        <f aca="false">IF(OR(E188="",I188=""),"",MAX(E188,F188,G188,H188,I188)+30)</f>
        <v/>
      </c>
      <c r="K188" s="5" t="str">
        <f aca="false">IF(OR(E188="",J188=""),"",MAX(E188,F188,G188,H188,I188,J188)+60)</f>
        <v/>
      </c>
      <c r="L188" s="5" t="str">
        <f aca="false">IF(OR(E188="",K188=""),"",MAX(E188,F188,G188,H188,I188,J188,K188)+90)</f>
        <v/>
      </c>
      <c r="M188" s="5" t="str">
        <f aca="false">IF(E188="","",IF(F188="",F188,IF(G188="",G188,IF(H188="",H188,IF(I188="",I188,IF(J188="",J188,IF(K188="",K188,IF(L188="",L188,"DONE"))))))))</f>
        <v/>
      </c>
      <c r="N188" s="1" t="str">
        <f aca="true">IF(OR(E188="",M188="DONE"),"",M188-TODAY())</f>
        <v/>
      </c>
      <c r="O188" s="1" t="str">
        <f aca="false">IF(E188="","",IF(M188="DONE","✅ Complete",IF(N188&lt;0,"🔴 OVERDUE",IF(N188=0,"🟡 TODAY",IF(N188&lt;=3,"🟠 SOON","🟢 Later")))))</f>
        <v/>
      </c>
    </row>
    <row r="189" customFormat="false" ht="15" hidden="false" customHeight="true" outlineLevel="0" collapsed="false">
      <c r="E189" s="5"/>
      <c r="F189" s="5" t="str">
        <f aca="false">IF(E189="","",E189+1)</f>
        <v/>
      </c>
      <c r="G189" s="5" t="str">
        <f aca="false">IF(OR(E189="",F189=""),"",MAX(E189,F189)+3)</f>
        <v/>
      </c>
      <c r="H189" s="5" t="str">
        <f aca="false">IF(OR(E189="",G189=""),"",MAX(E189,F189,G189)+7)</f>
        <v/>
      </c>
      <c r="I189" s="5" t="str">
        <f aca="false">IF(OR(E189="",H189=""),"",MAX(E189,F189,G189,H189)+15)</f>
        <v/>
      </c>
      <c r="J189" s="5" t="str">
        <f aca="false">IF(OR(E189="",I189=""),"",MAX(E189,F189,G189,H189,I189)+30)</f>
        <v/>
      </c>
      <c r="K189" s="5" t="str">
        <f aca="false">IF(OR(E189="",J189=""),"",MAX(E189,F189,G189,H189,I189,J189)+60)</f>
        <v/>
      </c>
      <c r="L189" s="5" t="str">
        <f aca="false">IF(OR(E189="",K189=""),"",MAX(E189,F189,G189,H189,I189,J189,K189)+90)</f>
        <v/>
      </c>
      <c r="M189" s="5" t="str">
        <f aca="false">IF(E189="","",IF(F189="",F189,IF(G189="",G189,IF(H189="",H189,IF(I189="",I189,IF(J189="",J189,IF(K189="",K189,IF(L189="",L189,"DONE"))))))))</f>
        <v/>
      </c>
      <c r="N189" s="1" t="str">
        <f aca="true">IF(OR(E189="",M189="DONE"),"",M189-TODAY())</f>
        <v/>
      </c>
      <c r="O189" s="1" t="str">
        <f aca="false">IF(E189="","",IF(M189="DONE","✅ Complete",IF(N189&lt;0,"🔴 OVERDUE",IF(N189=0,"🟡 TODAY",IF(N189&lt;=3,"🟠 SOON","🟢 Later")))))</f>
        <v/>
      </c>
    </row>
    <row r="190" customFormat="false" ht="15" hidden="false" customHeight="true" outlineLevel="0" collapsed="false">
      <c r="E190" s="5"/>
      <c r="F190" s="5" t="str">
        <f aca="false">IF(E190="","",E190+1)</f>
        <v/>
      </c>
      <c r="G190" s="5" t="str">
        <f aca="false">IF(OR(E190="",F190=""),"",MAX(E190,F190)+3)</f>
        <v/>
      </c>
      <c r="H190" s="5" t="str">
        <f aca="false">IF(OR(E190="",G190=""),"",MAX(E190,F190,G190)+7)</f>
        <v/>
      </c>
      <c r="I190" s="5" t="str">
        <f aca="false">IF(OR(E190="",H190=""),"",MAX(E190,F190,G190,H190)+15)</f>
        <v/>
      </c>
      <c r="J190" s="5" t="str">
        <f aca="false">IF(OR(E190="",I190=""),"",MAX(E190,F190,G190,H190,I190)+30)</f>
        <v/>
      </c>
      <c r="K190" s="5" t="str">
        <f aca="false">IF(OR(E190="",J190=""),"",MAX(E190,F190,G190,H190,I190,J190)+60)</f>
        <v/>
      </c>
      <c r="L190" s="5" t="str">
        <f aca="false">IF(OR(E190="",K190=""),"",MAX(E190,F190,G190,H190,I190,J190,K190)+90)</f>
        <v/>
      </c>
      <c r="M190" s="5" t="str">
        <f aca="false">IF(E190="","",IF(F190="",F190,IF(G190="",G190,IF(H190="",H190,IF(I190="",I190,IF(J190="",J190,IF(K190="",K190,IF(L190="",L190,"DONE"))))))))</f>
        <v/>
      </c>
      <c r="N190" s="1" t="str">
        <f aca="true">IF(OR(E190="",M190="DONE"),"",M190-TODAY())</f>
        <v/>
      </c>
      <c r="O190" s="1" t="str">
        <f aca="false">IF(E190="","",IF(M190="DONE","✅ Complete",IF(N190&lt;0,"🔴 OVERDUE",IF(N190=0,"🟡 TODAY",IF(N190&lt;=3,"🟠 SOON","🟢 Later")))))</f>
        <v/>
      </c>
    </row>
    <row r="191" customFormat="false" ht="15" hidden="false" customHeight="true" outlineLevel="0" collapsed="false">
      <c r="E191" s="5"/>
      <c r="F191" s="5" t="str">
        <f aca="false">IF(E191="","",E191+1)</f>
        <v/>
      </c>
      <c r="G191" s="5" t="str">
        <f aca="false">IF(OR(E191="",F191=""),"",MAX(E191,F191)+3)</f>
        <v/>
      </c>
      <c r="H191" s="5" t="str">
        <f aca="false">IF(OR(E191="",G191=""),"",MAX(E191,F191,G191)+7)</f>
        <v/>
      </c>
      <c r="I191" s="5" t="str">
        <f aca="false">IF(OR(E191="",H191=""),"",MAX(E191,F191,G191,H191)+15)</f>
        <v/>
      </c>
      <c r="J191" s="5" t="str">
        <f aca="false">IF(OR(E191="",I191=""),"",MAX(E191,F191,G191,H191,I191)+30)</f>
        <v/>
      </c>
      <c r="K191" s="5" t="str">
        <f aca="false">IF(OR(E191="",J191=""),"",MAX(E191,F191,G191,H191,I191,J191)+60)</f>
        <v/>
      </c>
      <c r="L191" s="5" t="str">
        <f aca="false">IF(OR(E191="",K191=""),"",MAX(E191,F191,G191,H191,I191,J191,K191)+90)</f>
        <v/>
      </c>
      <c r="M191" s="5" t="str">
        <f aca="false">IF(E191="","",IF(F191="",F191,IF(G191="",G191,IF(H191="",H191,IF(I191="",I191,IF(J191="",J191,IF(K191="",K191,IF(L191="",L191,"DONE"))))))))</f>
        <v/>
      </c>
      <c r="N191" s="1" t="str">
        <f aca="true">IF(OR(E191="",M191="DONE"),"",M191-TODAY())</f>
        <v/>
      </c>
      <c r="O191" s="1" t="str">
        <f aca="false">IF(E191="","",IF(M191="DONE","✅ Complete",IF(N191&lt;0,"🔴 OVERDUE",IF(N191=0,"🟡 TODAY",IF(N191&lt;=3,"🟠 SOON","🟢 Later")))))</f>
        <v/>
      </c>
    </row>
    <row r="192" customFormat="false" ht="15" hidden="false" customHeight="true" outlineLevel="0" collapsed="false">
      <c r="E192" s="5"/>
      <c r="F192" s="5" t="str">
        <f aca="false">IF(E192="","",E192+1)</f>
        <v/>
      </c>
      <c r="G192" s="5" t="str">
        <f aca="false">IF(OR(E192="",F192=""),"",MAX(E192,F192)+3)</f>
        <v/>
      </c>
      <c r="H192" s="5" t="str">
        <f aca="false">IF(OR(E192="",G192=""),"",MAX(E192,F192,G192)+7)</f>
        <v/>
      </c>
      <c r="I192" s="5" t="str">
        <f aca="false">IF(OR(E192="",H192=""),"",MAX(E192,F192,G192,H192)+15)</f>
        <v/>
      </c>
      <c r="J192" s="5" t="str">
        <f aca="false">IF(OR(E192="",I192=""),"",MAX(E192,F192,G192,H192,I192)+30)</f>
        <v/>
      </c>
      <c r="K192" s="5" t="str">
        <f aca="false">IF(OR(E192="",J192=""),"",MAX(E192,F192,G192,H192,I192,J192)+60)</f>
        <v/>
      </c>
      <c r="L192" s="5" t="str">
        <f aca="false">IF(OR(E192="",K192=""),"",MAX(E192,F192,G192,H192,I192,J192,K192)+90)</f>
        <v/>
      </c>
      <c r="M192" s="5" t="str">
        <f aca="false">IF(E192="","",IF(F192="",F192,IF(G192="",G192,IF(H192="",H192,IF(I192="",I192,IF(J192="",J192,IF(K192="",K192,IF(L192="",L192,"DONE"))))))))</f>
        <v/>
      </c>
      <c r="N192" s="1" t="str">
        <f aca="true">IF(OR(E192="",M192="DONE"),"",M192-TODAY())</f>
        <v/>
      </c>
      <c r="O192" s="1" t="str">
        <f aca="false">IF(E192="","",IF(M192="DONE","✅ Complete",IF(N192&lt;0,"🔴 OVERDUE",IF(N192=0,"🟡 TODAY",IF(N192&lt;=3,"🟠 SOON","🟢 Later")))))</f>
        <v/>
      </c>
    </row>
    <row r="193" customFormat="false" ht="15" hidden="false" customHeight="true" outlineLevel="0" collapsed="false">
      <c r="E193" s="5"/>
      <c r="F193" s="5" t="str">
        <f aca="false">IF(E193="","",E193+1)</f>
        <v/>
      </c>
      <c r="G193" s="5" t="str">
        <f aca="false">IF(OR(E193="",F193=""),"",MAX(E193,F193)+3)</f>
        <v/>
      </c>
      <c r="H193" s="5" t="str">
        <f aca="false">IF(OR(E193="",G193=""),"",MAX(E193,F193,G193)+7)</f>
        <v/>
      </c>
      <c r="I193" s="5" t="str">
        <f aca="false">IF(OR(E193="",H193=""),"",MAX(E193,F193,G193,H193)+15)</f>
        <v/>
      </c>
      <c r="J193" s="5" t="str">
        <f aca="false">IF(OR(E193="",I193=""),"",MAX(E193,F193,G193,H193,I193)+30)</f>
        <v/>
      </c>
      <c r="K193" s="5" t="str">
        <f aca="false">IF(OR(E193="",J193=""),"",MAX(E193,F193,G193,H193,I193,J193)+60)</f>
        <v/>
      </c>
      <c r="L193" s="5" t="str">
        <f aca="false">IF(OR(E193="",K193=""),"",MAX(E193,F193,G193,H193,I193,J193,K193)+90)</f>
        <v/>
      </c>
      <c r="M193" s="5" t="str">
        <f aca="false">IF(E193="","",IF(F193="",F193,IF(G193="",G193,IF(H193="",H193,IF(I193="",I193,IF(J193="",J193,IF(K193="",K193,IF(L193="",L193,"DONE"))))))))</f>
        <v/>
      </c>
      <c r="N193" s="1" t="str">
        <f aca="true">IF(OR(E193="",M193="DONE"),"",M193-TODAY())</f>
        <v/>
      </c>
      <c r="O193" s="1" t="str">
        <f aca="false">IF(E193="","",IF(M193="DONE","✅ Complete",IF(N193&lt;0,"🔴 OVERDUE",IF(N193=0,"🟡 TODAY",IF(N193&lt;=3,"🟠 SOON","🟢 Later")))))</f>
        <v/>
      </c>
    </row>
    <row r="194" customFormat="false" ht="15" hidden="false" customHeight="true" outlineLevel="0" collapsed="false">
      <c r="E194" s="5"/>
      <c r="F194" s="5" t="str">
        <f aca="false">IF(E194="","",E194+1)</f>
        <v/>
      </c>
      <c r="G194" s="5" t="str">
        <f aca="false">IF(OR(E194="",F194=""),"",MAX(E194,F194)+3)</f>
        <v/>
      </c>
      <c r="H194" s="5" t="str">
        <f aca="false">IF(OR(E194="",G194=""),"",MAX(E194,F194,G194)+7)</f>
        <v/>
      </c>
      <c r="I194" s="5" t="str">
        <f aca="false">IF(OR(E194="",H194=""),"",MAX(E194,F194,G194,H194)+15)</f>
        <v/>
      </c>
      <c r="J194" s="5" t="str">
        <f aca="false">IF(OR(E194="",I194=""),"",MAX(E194,F194,G194,H194,I194)+30)</f>
        <v/>
      </c>
      <c r="K194" s="5" t="str">
        <f aca="false">IF(OR(E194="",J194=""),"",MAX(E194,F194,G194,H194,I194,J194)+60)</f>
        <v/>
      </c>
      <c r="L194" s="5" t="str">
        <f aca="false">IF(OR(E194="",K194=""),"",MAX(E194,F194,G194,H194,I194,J194,K194)+90)</f>
        <v/>
      </c>
      <c r="M194" s="5" t="str">
        <f aca="false">IF(E194="","",IF(F194="",F194,IF(G194="",G194,IF(H194="",H194,IF(I194="",I194,IF(J194="",J194,IF(K194="",K194,IF(L194="",L194,"DONE"))))))))</f>
        <v/>
      </c>
      <c r="N194" s="1" t="str">
        <f aca="true">IF(OR(E194="",M194="DONE"),"",M194-TODAY())</f>
        <v/>
      </c>
      <c r="O194" s="1" t="str">
        <f aca="false">IF(E194="","",IF(M194="DONE","✅ Complete",IF(N194&lt;0,"🔴 OVERDUE",IF(N194=0,"🟡 TODAY",IF(N194&lt;=3,"🟠 SOON","🟢 Later")))))</f>
        <v/>
      </c>
    </row>
    <row r="195" customFormat="false" ht="15" hidden="false" customHeight="true" outlineLevel="0" collapsed="false">
      <c r="E195" s="5"/>
      <c r="F195" s="5" t="str">
        <f aca="false">IF(E195="","",E195+1)</f>
        <v/>
      </c>
      <c r="G195" s="5" t="str">
        <f aca="false">IF(OR(E195="",F195=""),"",MAX(E195,F195)+3)</f>
        <v/>
      </c>
      <c r="H195" s="5" t="str">
        <f aca="false">IF(OR(E195="",G195=""),"",MAX(E195,F195,G195)+7)</f>
        <v/>
      </c>
      <c r="I195" s="5" t="str">
        <f aca="false">IF(OR(E195="",H195=""),"",MAX(E195,F195,G195,H195)+15)</f>
        <v/>
      </c>
      <c r="J195" s="5" t="str">
        <f aca="false">IF(OR(E195="",I195=""),"",MAX(E195,F195,G195,H195,I195)+30)</f>
        <v/>
      </c>
      <c r="K195" s="5" t="str">
        <f aca="false">IF(OR(E195="",J195=""),"",MAX(E195,F195,G195,H195,I195,J195)+60)</f>
        <v/>
      </c>
      <c r="L195" s="5" t="str">
        <f aca="false">IF(OR(E195="",K195=""),"",MAX(E195,F195,G195,H195,I195,J195,K195)+90)</f>
        <v/>
      </c>
      <c r="M195" s="5" t="str">
        <f aca="false">IF(E195="","",IF(F195="",F195,IF(G195="",G195,IF(H195="",H195,IF(I195="",I195,IF(J195="",J195,IF(K195="",K195,IF(L195="",L195,"DONE"))))))))</f>
        <v/>
      </c>
      <c r="N195" s="1" t="str">
        <f aca="true">IF(OR(E195="",M195="DONE"),"",M195-TODAY())</f>
        <v/>
      </c>
      <c r="O195" s="1" t="str">
        <f aca="false">IF(E195="","",IF(M195="DONE","✅ Complete",IF(N195&lt;0,"🔴 OVERDUE",IF(N195=0,"🟡 TODAY",IF(N195&lt;=3,"🟠 SOON","🟢 Later")))))</f>
        <v/>
      </c>
    </row>
    <row r="196" customFormat="false" ht="15" hidden="false" customHeight="true" outlineLevel="0" collapsed="false">
      <c r="E196" s="5"/>
      <c r="F196" s="5" t="str">
        <f aca="false">IF(E196="","",E196+1)</f>
        <v/>
      </c>
      <c r="G196" s="5" t="str">
        <f aca="false">IF(OR(E196="",F196=""),"",MAX(E196,F196)+3)</f>
        <v/>
      </c>
      <c r="H196" s="5" t="str">
        <f aca="false">IF(OR(E196="",G196=""),"",MAX(E196,F196,G196)+7)</f>
        <v/>
      </c>
      <c r="I196" s="5" t="str">
        <f aca="false">IF(OR(E196="",H196=""),"",MAX(E196,F196,G196,H196)+15)</f>
        <v/>
      </c>
      <c r="J196" s="5" t="str">
        <f aca="false">IF(OR(E196="",I196=""),"",MAX(E196,F196,G196,H196,I196)+30)</f>
        <v/>
      </c>
      <c r="K196" s="5" t="str">
        <f aca="false">IF(OR(E196="",J196=""),"",MAX(E196,F196,G196,H196,I196,J196)+60)</f>
        <v/>
      </c>
      <c r="L196" s="5" t="str">
        <f aca="false">IF(OR(E196="",K196=""),"",MAX(E196,F196,G196,H196,I196,J196,K196)+90)</f>
        <v/>
      </c>
      <c r="M196" s="5" t="str">
        <f aca="false">IF(E196="","",IF(F196="",F196,IF(G196="",G196,IF(H196="",H196,IF(I196="",I196,IF(J196="",J196,IF(K196="",K196,IF(L196="",L196,"DONE"))))))))</f>
        <v/>
      </c>
      <c r="N196" s="1" t="str">
        <f aca="true">IF(OR(E196="",M196="DONE"),"",M196-TODAY())</f>
        <v/>
      </c>
      <c r="O196" s="1" t="str">
        <f aca="false">IF(E196="","",IF(M196="DONE","✅ Complete",IF(N196&lt;0,"🔴 OVERDUE",IF(N196=0,"🟡 TODAY",IF(N196&lt;=3,"🟠 SOON","🟢 Later")))))</f>
        <v/>
      </c>
    </row>
    <row r="197" customFormat="false" ht="15" hidden="false" customHeight="true" outlineLevel="0" collapsed="false">
      <c r="E197" s="5"/>
      <c r="F197" s="5" t="str">
        <f aca="false">IF(E197="","",E197+1)</f>
        <v/>
      </c>
      <c r="G197" s="5" t="str">
        <f aca="false">IF(OR(E197="",F197=""),"",MAX(E197,F197)+3)</f>
        <v/>
      </c>
      <c r="H197" s="5" t="str">
        <f aca="false">IF(OR(E197="",G197=""),"",MAX(E197,F197,G197)+7)</f>
        <v/>
      </c>
      <c r="I197" s="5" t="str">
        <f aca="false">IF(OR(E197="",H197=""),"",MAX(E197,F197,G197,H197)+15)</f>
        <v/>
      </c>
      <c r="J197" s="5" t="str">
        <f aca="false">IF(OR(E197="",I197=""),"",MAX(E197,F197,G197,H197,I197)+30)</f>
        <v/>
      </c>
      <c r="K197" s="5" t="str">
        <f aca="false">IF(OR(E197="",J197=""),"",MAX(E197,F197,G197,H197,I197,J197)+60)</f>
        <v/>
      </c>
      <c r="L197" s="5" t="str">
        <f aca="false">IF(OR(E197="",K197=""),"",MAX(E197,F197,G197,H197,I197,J197,K197)+90)</f>
        <v/>
      </c>
      <c r="M197" s="5" t="str">
        <f aca="false">IF(E197="","",IF(F197="",F197,IF(G197="",G197,IF(H197="",H197,IF(I197="",I197,IF(J197="",J197,IF(K197="",K197,IF(L197="",L197,"DONE"))))))))</f>
        <v/>
      </c>
      <c r="N197" s="1" t="str">
        <f aca="true">IF(OR(E197="",M197="DONE"),"",M197-TODAY())</f>
        <v/>
      </c>
      <c r="O197" s="1" t="str">
        <f aca="false">IF(E197="","",IF(M197="DONE","✅ Complete",IF(N197&lt;0,"🔴 OVERDUE",IF(N197=0,"🟡 TODAY",IF(N197&lt;=3,"🟠 SOON","🟢 Later")))))</f>
        <v/>
      </c>
    </row>
    <row r="198" customFormat="false" ht="15" hidden="false" customHeight="true" outlineLevel="0" collapsed="false">
      <c r="E198" s="5"/>
      <c r="F198" s="5" t="str">
        <f aca="false">IF(E198="","",E198+1)</f>
        <v/>
      </c>
      <c r="G198" s="5" t="str">
        <f aca="false">IF(OR(E198="",F198=""),"",MAX(E198,F198)+3)</f>
        <v/>
      </c>
      <c r="H198" s="5" t="str">
        <f aca="false">IF(OR(E198="",G198=""),"",MAX(E198,F198,G198)+7)</f>
        <v/>
      </c>
      <c r="I198" s="5" t="str">
        <f aca="false">IF(OR(E198="",H198=""),"",MAX(E198,F198,G198,H198)+15)</f>
        <v/>
      </c>
      <c r="J198" s="5" t="str">
        <f aca="false">IF(OR(E198="",I198=""),"",MAX(E198,F198,G198,H198,I198)+30)</f>
        <v/>
      </c>
      <c r="K198" s="5" t="str">
        <f aca="false">IF(OR(E198="",J198=""),"",MAX(E198,F198,G198,H198,I198,J198)+60)</f>
        <v/>
      </c>
      <c r="L198" s="5" t="str">
        <f aca="false">IF(OR(E198="",K198=""),"",MAX(E198,F198,G198,H198,I198,J198,K198)+90)</f>
        <v/>
      </c>
      <c r="M198" s="5" t="str">
        <f aca="false">IF(E198="","",IF(F198="",F198,IF(G198="",G198,IF(H198="",H198,IF(I198="",I198,IF(J198="",J198,IF(K198="",K198,IF(L198="",L198,"DONE"))))))))</f>
        <v/>
      </c>
      <c r="N198" s="1" t="str">
        <f aca="true">IF(OR(E198="",M198="DONE"),"",M198-TODAY())</f>
        <v/>
      </c>
      <c r="O198" s="1" t="str">
        <f aca="false">IF(E198="","",IF(M198="DONE","✅ Complete",IF(N198&lt;0,"🔴 OVERDUE",IF(N198=0,"🟡 TODAY",IF(N198&lt;=3,"🟠 SOON","🟢 Later")))))</f>
        <v/>
      </c>
    </row>
    <row r="199" customFormat="false" ht="15" hidden="false" customHeight="true" outlineLevel="0" collapsed="false">
      <c r="E199" s="5"/>
      <c r="F199" s="5" t="str">
        <f aca="false">IF(E199="","",E199+1)</f>
        <v/>
      </c>
      <c r="G199" s="5" t="str">
        <f aca="false">IF(OR(E199="",F199=""),"",MAX(E199,F199)+3)</f>
        <v/>
      </c>
      <c r="H199" s="5" t="str">
        <f aca="false">IF(OR(E199="",G199=""),"",MAX(E199,F199,G199)+7)</f>
        <v/>
      </c>
      <c r="I199" s="5" t="str">
        <f aca="false">IF(OR(E199="",H199=""),"",MAX(E199,F199,G199,H199)+15)</f>
        <v/>
      </c>
      <c r="J199" s="5" t="str">
        <f aca="false">IF(OR(E199="",I199=""),"",MAX(E199,F199,G199,H199,I199)+30)</f>
        <v/>
      </c>
      <c r="K199" s="5" t="str">
        <f aca="false">IF(OR(E199="",J199=""),"",MAX(E199,F199,G199,H199,I199,J199)+60)</f>
        <v/>
      </c>
      <c r="L199" s="5" t="str">
        <f aca="false">IF(OR(E199="",K199=""),"",MAX(E199,F199,G199,H199,I199,J199,K199)+90)</f>
        <v/>
      </c>
      <c r="M199" s="5" t="str">
        <f aca="false">IF(E199="","",IF(F199="",F199,IF(G199="",G199,IF(H199="",H199,IF(I199="",I199,IF(J199="",J199,IF(K199="",K199,IF(L199="",L199,"DONE"))))))))</f>
        <v/>
      </c>
      <c r="N199" s="1" t="str">
        <f aca="true">IF(OR(E199="",M199="DONE"),"",M199-TODAY())</f>
        <v/>
      </c>
      <c r="O199" s="1" t="str">
        <f aca="false">IF(E199="","",IF(M199="DONE","✅ Complete",IF(N199&lt;0,"🔴 OVERDUE",IF(N199=0,"🟡 TODAY",IF(N199&lt;=3,"🟠 SOON","🟢 Later")))))</f>
        <v/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9" min="6" style="1" width="12"/>
  </cols>
  <sheetData>
    <row r="1" customFormat="false" ht="34.5" hidden="false" customHeight="true" outlineLevel="0" collapsed="false">
      <c r="A1" s="6" t="s">
        <v>29</v>
      </c>
      <c r="B1" s="6"/>
      <c r="C1" s="6"/>
      <c r="D1" s="6"/>
      <c r="E1" s="6"/>
      <c r="F1" s="6"/>
      <c r="G1" s="6"/>
      <c r="H1" s="6"/>
      <c r="I1" s="6"/>
    </row>
    <row r="2" customFormat="false" ht="15" hidden="false" customHeight="true" outlineLevel="0" collapsed="false">
      <c r="A2" s="7" t="s">
        <v>30</v>
      </c>
      <c r="B2" s="8" t="str">
        <f aca="true">TEXT(TODAY(),"DD/MM/YYYY")</f>
        <v>09/02/2026</v>
      </c>
      <c r="D2" s="7" t="s">
        <v>31</v>
      </c>
      <c r="E2" s="9" t="n">
        <f aca="false">COUNTIFS('📖 Review Tracker'!$O:$O,"🔴 OVERDUE")+COUNTIFS('📖 Review Tracker'!$O:$O,"🟡 TODAY")</f>
        <v>0</v>
      </c>
    </row>
    <row r="3" customFormat="false" ht="30" hidden="false" customHeight="true" outlineLevel="0" collapsed="false">
      <c r="A3" s="10" t="s">
        <v>32</v>
      </c>
      <c r="B3" s="10"/>
      <c r="C3" s="10"/>
      <c r="D3" s="10"/>
      <c r="E3" s="10"/>
      <c r="F3" s="10"/>
      <c r="G3" s="10"/>
      <c r="H3" s="10"/>
      <c r="I3" s="10"/>
    </row>
    <row r="4" customFormat="false" ht="30" hidden="false" customHeight="true" outlineLevel="0" collapsed="false">
      <c r="A4" s="4" t="s">
        <v>33</v>
      </c>
      <c r="B4" s="4" t="s">
        <v>2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</row>
    <row r="5" customFormat="false" ht="15" hidden="false" customHeight="true" outlineLevel="0" collapsed="false">
      <c r="A5" s="1" t="str">
        <f aca="false">IF('📖 Review Tracker'!$C4="","",IF(OR('📖 Review Tracker'!$O4="🔴 OVERDUE",'📖 Review Tracker'!$O4="🟡 TODAY"),4,""))</f>
        <v/>
      </c>
      <c r="B5" s="1" t="str">
        <f aca="false">IF('📖 Review Tracker'!$C4="","",IF(OR('📖 Review Tracker'!$O4="🔴 OVERDUE",'📖 Review Tracker'!$O4="🟡 TODAY"),'📖 Review Tracker'!$A4,""))</f>
        <v/>
      </c>
      <c r="C5" s="1" t="str">
        <f aca="false">IF('📖 Review Tracker'!$C4="","",IF(OR('📖 Review Tracker'!$O4="🔴 OVERDUE",'📖 Review Tracker'!$O4="🟡 TODAY"),'📖 Review Tracker'!$C4,""))</f>
        <v/>
      </c>
      <c r="D5" s="1" t="str">
        <f aca="false">IF('📖 Review Tracker'!$C4="","",IF(OR('📖 Review Tracker'!$O4="🔴 OVERDUE",'📖 Review Tracker'!$O4="🟡 TODAY"),TEXT('📖 Review Tracker'!$M4,"DD/MM/YYYY"),""))</f>
        <v/>
      </c>
      <c r="E5" s="1" t="str">
        <f aca="false">IF('📖 Review Tracker'!$C4="","",IF(OR('📖 Review Tracker'!$O4="🔴 OVERDUE",'📖 Review Tracker'!$O4="🟡 TODAY"),'📖 Review Tracker'!$N4,""))</f>
        <v/>
      </c>
      <c r="F5" s="1" t="str">
        <f aca="false">IF('📖 Review Tracker'!$C4="","",IF(OR('📖 Review Tracker'!$O4="🔴 OVERDUE",'📖 Review Tracker'!$O4="🟡 TODAY"),IF('📖 Review Tracker'!$F4="","J1",IF('📖 Review Tracker'!$G4="","J3",IF('📖 Review Tracker'!$H4="","J7",IF('📖 Review Tracker'!$I4="","J15",IF('📖 Review Tracker'!$J4="","J30",IF('📖 Review Tracker'!$K4="","J60","J90")))))),""))</f>
        <v/>
      </c>
      <c r="G5" s="1" t="str">
        <f aca="false">IF('📖 Review Tracker'!$C4="","",IF(OR('📖 Review Tracker'!$O4="🔴 OVERDUE",'📖 Review Tracker'!$O4="🟡 TODAY"),'📖 Review Tracker'!$O4,""))</f>
        <v/>
      </c>
      <c r="H5" s="1" t="str">
        <f aca="true">IF(I5="✅ Done",TEXT(TODAY(),"DD/MM/YYYY"),"")</f>
        <v/>
      </c>
    </row>
    <row r="6" customFormat="false" ht="15" hidden="false" customHeight="true" outlineLevel="0" collapsed="false">
      <c r="A6" s="1" t="str">
        <f aca="false">IF('📖 Review Tracker'!$C5="","",IF(OR('📖 Review Tracker'!$O5="🔴 OVERDUE",'📖 Review Tracker'!$O5="🟡 TODAY"),5,""))</f>
        <v/>
      </c>
      <c r="B6" s="1" t="str">
        <f aca="false">IF('📖 Review Tracker'!$C5="","",IF(OR('📖 Review Tracker'!$O5="🔴 OVERDUE",'📖 Review Tracker'!$O5="🟡 TODAY"),'📖 Review Tracker'!$A5,""))</f>
        <v/>
      </c>
      <c r="C6" s="1" t="str">
        <f aca="false">IF('📖 Review Tracker'!$C5="","",IF(OR('📖 Review Tracker'!$O5="🔴 OVERDUE",'📖 Review Tracker'!$O5="🟡 TODAY"),'📖 Review Tracker'!$C5,""))</f>
        <v/>
      </c>
      <c r="D6" s="1" t="str">
        <f aca="false">IF('📖 Review Tracker'!$C5="","",IF(OR('📖 Review Tracker'!$O5="🔴 OVERDUE",'📖 Review Tracker'!$O5="🟡 TODAY"),TEXT('📖 Review Tracker'!$M5,"DD/MM/YYYY"),""))</f>
        <v/>
      </c>
      <c r="E6" s="1" t="str">
        <f aca="false">IF('📖 Review Tracker'!$C5="","",IF(OR('📖 Review Tracker'!$O5="🔴 OVERDUE",'📖 Review Tracker'!$O5="🟡 TODAY"),'📖 Review Tracker'!$N5,""))</f>
        <v/>
      </c>
      <c r="F6" s="1" t="str">
        <f aca="false">IF('📖 Review Tracker'!$C5="","",IF(OR('📖 Review Tracker'!$O5="🔴 OVERDUE",'📖 Review Tracker'!$O5="🟡 TODAY"),IF('📖 Review Tracker'!$F5="","J1",IF('📖 Review Tracker'!$G5="","J3",IF('📖 Review Tracker'!$H5="","J7",IF('📖 Review Tracker'!$I5="","J15",IF('📖 Review Tracker'!$J5="","J30",IF('📖 Review Tracker'!$K5="","J60","J90")))))),""))</f>
        <v/>
      </c>
      <c r="G6" s="1" t="str">
        <f aca="false">IF('📖 Review Tracker'!$C5="","",IF(OR('📖 Review Tracker'!$O5="🔴 OVERDUE",'📖 Review Tracker'!$O5="🟡 TODAY"),'📖 Review Tracker'!$O5,""))</f>
        <v/>
      </c>
      <c r="H6" s="1" t="str">
        <f aca="true">IF(I6="✅ Done",TEXT(TODAY(),"DD/MM/YYYY"),"")</f>
        <v/>
      </c>
    </row>
    <row r="7" customFormat="false" ht="15" hidden="false" customHeight="true" outlineLevel="0" collapsed="false">
      <c r="A7" s="1" t="str">
        <f aca="false">IF('📖 Review Tracker'!$C6="","",IF(OR('📖 Review Tracker'!$O6="🔴 OVERDUE",'📖 Review Tracker'!$O6="🟡 TODAY"),6,""))</f>
        <v/>
      </c>
      <c r="B7" s="1" t="str">
        <f aca="false">IF('📖 Review Tracker'!$C6="","",IF(OR('📖 Review Tracker'!$O6="🔴 OVERDUE",'📖 Review Tracker'!$O6="🟡 TODAY"),'📖 Review Tracker'!$A6,""))</f>
        <v/>
      </c>
      <c r="C7" s="1" t="str">
        <f aca="false">IF('📖 Review Tracker'!$C6="","",IF(OR('📖 Review Tracker'!$O6="🔴 OVERDUE",'📖 Review Tracker'!$O6="🟡 TODAY"),'📖 Review Tracker'!$C6,""))</f>
        <v/>
      </c>
      <c r="D7" s="1" t="str">
        <f aca="false">IF('📖 Review Tracker'!$C6="","",IF(OR('📖 Review Tracker'!$O6="🔴 OVERDUE",'📖 Review Tracker'!$O6="🟡 TODAY"),TEXT('📖 Review Tracker'!$M6,"DD/MM/YYYY"),""))</f>
        <v/>
      </c>
      <c r="E7" s="1" t="str">
        <f aca="false">IF('📖 Review Tracker'!$C6="","",IF(OR('📖 Review Tracker'!$O6="🔴 OVERDUE",'📖 Review Tracker'!$O6="🟡 TODAY"),'📖 Review Tracker'!$N6,""))</f>
        <v/>
      </c>
      <c r="F7" s="1" t="str">
        <f aca="false">IF('📖 Review Tracker'!$C6="","",IF(OR('📖 Review Tracker'!$O6="🔴 OVERDUE",'📖 Review Tracker'!$O6="🟡 TODAY"),IF('📖 Review Tracker'!$F6="","J1",IF('📖 Review Tracker'!$G6="","J3",IF('📖 Review Tracker'!$H6="","J7",IF('📖 Review Tracker'!$I6="","J15",IF('📖 Review Tracker'!$J6="","J30",IF('📖 Review Tracker'!$K6="","J60","J90")))))),""))</f>
        <v/>
      </c>
      <c r="G7" s="1" t="str">
        <f aca="false">IF('📖 Review Tracker'!$C6="","",IF(OR('📖 Review Tracker'!$O6="🔴 OVERDUE",'📖 Review Tracker'!$O6="🟡 TODAY"),'📖 Review Tracker'!$O6,""))</f>
        <v/>
      </c>
      <c r="H7" s="1" t="str">
        <f aca="true">IF(I7="✅ Done",TEXT(TODAY(),"DD/MM/YYYY"),"")</f>
        <v/>
      </c>
    </row>
    <row r="8" customFormat="false" ht="15" hidden="false" customHeight="true" outlineLevel="0" collapsed="false">
      <c r="A8" s="1" t="str">
        <f aca="false">IF('📖 Review Tracker'!$C7="","",IF(OR('📖 Review Tracker'!$O7="🔴 OVERDUE",'📖 Review Tracker'!$O7="🟡 TODAY"),7,""))</f>
        <v/>
      </c>
      <c r="B8" s="1" t="str">
        <f aca="false">IF('📖 Review Tracker'!$C7="","",IF(OR('📖 Review Tracker'!$O7="🔴 OVERDUE",'📖 Review Tracker'!$O7="🟡 TODAY"),'📖 Review Tracker'!$A7,""))</f>
        <v/>
      </c>
      <c r="C8" s="1" t="str">
        <f aca="false">IF('📖 Review Tracker'!$C7="","",IF(OR('📖 Review Tracker'!$O7="🔴 OVERDUE",'📖 Review Tracker'!$O7="🟡 TODAY"),'📖 Review Tracker'!$C7,""))</f>
        <v/>
      </c>
      <c r="D8" s="1" t="str">
        <f aca="false">IF('📖 Review Tracker'!$C7="","",IF(OR('📖 Review Tracker'!$O7="🔴 OVERDUE",'📖 Review Tracker'!$O7="🟡 TODAY"),TEXT('📖 Review Tracker'!$M7,"DD/MM/YYYY"),""))</f>
        <v/>
      </c>
      <c r="E8" s="1" t="str">
        <f aca="false">IF('📖 Review Tracker'!$C7="","",IF(OR('📖 Review Tracker'!$O7="🔴 OVERDUE",'📖 Review Tracker'!$O7="🟡 TODAY"),'📖 Review Tracker'!$N7,""))</f>
        <v/>
      </c>
      <c r="F8" s="1" t="str">
        <f aca="false">IF('📖 Review Tracker'!$C7="","",IF(OR('📖 Review Tracker'!$O7="🔴 OVERDUE",'📖 Review Tracker'!$O7="🟡 TODAY"),IF('📖 Review Tracker'!$F7="","J1",IF('📖 Review Tracker'!$G7="","J3",IF('📖 Review Tracker'!$H7="","J7",IF('📖 Review Tracker'!$I7="","J15",IF('📖 Review Tracker'!$J7="","J30",IF('📖 Review Tracker'!$K7="","J60","J90")))))),""))</f>
        <v/>
      </c>
      <c r="G8" s="1" t="str">
        <f aca="false">IF('📖 Review Tracker'!$C7="","",IF(OR('📖 Review Tracker'!$O7="🔴 OVERDUE",'📖 Review Tracker'!$O7="🟡 TODAY"),'📖 Review Tracker'!$O7,""))</f>
        <v/>
      </c>
      <c r="H8" s="1" t="str">
        <f aca="true">IF(I8="✅ Done",TEXT(TODAY(),"DD/MM/YYYY"),"")</f>
        <v/>
      </c>
    </row>
    <row r="9" customFormat="false" ht="15" hidden="false" customHeight="true" outlineLevel="0" collapsed="false">
      <c r="A9" s="1" t="str">
        <f aca="false">IF('📖 Review Tracker'!$C8="","",IF(OR('📖 Review Tracker'!$O8="🔴 OVERDUE",'📖 Review Tracker'!$O8="🟡 TODAY"),8,""))</f>
        <v/>
      </c>
      <c r="B9" s="1" t="str">
        <f aca="false">IF('📖 Review Tracker'!$C8="","",IF(OR('📖 Review Tracker'!$O8="🔴 OVERDUE",'📖 Review Tracker'!$O8="🟡 TODAY"),'📖 Review Tracker'!$A8,""))</f>
        <v/>
      </c>
      <c r="C9" s="1" t="str">
        <f aca="false">IF('📖 Review Tracker'!$C8="","",IF(OR('📖 Review Tracker'!$O8="🔴 OVERDUE",'📖 Review Tracker'!$O8="🟡 TODAY"),'📖 Review Tracker'!$C8,""))</f>
        <v/>
      </c>
      <c r="D9" s="1" t="str">
        <f aca="false">IF('📖 Review Tracker'!$C8="","",IF(OR('📖 Review Tracker'!$O8="🔴 OVERDUE",'📖 Review Tracker'!$O8="🟡 TODAY"),TEXT('📖 Review Tracker'!$M8,"DD/MM/YYYY"),""))</f>
        <v/>
      </c>
      <c r="E9" s="1" t="str">
        <f aca="false">IF('📖 Review Tracker'!$C8="","",IF(OR('📖 Review Tracker'!$O8="🔴 OVERDUE",'📖 Review Tracker'!$O8="🟡 TODAY"),'📖 Review Tracker'!$N8,""))</f>
        <v/>
      </c>
      <c r="F9" s="1" t="str">
        <f aca="false">IF('📖 Review Tracker'!$C8="","",IF(OR('📖 Review Tracker'!$O8="🔴 OVERDUE",'📖 Review Tracker'!$O8="🟡 TODAY"),IF('📖 Review Tracker'!$F8="","J1",IF('📖 Review Tracker'!$G8="","J3",IF('📖 Review Tracker'!$H8="","J7",IF('📖 Review Tracker'!$I8="","J15",IF('📖 Review Tracker'!$J8="","J30",IF('📖 Review Tracker'!$K8="","J60","J90")))))),""))</f>
        <v/>
      </c>
      <c r="G9" s="1" t="str">
        <f aca="false">IF('📖 Review Tracker'!$C8="","",IF(OR('📖 Review Tracker'!$O8="🔴 OVERDUE",'📖 Review Tracker'!$O8="🟡 TODAY"),'📖 Review Tracker'!$O8,""))</f>
        <v/>
      </c>
      <c r="H9" s="1" t="str">
        <f aca="true">IF(I9="✅ Done",TEXT(TODAY(),"DD/MM/YYYY"),"")</f>
        <v/>
      </c>
    </row>
    <row r="10" customFormat="false" ht="15" hidden="false" customHeight="true" outlineLevel="0" collapsed="false">
      <c r="A10" s="1" t="str">
        <f aca="false">IF('📖 Review Tracker'!$C9="","",IF(OR('📖 Review Tracker'!$O9="🔴 OVERDUE",'📖 Review Tracker'!$O9="🟡 TODAY"),9,""))</f>
        <v/>
      </c>
      <c r="B10" s="1" t="str">
        <f aca="false">IF('📖 Review Tracker'!$C9="","",IF(OR('📖 Review Tracker'!$O9="🔴 OVERDUE",'📖 Review Tracker'!$O9="🟡 TODAY"),'📖 Review Tracker'!$A9,""))</f>
        <v/>
      </c>
      <c r="C10" s="1" t="str">
        <f aca="false">IF('📖 Review Tracker'!$C9="","",IF(OR('📖 Review Tracker'!$O9="🔴 OVERDUE",'📖 Review Tracker'!$O9="🟡 TODAY"),'📖 Review Tracker'!$C9,""))</f>
        <v/>
      </c>
      <c r="D10" s="1" t="str">
        <f aca="false">IF('📖 Review Tracker'!$C9="","",IF(OR('📖 Review Tracker'!$O9="🔴 OVERDUE",'📖 Review Tracker'!$O9="🟡 TODAY"),TEXT('📖 Review Tracker'!$M9,"DD/MM/YYYY"),""))</f>
        <v/>
      </c>
      <c r="E10" s="1" t="str">
        <f aca="false">IF('📖 Review Tracker'!$C9="","",IF(OR('📖 Review Tracker'!$O9="🔴 OVERDUE",'📖 Review Tracker'!$O9="🟡 TODAY"),'📖 Review Tracker'!$N9,""))</f>
        <v/>
      </c>
      <c r="F10" s="1" t="str">
        <f aca="false">IF('📖 Review Tracker'!$C9="","",IF(OR('📖 Review Tracker'!$O9="🔴 OVERDUE",'📖 Review Tracker'!$O9="🟡 TODAY"),IF('📖 Review Tracker'!$F9="","J1",IF('📖 Review Tracker'!$G9="","J3",IF('📖 Review Tracker'!$H9="","J7",IF('📖 Review Tracker'!$I9="","J15",IF('📖 Review Tracker'!$J9="","J30",IF('📖 Review Tracker'!$K9="","J60","J90")))))),""))</f>
        <v/>
      </c>
      <c r="G10" s="1" t="str">
        <f aca="false">IF('📖 Review Tracker'!$C9="","",IF(OR('📖 Review Tracker'!$O9="🔴 OVERDUE",'📖 Review Tracker'!$O9="🟡 TODAY"),'📖 Review Tracker'!$O9,""))</f>
        <v/>
      </c>
      <c r="H10" s="1" t="str">
        <f aca="true">IF(I10="✅ Done",TEXT(TODAY(),"DD/MM/YYYY"),"")</f>
        <v/>
      </c>
    </row>
    <row r="11" customFormat="false" ht="15" hidden="false" customHeight="true" outlineLevel="0" collapsed="false">
      <c r="A11" s="1" t="str">
        <f aca="false">IF('📖 Review Tracker'!$C10="","",IF(OR('📖 Review Tracker'!$O10="🔴 OVERDUE",'📖 Review Tracker'!$O10="🟡 TODAY"),10,""))</f>
        <v/>
      </c>
      <c r="B11" s="1" t="str">
        <f aca="false">IF('📖 Review Tracker'!$C10="","",IF(OR('📖 Review Tracker'!$O10="🔴 OVERDUE",'📖 Review Tracker'!$O10="🟡 TODAY"),'📖 Review Tracker'!$A10,""))</f>
        <v/>
      </c>
      <c r="C11" s="1" t="str">
        <f aca="false">IF('📖 Review Tracker'!$C10="","",IF(OR('📖 Review Tracker'!$O10="🔴 OVERDUE",'📖 Review Tracker'!$O10="🟡 TODAY"),'📖 Review Tracker'!$C10,""))</f>
        <v/>
      </c>
      <c r="D11" s="1" t="str">
        <f aca="false">IF('📖 Review Tracker'!$C10="","",IF(OR('📖 Review Tracker'!$O10="🔴 OVERDUE",'📖 Review Tracker'!$O10="🟡 TODAY"),TEXT('📖 Review Tracker'!$M10,"DD/MM/YYYY"),""))</f>
        <v/>
      </c>
      <c r="E11" s="1" t="str">
        <f aca="false">IF('📖 Review Tracker'!$C10="","",IF(OR('📖 Review Tracker'!$O10="🔴 OVERDUE",'📖 Review Tracker'!$O10="🟡 TODAY"),'📖 Review Tracker'!$N10,""))</f>
        <v/>
      </c>
      <c r="F11" s="1" t="str">
        <f aca="false">IF('📖 Review Tracker'!$C10="","",IF(OR('📖 Review Tracker'!$O10="🔴 OVERDUE",'📖 Review Tracker'!$O10="🟡 TODAY"),IF('📖 Review Tracker'!$F10="","J1",IF('📖 Review Tracker'!$G10="","J3",IF('📖 Review Tracker'!$H10="","J7",IF('📖 Review Tracker'!$I10="","J15",IF('📖 Review Tracker'!$J10="","J30",IF('📖 Review Tracker'!$K10="","J60","J90")))))),""))</f>
        <v/>
      </c>
      <c r="G11" s="1" t="str">
        <f aca="false">IF('📖 Review Tracker'!$C10="","",IF(OR('📖 Review Tracker'!$O10="🔴 OVERDUE",'📖 Review Tracker'!$O10="🟡 TODAY"),'📖 Review Tracker'!$O10,""))</f>
        <v/>
      </c>
      <c r="H11" s="1" t="str">
        <f aca="true">IF(I11="✅ Done",TEXT(TODAY(),"DD/MM/YYYY"),"")</f>
        <v/>
      </c>
    </row>
    <row r="12" customFormat="false" ht="15" hidden="false" customHeight="true" outlineLevel="0" collapsed="false">
      <c r="A12" s="1" t="str">
        <f aca="false">IF('📖 Review Tracker'!$C11="","",IF(OR('📖 Review Tracker'!$O11="🔴 OVERDUE",'📖 Review Tracker'!$O11="🟡 TODAY"),11,""))</f>
        <v/>
      </c>
      <c r="B12" s="1" t="str">
        <f aca="false">IF('📖 Review Tracker'!$C11="","",IF(OR('📖 Review Tracker'!$O11="🔴 OVERDUE",'📖 Review Tracker'!$O11="🟡 TODAY"),'📖 Review Tracker'!$A11,""))</f>
        <v/>
      </c>
      <c r="C12" s="1" t="str">
        <f aca="false">IF('📖 Review Tracker'!$C11="","",IF(OR('📖 Review Tracker'!$O11="🔴 OVERDUE",'📖 Review Tracker'!$O11="🟡 TODAY"),'📖 Review Tracker'!$C11,""))</f>
        <v/>
      </c>
      <c r="D12" s="1" t="str">
        <f aca="false">IF('📖 Review Tracker'!$C11="","",IF(OR('📖 Review Tracker'!$O11="🔴 OVERDUE",'📖 Review Tracker'!$O11="🟡 TODAY"),TEXT('📖 Review Tracker'!$M11,"DD/MM/YYYY"),""))</f>
        <v/>
      </c>
      <c r="E12" s="1" t="str">
        <f aca="false">IF('📖 Review Tracker'!$C11="","",IF(OR('📖 Review Tracker'!$O11="🔴 OVERDUE",'📖 Review Tracker'!$O11="🟡 TODAY"),'📖 Review Tracker'!$N11,""))</f>
        <v/>
      </c>
      <c r="F12" s="1" t="str">
        <f aca="false">IF('📖 Review Tracker'!$C11="","",IF(OR('📖 Review Tracker'!$O11="🔴 OVERDUE",'📖 Review Tracker'!$O11="🟡 TODAY"),IF('📖 Review Tracker'!$F11="","J1",IF('📖 Review Tracker'!$G11="","J3",IF('📖 Review Tracker'!$H11="","J7",IF('📖 Review Tracker'!$I11="","J15",IF('📖 Review Tracker'!$J11="","J30",IF('📖 Review Tracker'!$K11="","J60","J90")))))),""))</f>
        <v/>
      </c>
      <c r="G12" s="1" t="str">
        <f aca="false">IF('📖 Review Tracker'!$C11="","",IF(OR('📖 Review Tracker'!$O11="🔴 OVERDUE",'📖 Review Tracker'!$O11="🟡 TODAY"),'📖 Review Tracker'!$O11,""))</f>
        <v/>
      </c>
      <c r="H12" s="1" t="str">
        <f aca="true">IF(I12="✅ Done",TEXT(TODAY(),"DD/MM/YYYY"),"")</f>
        <v/>
      </c>
    </row>
    <row r="13" customFormat="false" ht="15" hidden="false" customHeight="true" outlineLevel="0" collapsed="false">
      <c r="A13" s="1" t="str">
        <f aca="false">IF('📖 Review Tracker'!$C12="","",IF(OR('📖 Review Tracker'!$O12="🔴 OVERDUE",'📖 Review Tracker'!$O12="🟡 TODAY"),12,""))</f>
        <v/>
      </c>
      <c r="B13" s="1" t="str">
        <f aca="false">IF('📖 Review Tracker'!$C12="","",IF(OR('📖 Review Tracker'!$O12="🔴 OVERDUE",'📖 Review Tracker'!$O12="🟡 TODAY"),'📖 Review Tracker'!$A12,""))</f>
        <v/>
      </c>
      <c r="C13" s="1" t="str">
        <f aca="false">IF('📖 Review Tracker'!$C12="","",IF(OR('📖 Review Tracker'!$O12="🔴 OVERDUE",'📖 Review Tracker'!$O12="🟡 TODAY"),'📖 Review Tracker'!$C12,""))</f>
        <v/>
      </c>
      <c r="D13" s="1" t="str">
        <f aca="false">IF('📖 Review Tracker'!$C12="","",IF(OR('📖 Review Tracker'!$O12="🔴 OVERDUE",'📖 Review Tracker'!$O12="🟡 TODAY"),TEXT('📖 Review Tracker'!$M12,"DD/MM/YYYY"),""))</f>
        <v/>
      </c>
      <c r="E13" s="1" t="str">
        <f aca="false">IF('📖 Review Tracker'!$C12="","",IF(OR('📖 Review Tracker'!$O12="🔴 OVERDUE",'📖 Review Tracker'!$O12="🟡 TODAY"),'📖 Review Tracker'!$N12,""))</f>
        <v/>
      </c>
      <c r="F13" s="1" t="str">
        <f aca="false">IF('📖 Review Tracker'!$C12="","",IF(OR('📖 Review Tracker'!$O12="🔴 OVERDUE",'📖 Review Tracker'!$O12="🟡 TODAY"),IF('📖 Review Tracker'!$F12="","J1",IF('📖 Review Tracker'!$G12="","J3",IF('📖 Review Tracker'!$H12="","J7",IF('📖 Review Tracker'!$I12="","J15",IF('📖 Review Tracker'!$J12="","J30",IF('📖 Review Tracker'!$K12="","J60","J90")))))),""))</f>
        <v/>
      </c>
      <c r="G13" s="1" t="str">
        <f aca="false">IF('📖 Review Tracker'!$C12="","",IF(OR('📖 Review Tracker'!$O12="🔴 OVERDUE",'📖 Review Tracker'!$O12="🟡 TODAY"),'📖 Review Tracker'!$O12,""))</f>
        <v/>
      </c>
      <c r="H13" s="1" t="str">
        <f aca="true">IF(I13="✅ Done",TEXT(TODAY(),"DD/MM/YYYY"),"")</f>
        <v/>
      </c>
    </row>
    <row r="14" customFormat="false" ht="15" hidden="false" customHeight="true" outlineLevel="0" collapsed="false">
      <c r="A14" s="1" t="str">
        <f aca="false">IF('📖 Review Tracker'!$C13="","",IF(OR('📖 Review Tracker'!$O13="🔴 OVERDUE",'📖 Review Tracker'!$O13="🟡 TODAY"),13,""))</f>
        <v/>
      </c>
      <c r="B14" s="1" t="str">
        <f aca="false">IF('📖 Review Tracker'!$C13="","",IF(OR('📖 Review Tracker'!$O13="🔴 OVERDUE",'📖 Review Tracker'!$O13="🟡 TODAY"),'📖 Review Tracker'!$A13,""))</f>
        <v/>
      </c>
      <c r="C14" s="1" t="str">
        <f aca="false">IF('📖 Review Tracker'!$C13="","",IF(OR('📖 Review Tracker'!$O13="🔴 OVERDUE",'📖 Review Tracker'!$O13="🟡 TODAY"),'📖 Review Tracker'!$C13,""))</f>
        <v/>
      </c>
      <c r="D14" s="1" t="str">
        <f aca="false">IF('📖 Review Tracker'!$C13="","",IF(OR('📖 Review Tracker'!$O13="🔴 OVERDUE",'📖 Review Tracker'!$O13="🟡 TODAY"),TEXT('📖 Review Tracker'!$M13,"DD/MM/YYYY"),""))</f>
        <v/>
      </c>
      <c r="E14" s="1" t="str">
        <f aca="false">IF('📖 Review Tracker'!$C13="","",IF(OR('📖 Review Tracker'!$O13="🔴 OVERDUE",'📖 Review Tracker'!$O13="🟡 TODAY"),'📖 Review Tracker'!$N13,""))</f>
        <v/>
      </c>
      <c r="F14" s="1" t="str">
        <f aca="false">IF('📖 Review Tracker'!$C13="","",IF(OR('📖 Review Tracker'!$O13="🔴 OVERDUE",'📖 Review Tracker'!$O13="🟡 TODAY"),IF('📖 Review Tracker'!$F13="","J1",IF('📖 Review Tracker'!$G13="","J3",IF('📖 Review Tracker'!$H13="","J7",IF('📖 Review Tracker'!$I13="","J15",IF('📖 Review Tracker'!$J13="","J30",IF('📖 Review Tracker'!$K13="","J60","J90")))))),""))</f>
        <v/>
      </c>
      <c r="G14" s="1" t="str">
        <f aca="false">IF('📖 Review Tracker'!$C13="","",IF(OR('📖 Review Tracker'!$O13="🔴 OVERDUE",'📖 Review Tracker'!$O13="🟡 TODAY"),'📖 Review Tracker'!$O13,""))</f>
        <v/>
      </c>
      <c r="H14" s="1" t="str">
        <f aca="true">IF(I14="✅ Done",TEXT(TODAY(),"DD/MM/YYYY"),"")</f>
        <v/>
      </c>
    </row>
    <row r="15" customFormat="false" ht="15" hidden="false" customHeight="true" outlineLevel="0" collapsed="false">
      <c r="A15" s="1" t="str">
        <f aca="false">IF('📖 Review Tracker'!$C14="","",IF(OR('📖 Review Tracker'!$O14="🔴 OVERDUE",'📖 Review Tracker'!$O14="🟡 TODAY"),14,""))</f>
        <v/>
      </c>
      <c r="B15" s="1" t="str">
        <f aca="false">IF('📖 Review Tracker'!$C14="","",IF(OR('📖 Review Tracker'!$O14="🔴 OVERDUE",'📖 Review Tracker'!$O14="🟡 TODAY"),'📖 Review Tracker'!$A14,""))</f>
        <v/>
      </c>
      <c r="C15" s="1" t="str">
        <f aca="false">IF('📖 Review Tracker'!$C14="","",IF(OR('📖 Review Tracker'!$O14="🔴 OVERDUE",'📖 Review Tracker'!$O14="🟡 TODAY"),'📖 Review Tracker'!$C14,""))</f>
        <v/>
      </c>
      <c r="D15" s="1" t="str">
        <f aca="false">IF('📖 Review Tracker'!$C14="","",IF(OR('📖 Review Tracker'!$O14="🔴 OVERDUE",'📖 Review Tracker'!$O14="🟡 TODAY"),TEXT('📖 Review Tracker'!$M14,"DD/MM/YYYY"),""))</f>
        <v/>
      </c>
      <c r="E15" s="1" t="str">
        <f aca="false">IF('📖 Review Tracker'!$C14="","",IF(OR('📖 Review Tracker'!$O14="🔴 OVERDUE",'📖 Review Tracker'!$O14="🟡 TODAY"),'📖 Review Tracker'!$N14,""))</f>
        <v/>
      </c>
      <c r="F15" s="1" t="str">
        <f aca="false">IF('📖 Review Tracker'!$C14="","",IF(OR('📖 Review Tracker'!$O14="🔴 OVERDUE",'📖 Review Tracker'!$O14="🟡 TODAY"),IF('📖 Review Tracker'!$F14="","J1",IF('📖 Review Tracker'!$G14="","J3",IF('📖 Review Tracker'!$H14="","J7",IF('📖 Review Tracker'!$I14="","J15",IF('📖 Review Tracker'!$J14="","J30",IF('📖 Review Tracker'!$K14="","J60","J90")))))),""))</f>
        <v/>
      </c>
      <c r="G15" s="1" t="str">
        <f aca="false">IF('📖 Review Tracker'!$C14="","",IF(OR('📖 Review Tracker'!$O14="🔴 OVERDUE",'📖 Review Tracker'!$O14="🟡 TODAY"),'📖 Review Tracker'!$O14,""))</f>
        <v/>
      </c>
      <c r="H15" s="1" t="str">
        <f aca="true">IF(I15="✅ Done",TEXT(TODAY(),"DD/MM/YYYY"),"")</f>
        <v/>
      </c>
    </row>
    <row r="16" customFormat="false" ht="15" hidden="false" customHeight="true" outlineLevel="0" collapsed="false">
      <c r="A16" s="1" t="str">
        <f aca="false">IF('📖 Review Tracker'!$C15="","",IF(OR('📖 Review Tracker'!$O15="🔴 OVERDUE",'📖 Review Tracker'!$O15="🟡 TODAY"),15,""))</f>
        <v/>
      </c>
      <c r="B16" s="1" t="str">
        <f aca="false">IF('📖 Review Tracker'!$C15="","",IF(OR('📖 Review Tracker'!$O15="🔴 OVERDUE",'📖 Review Tracker'!$O15="🟡 TODAY"),'📖 Review Tracker'!$A15,""))</f>
        <v/>
      </c>
      <c r="C16" s="1" t="str">
        <f aca="false">IF('📖 Review Tracker'!$C15="","",IF(OR('📖 Review Tracker'!$O15="🔴 OVERDUE",'📖 Review Tracker'!$O15="🟡 TODAY"),'📖 Review Tracker'!$C15,""))</f>
        <v/>
      </c>
      <c r="D16" s="1" t="str">
        <f aca="false">IF('📖 Review Tracker'!$C15="","",IF(OR('📖 Review Tracker'!$O15="🔴 OVERDUE",'📖 Review Tracker'!$O15="🟡 TODAY"),TEXT('📖 Review Tracker'!$M15,"DD/MM/YYYY"),""))</f>
        <v/>
      </c>
      <c r="E16" s="1" t="str">
        <f aca="false">IF('📖 Review Tracker'!$C15="","",IF(OR('📖 Review Tracker'!$O15="🔴 OVERDUE",'📖 Review Tracker'!$O15="🟡 TODAY"),'📖 Review Tracker'!$N15,""))</f>
        <v/>
      </c>
      <c r="F16" s="1" t="str">
        <f aca="false">IF('📖 Review Tracker'!$C15="","",IF(OR('📖 Review Tracker'!$O15="🔴 OVERDUE",'📖 Review Tracker'!$O15="🟡 TODAY"),IF('📖 Review Tracker'!$F15="","J1",IF('📖 Review Tracker'!$G15="","J3",IF('📖 Review Tracker'!$H15="","J7",IF('📖 Review Tracker'!$I15="","J15",IF('📖 Review Tracker'!$J15="","J30",IF('📖 Review Tracker'!$K15="","J60","J90")))))),""))</f>
        <v/>
      </c>
      <c r="G16" s="1" t="str">
        <f aca="false">IF('📖 Review Tracker'!$C15="","",IF(OR('📖 Review Tracker'!$O15="🔴 OVERDUE",'📖 Review Tracker'!$O15="🟡 TODAY"),'📖 Review Tracker'!$O15,""))</f>
        <v/>
      </c>
      <c r="H16" s="1" t="str">
        <f aca="true">IF(I16="✅ Done",TEXT(TODAY(),"DD/MM/YYYY"),"")</f>
        <v/>
      </c>
    </row>
    <row r="17" customFormat="false" ht="15" hidden="false" customHeight="true" outlineLevel="0" collapsed="false">
      <c r="A17" s="1" t="str">
        <f aca="false">IF('📖 Review Tracker'!$C16="","",IF(OR('📖 Review Tracker'!$O16="🔴 OVERDUE",'📖 Review Tracker'!$O16="🟡 TODAY"),16,""))</f>
        <v/>
      </c>
      <c r="B17" s="1" t="str">
        <f aca="false">IF('📖 Review Tracker'!$C16="","",IF(OR('📖 Review Tracker'!$O16="🔴 OVERDUE",'📖 Review Tracker'!$O16="🟡 TODAY"),'📖 Review Tracker'!$A16,""))</f>
        <v/>
      </c>
      <c r="C17" s="1" t="str">
        <f aca="false">IF('📖 Review Tracker'!$C16="","",IF(OR('📖 Review Tracker'!$O16="🔴 OVERDUE",'📖 Review Tracker'!$O16="🟡 TODAY"),'📖 Review Tracker'!$C16,""))</f>
        <v/>
      </c>
      <c r="D17" s="1" t="str">
        <f aca="false">IF('📖 Review Tracker'!$C16="","",IF(OR('📖 Review Tracker'!$O16="🔴 OVERDUE",'📖 Review Tracker'!$O16="🟡 TODAY"),TEXT('📖 Review Tracker'!$M16,"DD/MM/YYYY"),""))</f>
        <v/>
      </c>
      <c r="E17" s="1" t="str">
        <f aca="false">IF('📖 Review Tracker'!$C16="","",IF(OR('📖 Review Tracker'!$O16="🔴 OVERDUE",'📖 Review Tracker'!$O16="🟡 TODAY"),'📖 Review Tracker'!$N16,""))</f>
        <v/>
      </c>
      <c r="F17" s="1" t="str">
        <f aca="false">IF('📖 Review Tracker'!$C16="","",IF(OR('📖 Review Tracker'!$O16="🔴 OVERDUE",'📖 Review Tracker'!$O16="🟡 TODAY"),IF('📖 Review Tracker'!$F16="","J1",IF('📖 Review Tracker'!$G16="","J3",IF('📖 Review Tracker'!$H16="","J7",IF('📖 Review Tracker'!$I16="","J15",IF('📖 Review Tracker'!$J16="","J30",IF('📖 Review Tracker'!$K16="","J60","J90")))))),""))</f>
        <v/>
      </c>
      <c r="G17" s="1" t="str">
        <f aca="false">IF('📖 Review Tracker'!$C16="","",IF(OR('📖 Review Tracker'!$O16="🔴 OVERDUE",'📖 Review Tracker'!$O16="🟡 TODAY"),'📖 Review Tracker'!$O16,""))</f>
        <v/>
      </c>
      <c r="H17" s="1" t="str">
        <f aca="true">IF(I17="✅ Done",TEXT(TODAY(),"DD/MM/YYYY"),"")</f>
        <v/>
      </c>
    </row>
    <row r="18" customFormat="false" ht="15" hidden="false" customHeight="true" outlineLevel="0" collapsed="false">
      <c r="A18" s="1" t="str">
        <f aca="false">IF('📖 Review Tracker'!$C17="","",IF(OR('📖 Review Tracker'!$O17="🔴 OVERDUE",'📖 Review Tracker'!$O17="🟡 TODAY"),17,""))</f>
        <v/>
      </c>
      <c r="B18" s="1" t="str">
        <f aca="false">IF('📖 Review Tracker'!$C17="","",IF(OR('📖 Review Tracker'!$O17="🔴 OVERDUE",'📖 Review Tracker'!$O17="🟡 TODAY"),'📖 Review Tracker'!$A17,""))</f>
        <v/>
      </c>
      <c r="C18" s="1" t="str">
        <f aca="false">IF('📖 Review Tracker'!$C17="","",IF(OR('📖 Review Tracker'!$O17="🔴 OVERDUE",'📖 Review Tracker'!$O17="🟡 TODAY"),'📖 Review Tracker'!$C17,""))</f>
        <v/>
      </c>
      <c r="D18" s="1" t="str">
        <f aca="false">IF('📖 Review Tracker'!$C17="","",IF(OR('📖 Review Tracker'!$O17="🔴 OVERDUE",'📖 Review Tracker'!$O17="🟡 TODAY"),TEXT('📖 Review Tracker'!$M17,"DD/MM/YYYY"),""))</f>
        <v/>
      </c>
      <c r="E18" s="1" t="str">
        <f aca="false">IF('📖 Review Tracker'!$C17="","",IF(OR('📖 Review Tracker'!$O17="🔴 OVERDUE",'📖 Review Tracker'!$O17="🟡 TODAY"),'📖 Review Tracker'!$N17,""))</f>
        <v/>
      </c>
      <c r="F18" s="1" t="str">
        <f aca="false">IF('📖 Review Tracker'!$C17="","",IF(OR('📖 Review Tracker'!$O17="🔴 OVERDUE",'📖 Review Tracker'!$O17="🟡 TODAY"),IF('📖 Review Tracker'!$F17="","J1",IF('📖 Review Tracker'!$G17="","J3",IF('📖 Review Tracker'!$H17="","J7",IF('📖 Review Tracker'!$I17="","J15",IF('📖 Review Tracker'!$J17="","J30",IF('📖 Review Tracker'!$K17="","J60","J90")))))),""))</f>
        <v/>
      </c>
      <c r="G18" s="1" t="str">
        <f aca="false">IF('📖 Review Tracker'!$C17="","",IF(OR('📖 Review Tracker'!$O17="🔴 OVERDUE",'📖 Review Tracker'!$O17="🟡 TODAY"),'📖 Review Tracker'!$O17,""))</f>
        <v/>
      </c>
      <c r="H18" s="1" t="str">
        <f aca="true">IF(I18="✅ Done",TEXT(TODAY(),"DD/MM/YYYY"),"")</f>
        <v/>
      </c>
    </row>
    <row r="19" customFormat="false" ht="15" hidden="false" customHeight="true" outlineLevel="0" collapsed="false">
      <c r="A19" s="1" t="str">
        <f aca="false">IF('📖 Review Tracker'!$C18="","",IF(OR('📖 Review Tracker'!$O18="🔴 OVERDUE",'📖 Review Tracker'!$O18="🟡 TODAY"),18,""))</f>
        <v/>
      </c>
      <c r="B19" s="1" t="str">
        <f aca="false">IF('📖 Review Tracker'!$C18="","",IF(OR('📖 Review Tracker'!$O18="🔴 OVERDUE",'📖 Review Tracker'!$O18="🟡 TODAY"),'📖 Review Tracker'!$A18,""))</f>
        <v/>
      </c>
      <c r="C19" s="1" t="str">
        <f aca="false">IF('📖 Review Tracker'!$C18="","",IF(OR('📖 Review Tracker'!$O18="🔴 OVERDUE",'📖 Review Tracker'!$O18="🟡 TODAY"),'📖 Review Tracker'!$C18,""))</f>
        <v/>
      </c>
      <c r="D19" s="1" t="str">
        <f aca="false">IF('📖 Review Tracker'!$C18="","",IF(OR('📖 Review Tracker'!$O18="🔴 OVERDUE",'📖 Review Tracker'!$O18="🟡 TODAY"),TEXT('📖 Review Tracker'!$M18,"DD/MM/YYYY"),""))</f>
        <v/>
      </c>
      <c r="E19" s="1" t="str">
        <f aca="false">IF('📖 Review Tracker'!$C18="","",IF(OR('📖 Review Tracker'!$O18="🔴 OVERDUE",'📖 Review Tracker'!$O18="🟡 TODAY"),'📖 Review Tracker'!$N18,""))</f>
        <v/>
      </c>
      <c r="F19" s="1" t="str">
        <f aca="false">IF('📖 Review Tracker'!$C18="","",IF(OR('📖 Review Tracker'!$O18="🔴 OVERDUE",'📖 Review Tracker'!$O18="🟡 TODAY"),IF('📖 Review Tracker'!$F18="","J1",IF('📖 Review Tracker'!$G18="","J3",IF('📖 Review Tracker'!$H18="","J7",IF('📖 Review Tracker'!$I18="","J15",IF('📖 Review Tracker'!$J18="","J30",IF('📖 Review Tracker'!$K18="","J60","J90")))))),""))</f>
        <v/>
      </c>
      <c r="G19" s="1" t="str">
        <f aca="false">IF('📖 Review Tracker'!$C18="","",IF(OR('📖 Review Tracker'!$O18="🔴 OVERDUE",'📖 Review Tracker'!$O18="🟡 TODAY"),'📖 Review Tracker'!$O18,""))</f>
        <v/>
      </c>
      <c r="H19" s="1" t="str">
        <f aca="true">IF(I19="✅ Done",TEXT(TODAY(),"DD/MM/YYYY"),"")</f>
        <v/>
      </c>
    </row>
    <row r="20" customFormat="false" ht="15" hidden="false" customHeight="true" outlineLevel="0" collapsed="false">
      <c r="A20" s="1" t="str">
        <f aca="false">IF('📖 Review Tracker'!$C19="","",IF(OR('📖 Review Tracker'!$O19="🔴 OVERDUE",'📖 Review Tracker'!$O19="🟡 TODAY"),19,""))</f>
        <v/>
      </c>
      <c r="B20" s="1" t="str">
        <f aca="false">IF('📖 Review Tracker'!$C19="","",IF(OR('📖 Review Tracker'!$O19="🔴 OVERDUE",'📖 Review Tracker'!$O19="🟡 TODAY"),'📖 Review Tracker'!$A19,""))</f>
        <v/>
      </c>
      <c r="C20" s="1" t="str">
        <f aca="false">IF('📖 Review Tracker'!$C19="","",IF(OR('📖 Review Tracker'!$O19="🔴 OVERDUE",'📖 Review Tracker'!$O19="🟡 TODAY"),'📖 Review Tracker'!$C19,""))</f>
        <v/>
      </c>
      <c r="D20" s="1" t="str">
        <f aca="false">IF('📖 Review Tracker'!$C19="","",IF(OR('📖 Review Tracker'!$O19="🔴 OVERDUE",'📖 Review Tracker'!$O19="🟡 TODAY"),TEXT('📖 Review Tracker'!$M19,"DD/MM/YYYY"),""))</f>
        <v/>
      </c>
      <c r="E20" s="1" t="str">
        <f aca="false">IF('📖 Review Tracker'!$C19="","",IF(OR('📖 Review Tracker'!$O19="🔴 OVERDUE",'📖 Review Tracker'!$O19="🟡 TODAY"),'📖 Review Tracker'!$N19,""))</f>
        <v/>
      </c>
      <c r="F20" s="1" t="str">
        <f aca="false">IF('📖 Review Tracker'!$C19="","",IF(OR('📖 Review Tracker'!$O19="🔴 OVERDUE",'📖 Review Tracker'!$O19="🟡 TODAY"),IF('📖 Review Tracker'!$F19="","J1",IF('📖 Review Tracker'!$G19="","J3",IF('📖 Review Tracker'!$H19="","J7",IF('📖 Review Tracker'!$I19="","J15",IF('📖 Review Tracker'!$J19="","J30",IF('📖 Review Tracker'!$K19="","J60","J90")))))),""))</f>
        <v/>
      </c>
      <c r="G20" s="1" t="str">
        <f aca="false">IF('📖 Review Tracker'!$C19="","",IF(OR('📖 Review Tracker'!$O19="🔴 OVERDUE",'📖 Review Tracker'!$O19="🟡 TODAY"),'📖 Review Tracker'!$O19,""))</f>
        <v/>
      </c>
      <c r="H20" s="1" t="str">
        <f aca="true">IF(I20="✅ Done",TEXT(TODAY(),"DD/MM/YYYY"),"")</f>
        <v/>
      </c>
    </row>
    <row r="21" customFormat="false" ht="15" hidden="false" customHeight="true" outlineLevel="0" collapsed="false">
      <c r="A21" s="1" t="str">
        <f aca="false">IF('📖 Review Tracker'!$C20="","",IF(OR('📖 Review Tracker'!$O20="🔴 OVERDUE",'📖 Review Tracker'!$O20="🟡 TODAY"),20,""))</f>
        <v/>
      </c>
      <c r="B21" s="1" t="str">
        <f aca="false">IF('📖 Review Tracker'!$C20="","",IF(OR('📖 Review Tracker'!$O20="🔴 OVERDUE",'📖 Review Tracker'!$O20="🟡 TODAY"),'📖 Review Tracker'!$A20,""))</f>
        <v/>
      </c>
      <c r="C21" s="1" t="str">
        <f aca="false">IF('📖 Review Tracker'!$C20="","",IF(OR('📖 Review Tracker'!$O20="🔴 OVERDUE",'📖 Review Tracker'!$O20="🟡 TODAY"),'📖 Review Tracker'!$C20,""))</f>
        <v/>
      </c>
      <c r="D21" s="1" t="str">
        <f aca="false">IF('📖 Review Tracker'!$C20="","",IF(OR('📖 Review Tracker'!$O20="🔴 OVERDUE",'📖 Review Tracker'!$O20="🟡 TODAY"),TEXT('📖 Review Tracker'!$M20,"DD/MM/YYYY"),""))</f>
        <v/>
      </c>
      <c r="E21" s="1" t="str">
        <f aca="false">IF('📖 Review Tracker'!$C20="","",IF(OR('📖 Review Tracker'!$O20="🔴 OVERDUE",'📖 Review Tracker'!$O20="🟡 TODAY"),'📖 Review Tracker'!$N20,""))</f>
        <v/>
      </c>
      <c r="F21" s="1" t="str">
        <f aca="false">IF('📖 Review Tracker'!$C20="","",IF(OR('📖 Review Tracker'!$O20="🔴 OVERDUE",'📖 Review Tracker'!$O20="🟡 TODAY"),IF('📖 Review Tracker'!$F20="","J1",IF('📖 Review Tracker'!$G20="","J3",IF('📖 Review Tracker'!$H20="","J7",IF('📖 Review Tracker'!$I20="","J15",IF('📖 Review Tracker'!$J20="","J30",IF('📖 Review Tracker'!$K20="","J60","J90")))))),""))</f>
        <v/>
      </c>
      <c r="G21" s="1" t="str">
        <f aca="false">IF('📖 Review Tracker'!$C20="","",IF(OR('📖 Review Tracker'!$O20="🔴 OVERDUE",'📖 Review Tracker'!$O20="🟡 TODAY"),'📖 Review Tracker'!$O20,""))</f>
        <v/>
      </c>
      <c r="H21" s="1" t="str">
        <f aca="true">IF(I21="✅ Done",TEXT(TODAY(),"DD/MM/YYYY"),"")</f>
        <v/>
      </c>
    </row>
    <row r="22" customFormat="false" ht="15" hidden="false" customHeight="true" outlineLevel="0" collapsed="false">
      <c r="A22" s="1" t="str">
        <f aca="false">IF('📖 Review Tracker'!$C21="","",IF(OR('📖 Review Tracker'!$O21="🔴 OVERDUE",'📖 Review Tracker'!$O21="🟡 TODAY"),21,""))</f>
        <v/>
      </c>
      <c r="B22" s="1" t="str">
        <f aca="false">IF('📖 Review Tracker'!$C21="","",IF(OR('📖 Review Tracker'!$O21="🔴 OVERDUE",'📖 Review Tracker'!$O21="🟡 TODAY"),'📖 Review Tracker'!$A21,""))</f>
        <v/>
      </c>
      <c r="C22" s="1" t="str">
        <f aca="false">IF('📖 Review Tracker'!$C21="","",IF(OR('📖 Review Tracker'!$O21="🔴 OVERDUE",'📖 Review Tracker'!$O21="🟡 TODAY"),'📖 Review Tracker'!$C21,""))</f>
        <v/>
      </c>
      <c r="D22" s="1" t="str">
        <f aca="false">IF('📖 Review Tracker'!$C21="","",IF(OR('📖 Review Tracker'!$O21="🔴 OVERDUE",'📖 Review Tracker'!$O21="🟡 TODAY"),TEXT('📖 Review Tracker'!$M21,"DD/MM/YYYY"),""))</f>
        <v/>
      </c>
      <c r="E22" s="1" t="str">
        <f aca="false">IF('📖 Review Tracker'!$C21="","",IF(OR('📖 Review Tracker'!$O21="🔴 OVERDUE",'📖 Review Tracker'!$O21="🟡 TODAY"),'📖 Review Tracker'!$N21,""))</f>
        <v/>
      </c>
      <c r="F22" s="1" t="str">
        <f aca="false">IF('📖 Review Tracker'!$C21="","",IF(OR('📖 Review Tracker'!$O21="🔴 OVERDUE",'📖 Review Tracker'!$O21="🟡 TODAY"),IF('📖 Review Tracker'!$F21="","J1",IF('📖 Review Tracker'!$G21="","J3",IF('📖 Review Tracker'!$H21="","J7",IF('📖 Review Tracker'!$I21="","J15",IF('📖 Review Tracker'!$J21="","J30",IF('📖 Review Tracker'!$K21="","J60","J90")))))),""))</f>
        <v/>
      </c>
      <c r="G22" s="1" t="str">
        <f aca="false">IF('📖 Review Tracker'!$C21="","",IF(OR('📖 Review Tracker'!$O21="🔴 OVERDUE",'📖 Review Tracker'!$O21="🟡 TODAY"),'📖 Review Tracker'!$O21,""))</f>
        <v/>
      </c>
      <c r="H22" s="1" t="str">
        <f aca="true">IF(I22="✅ Done",TEXT(TODAY(),"DD/MM/YYYY"),"")</f>
        <v/>
      </c>
    </row>
    <row r="23" customFormat="false" ht="15" hidden="false" customHeight="true" outlineLevel="0" collapsed="false">
      <c r="A23" s="1" t="str">
        <f aca="false">IF('📖 Review Tracker'!$C22="","",IF(OR('📖 Review Tracker'!$O22="🔴 OVERDUE",'📖 Review Tracker'!$O22="🟡 TODAY"),22,""))</f>
        <v/>
      </c>
      <c r="B23" s="1" t="str">
        <f aca="false">IF('📖 Review Tracker'!$C22="","",IF(OR('📖 Review Tracker'!$O22="🔴 OVERDUE",'📖 Review Tracker'!$O22="🟡 TODAY"),'📖 Review Tracker'!$A22,""))</f>
        <v/>
      </c>
      <c r="C23" s="1" t="str">
        <f aca="false">IF('📖 Review Tracker'!$C22="","",IF(OR('📖 Review Tracker'!$O22="🔴 OVERDUE",'📖 Review Tracker'!$O22="🟡 TODAY"),'📖 Review Tracker'!$C22,""))</f>
        <v/>
      </c>
      <c r="D23" s="1" t="str">
        <f aca="false">IF('📖 Review Tracker'!$C22="","",IF(OR('📖 Review Tracker'!$O22="🔴 OVERDUE",'📖 Review Tracker'!$O22="🟡 TODAY"),TEXT('📖 Review Tracker'!$M22,"DD/MM/YYYY"),""))</f>
        <v/>
      </c>
      <c r="E23" s="1" t="str">
        <f aca="false">IF('📖 Review Tracker'!$C22="","",IF(OR('📖 Review Tracker'!$O22="🔴 OVERDUE",'📖 Review Tracker'!$O22="🟡 TODAY"),'📖 Review Tracker'!$N22,""))</f>
        <v/>
      </c>
      <c r="F23" s="1" t="str">
        <f aca="false">IF('📖 Review Tracker'!$C22="","",IF(OR('📖 Review Tracker'!$O22="🔴 OVERDUE",'📖 Review Tracker'!$O22="🟡 TODAY"),IF('📖 Review Tracker'!$F22="","J1",IF('📖 Review Tracker'!$G22="","J3",IF('📖 Review Tracker'!$H22="","J7",IF('📖 Review Tracker'!$I22="","J15",IF('📖 Review Tracker'!$J22="","J30",IF('📖 Review Tracker'!$K22="","J60","J90")))))),""))</f>
        <v/>
      </c>
      <c r="G23" s="1" t="str">
        <f aca="false">IF('📖 Review Tracker'!$C22="","",IF(OR('📖 Review Tracker'!$O22="🔴 OVERDUE",'📖 Review Tracker'!$O22="🟡 TODAY"),'📖 Review Tracker'!$O22,""))</f>
        <v/>
      </c>
      <c r="H23" s="1" t="str">
        <f aca="true">IF(I23="✅ Done",TEXT(TODAY(),"DD/MM/YYYY"),"")</f>
        <v/>
      </c>
    </row>
    <row r="24" customFormat="false" ht="15" hidden="false" customHeight="true" outlineLevel="0" collapsed="false">
      <c r="A24" s="1" t="str">
        <f aca="false">IF('📖 Review Tracker'!$C23="","",IF(OR('📖 Review Tracker'!$O23="🔴 OVERDUE",'📖 Review Tracker'!$O23="🟡 TODAY"),23,""))</f>
        <v/>
      </c>
      <c r="B24" s="1" t="str">
        <f aca="false">IF('📖 Review Tracker'!$C23="","",IF(OR('📖 Review Tracker'!$O23="🔴 OVERDUE",'📖 Review Tracker'!$O23="🟡 TODAY"),'📖 Review Tracker'!$A23,""))</f>
        <v/>
      </c>
      <c r="C24" s="1" t="str">
        <f aca="false">IF('📖 Review Tracker'!$C23="","",IF(OR('📖 Review Tracker'!$O23="🔴 OVERDUE",'📖 Review Tracker'!$O23="🟡 TODAY"),'📖 Review Tracker'!$C23,""))</f>
        <v/>
      </c>
      <c r="D24" s="1" t="str">
        <f aca="false">IF('📖 Review Tracker'!$C23="","",IF(OR('📖 Review Tracker'!$O23="🔴 OVERDUE",'📖 Review Tracker'!$O23="🟡 TODAY"),TEXT('📖 Review Tracker'!$M23,"DD/MM/YYYY"),""))</f>
        <v/>
      </c>
      <c r="E24" s="1" t="str">
        <f aca="false">IF('📖 Review Tracker'!$C23="","",IF(OR('📖 Review Tracker'!$O23="🔴 OVERDUE",'📖 Review Tracker'!$O23="🟡 TODAY"),'📖 Review Tracker'!$N23,""))</f>
        <v/>
      </c>
      <c r="F24" s="1" t="str">
        <f aca="false">IF('📖 Review Tracker'!$C23="","",IF(OR('📖 Review Tracker'!$O23="🔴 OVERDUE",'📖 Review Tracker'!$O23="🟡 TODAY"),IF('📖 Review Tracker'!$F23="","J1",IF('📖 Review Tracker'!$G23="","J3",IF('📖 Review Tracker'!$H23="","J7",IF('📖 Review Tracker'!$I23="","J15",IF('📖 Review Tracker'!$J23="","J30",IF('📖 Review Tracker'!$K23="","J60","J90")))))),""))</f>
        <v/>
      </c>
      <c r="G24" s="1" t="str">
        <f aca="false">IF('📖 Review Tracker'!$C23="","",IF(OR('📖 Review Tracker'!$O23="🔴 OVERDUE",'📖 Review Tracker'!$O23="🟡 TODAY"),'📖 Review Tracker'!$O23,""))</f>
        <v/>
      </c>
      <c r="H24" s="1" t="str">
        <f aca="true">IF(I24="✅ Done",TEXT(TODAY(),"DD/MM/YYYY"),"")</f>
        <v/>
      </c>
    </row>
    <row r="25" customFormat="false" ht="15" hidden="false" customHeight="true" outlineLevel="0" collapsed="false">
      <c r="A25" s="1" t="str">
        <f aca="false">IF('📖 Review Tracker'!$C24="","",IF(OR('📖 Review Tracker'!$O24="🔴 OVERDUE",'📖 Review Tracker'!$O24="🟡 TODAY"),24,""))</f>
        <v/>
      </c>
      <c r="B25" s="1" t="str">
        <f aca="false">IF('📖 Review Tracker'!$C24="","",IF(OR('📖 Review Tracker'!$O24="🔴 OVERDUE",'📖 Review Tracker'!$O24="🟡 TODAY"),'📖 Review Tracker'!$A24,""))</f>
        <v/>
      </c>
      <c r="C25" s="1" t="str">
        <f aca="false">IF('📖 Review Tracker'!$C24="","",IF(OR('📖 Review Tracker'!$O24="🔴 OVERDUE",'📖 Review Tracker'!$O24="🟡 TODAY"),'📖 Review Tracker'!$C24,""))</f>
        <v/>
      </c>
      <c r="D25" s="1" t="str">
        <f aca="false">IF('📖 Review Tracker'!$C24="","",IF(OR('📖 Review Tracker'!$O24="🔴 OVERDUE",'📖 Review Tracker'!$O24="🟡 TODAY"),TEXT('📖 Review Tracker'!$M24,"DD/MM/YYYY"),""))</f>
        <v/>
      </c>
      <c r="E25" s="1" t="str">
        <f aca="false">IF('📖 Review Tracker'!$C24="","",IF(OR('📖 Review Tracker'!$O24="🔴 OVERDUE",'📖 Review Tracker'!$O24="🟡 TODAY"),'📖 Review Tracker'!$N24,""))</f>
        <v/>
      </c>
      <c r="F25" s="1" t="str">
        <f aca="false">IF('📖 Review Tracker'!$C24="","",IF(OR('📖 Review Tracker'!$O24="🔴 OVERDUE",'📖 Review Tracker'!$O24="🟡 TODAY"),IF('📖 Review Tracker'!$F24="","J1",IF('📖 Review Tracker'!$G24="","J3",IF('📖 Review Tracker'!$H24="","J7",IF('📖 Review Tracker'!$I24="","J15",IF('📖 Review Tracker'!$J24="","J30",IF('📖 Review Tracker'!$K24="","J60","J90")))))),""))</f>
        <v/>
      </c>
      <c r="G25" s="1" t="str">
        <f aca="false">IF('📖 Review Tracker'!$C24="","",IF(OR('📖 Review Tracker'!$O24="🔴 OVERDUE",'📖 Review Tracker'!$O24="🟡 TODAY"),'📖 Review Tracker'!$O24,""))</f>
        <v/>
      </c>
      <c r="H25" s="1" t="str">
        <f aca="true">IF(I25="✅ Done",TEXT(TODAY(),"DD/MM/YYYY"),"")</f>
        <v/>
      </c>
    </row>
    <row r="26" customFormat="false" ht="15" hidden="false" customHeight="true" outlineLevel="0" collapsed="false">
      <c r="A26" s="1" t="str">
        <f aca="false">IF('📖 Review Tracker'!$C25="","",IF(OR('📖 Review Tracker'!$O25="🔴 OVERDUE",'📖 Review Tracker'!$O25="🟡 TODAY"),25,""))</f>
        <v/>
      </c>
      <c r="B26" s="1" t="str">
        <f aca="false">IF('📖 Review Tracker'!$C25="","",IF(OR('📖 Review Tracker'!$O25="🔴 OVERDUE",'📖 Review Tracker'!$O25="🟡 TODAY"),'📖 Review Tracker'!$A25,""))</f>
        <v/>
      </c>
      <c r="C26" s="1" t="str">
        <f aca="false">IF('📖 Review Tracker'!$C25="","",IF(OR('📖 Review Tracker'!$O25="🔴 OVERDUE",'📖 Review Tracker'!$O25="🟡 TODAY"),'📖 Review Tracker'!$C25,""))</f>
        <v/>
      </c>
      <c r="D26" s="1" t="str">
        <f aca="false">IF('📖 Review Tracker'!$C25="","",IF(OR('📖 Review Tracker'!$O25="🔴 OVERDUE",'📖 Review Tracker'!$O25="🟡 TODAY"),TEXT('📖 Review Tracker'!$M25,"DD/MM/YYYY"),""))</f>
        <v/>
      </c>
      <c r="E26" s="1" t="str">
        <f aca="false">IF('📖 Review Tracker'!$C25="","",IF(OR('📖 Review Tracker'!$O25="🔴 OVERDUE",'📖 Review Tracker'!$O25="🟡 TODAY"),'📖 Review Tracker'!$N25,""))</f>
        <v/>
      </c>
      <c r="F26" s="1" t="str">
        <f aca="false">IF('📖 Review Tracker'!$C25="","",IF(OR('📖 Review Tracker'!$O25="🔴 OVERDUE",'📖 Review Tracker'!$O25="🟡 TODAY"),IF('📖 Review Tracker'!$F25="","J1",IF('📖 Review Tracker'!$G25="","J3",IF('📖 Review Tracker'!$H25="","J7",IF('📖 Review Tracker'!$I25="","J15",IF('📖 Review Tracker'!$J25="","J30",IF('📖 Review Tracker'!$K25="","J60","J90")))))),""))</f>
        <v/>
      </c>
      <c r="G26" s="1" t="str">
        <f aca="false">IF('📖 Review Tracker'!$C25="","",IF(OR('📖 Review Tracker'!$O25="🔴 OVERDUE",'📖 Review Tracker'!$O25="🟡 TODAY"),'📖 Review Tracker'!$O25,""))</f>
        <v/>
      </c>
      <c r="H26" s="1" t="str">
        <f aca="true">IF(I26="✅ Done",TEXT(TODAY(),"DD/MM/YYYY"),"")</f>
        <v/>
      </c>
    </row>
    <row r="27" customFormat="false" ht="15" hidden="false" customHeight="true" outlineLevel="0" collapsed="false">
      <c r="A27" s="1" t="str">
        <f aca="false">IF('📖 Review Tracker'!$C26="","",IF(OR('📖 Review Tracker'!$O26="🔴 OVERDUE",'📖 Review Tracker'!$O26="🟡 TODAY"),26,""))</f>
        <v/>
      </c>
      <c r="B27" s="1" t="str">
        <f aca="false">IF('📖 Review Tracker'!$C26="","",IF(OR('📖 Review Tracker'!$O26="🔴 OVERDUE",'📖 Review Tracker'!$O26="🟡 TODAY"),'📖 Review Tracker'!$A26,""))</f>
        <v/>
      </c>
      <c r="C27" s="1" t="str">
        <f aca="false">IF('📖 Review Tracker'!$C26="","",IF(OR('📖 Review Tracker'!$O26="🔴 OVERDUE",'📖 Review Tracker'!$O26="🟡 TODAY"),'📖 Review Tracker'!$C26,""))</f>
        <v/>
      </c>
      <c r="D27" s="1" t="str">
        <f aca="false">IF('📖 Review Tracker'!$C26="","",IF(OR('📖 Review Tracker'!$O26="🔴 OVERDUE",'📖 Review Tracker'!$O26="🟡 TODAY"),TEXT('📖 Review Tracker'!$M26,"DD/MM/YYYY"),""))</f>
        <v/>
      </c>
      <c r="E27" s="1" t="str">
        <f aca="false">IF('📖 Review Tracker'!$C26="","",IF(OR('📖 Review Tracker'!$O26="🔴 OVERDUE",'📖 Review Tracker'!$O26="🟡 TODAY"),'📖 Review Tracker'!$N26,""))</f>
        <v/>
      </c>
      <c r="F27" s="1" t="str">
        <f aca="false">IF('📖 Review Tracker'!$C26="","",IF(OR('📖 Review Tracker'!$O26="🔴 OVERDUE",'📖 Review Tracker'!$O26="🟡 TODAY"),IF('📖 Review Tracker'!$F26="","J1",IF('📖 Review Tracker'!$G26="","J3",IF('📖 Review Tracker'!$H26="","J7",IF('📖 Review Tracker'!$I26="","J15",IF('📖 Review Tracker'!$J26="","J30",IF('📖 Review Tracker'!$K26="","J60","J90")))))),""))</f>
        <v/>
      </c>
      <c r="G27" s="1" t="str">
        <f aca="false">IF('📖 Review Tracker'!$C26="","",IF(OR('📖 Review Tracker'!$O26="🔴 OVERDUE",'📖 Review Tracker'!$O26="🟡 TODAY"),'📖 Review Tracker'!$O26,""))</f>
        <v/>
      </c>
      <c r="H27" s="1" t="str">
        <f aca="true">IF(I27="✅ Done",TEXT(TODAY(),"DD/MM/YYYY"),"")</f>
        <v/>
      </c>
    </row>
    <row r="28" customFormat="false" ht="15" hidden="false" customHeight="true" outlineLevel="0" collapsed="false">
      <c r="A28" s="1" t="str">
        <f aca="false">IF('📖 Review Tracker'!$C27="","",IF(OR('📖 Review Tracker'!$O27="🔴 OVERDUE",'📖 Review Tracker'!$O27="🟡 TODAY"),27,""))</f>
        <v/>
      </c>
      <c r="B28" s="1" t="str">
        <f aca="false">IF('📖 Review Tracker'!$C27="","",IF(OR('📖 Review Tracker'!$O27="🔴 OVERDUE",'📖 Review Tracker'!$O27="🟡 TODAY"),'📖 Review Tracker'!$A27,""))</f>
        <v/>
      </c>
      <c r="C28" s="1" t="str">
        <f aca="false">IF('📖 Review Tracker'!$C27="","",IF(OR('📖 Review Tracker'!$O27="🔴 OVERDUE",'📖 Review Tracker'!$O27="🟡 TODAY"),'📖 Review Tracker'!$C27,""))</f>
        <v/>
      </c>
      <c r="D28" s="1" t="str">
        <f aca="false">IF('📖 Review Tracker'!$C27="","",IF(OR('📖 Review Tracker'!$O27="🔴 OVERDUE",'📖 Review Tracker'!$O27="🟡 TODAY"),TEXT('📖 Review Tracker'!$M27,"DD/MM/YYYY"),""))</f>
        <v/>
      </c>
      <c r="E28" s="1" t="str">
        <f aca="false">IF('📖 Review Tracker'!$C27="","",IF(OR('📖 Review Tracker'!$O27="🔴 OVERDUE",'📖 Review Tracker'!$O27="🟡 TODAY"),'📖 Review Tracker'!$N27,""))</f>
        <v/>
      </c>
      <c r="F28" s="1" t="str">
        <f aca="false">IF('📖 Review Tracker'!$C27="","",IF(OR('📖 Review Tracker'!$O27="🔴 OVERDUE",'📖 Review Tracker'!$O27="🟡 TODAY"),IF('📖 Review Tracker'!$F27="","J1",IF('📖 Review Tracker'!$G27="","J3",IF('📖 Review Tracker'!$H27="","J7",IF('📖 Review Tracker'!$I27="","J15",IF('📖 Review Tracker'!$J27="","J30",IF('📖 Review Tracker'!$K27="","J60","J90")))))),""))</f>
        <v/>
      </c>
      <c r="G28" s="1" t="str">
        <f aca="false">IF('📖 Review Tracker'!$C27="","",IF(OR('📖 Review Tracker'!$O27="🔴 OVERDUE",'📖 Review Tracker'!$O27="🟡 TODAY"),'📖 Review Tracker'!$O27,""))</f>
        <v/>
      </c>
      <c r="H28" s="1" t="str">
        <f aca="true">IF(I28="✅ Done",TEXT(TODAY(),"DD/MM/YYYY"),"")</f>
        <v/>
      </c>
    </row>
    <row r="29" customFormat="false" ht="15" hidden="false" customHeight="true" outlineLevel="0" collapsed="false">
      <c r="A29" s="1" t="str">
        <f aca="false">IF('📖 Review Tracker'!$C28="","",IF(OR('📖 Review Tracker'!$O28="🔴 OVERDUE",'📖 Review Tracker'!$O28="🟡 TODAY"),28,""))</f>
        <v/>
      </c>
      <c r="B29" s="1" t="str">
        <f aca="false">IF('📖 Review Tracker'!$C28="","",IF(OR('📖 Review Tracker'!$O28="🔴 OVERDUE",'📖 Review Tracker'!$O28="🟡 TODAY"),'📖 Review Tracker'!$A28,""))</f>
        <v/>
      </c>
      <c r="C29" s="1" t="str">
        <f aca="false">IF('📖 Review Tracker'!$C28="","",IF(OR('📖 Review Tracker'!$O28="🔴 OVERDUE",'📖 Review Tracker'!$O28="🟡 TODAY"),'📖 Review Tracker'!$C28,""))</f>
        <v/>
      </c>
      <c r="D29" s="1" t="str">
        <f aca="false">IF('📖 Review Tracker'!$C28="","",IF(OR('📖 Review Tracker'!$O28="🔴 OVERDUE",'📖 Review Tracker'!$O28="🟡 TODAY"),TEXT('📖 Review Tracker'!$M28,"DD/MM/YYYY"),""))</f>
        <v/>
      </c>
      <c r="E29" s="1" t="str">
        <f aca="false">IF('📖 Review Tracker'!$C28="","",IF(OR('📖 Review Tracker'!$O28="🔴 OVERDUE",'📖 Review Tracker'!$O28="🟡 TODAY"),'📖 Review Tracker'!$N28,""))</f>
        <v/>
      </c>
      <c r="F29" s="1" t="str">
        <f aca="false">IF('📖 Review Tracker'!$C28="","",IF(OR('📖 Review Tracker'!$O28="🔴 OVERDUE",'📖 Review Tracker'!$O28="🟡 TODAY"),IF('📖 Review Tracker'!$F28="","J1",IF('📖 Review Tracker'!$G28="","J3",IF('📖 Review Tracker'!$H28="","J7",IF('📖 Review Tracker'!$I28="","J15",IF('📖 Review Tracker'!$J28="","J30",IF('📖 Review Tracker'!$K28="","J60","J90")))))),""))</f>
        <v/>
      </c>
      <c r="G29" s="1" t="str">
        <f aca="false">IF('📖 Review Tracker'!$C28="","",IF(OR('📖 Review Tracker'!$O28="🔴 OVERDUE",'📖 Review Tracker'!$O28="🟡 TODAY"),'📖 Review Tracker'!$O28,""))</f>
        <v/>
      </c>
      <c r="H29" s="1" t="str">
        <f aca="true">IF(I29="✅ Done",TEXT(TODAY(),"DD/MM/YYYY"),"")</f>
        <v/>
      </c>
    </row>
    <row r="30" customFormat="false" ht="15" hidden="false" customHeight="true" outlineLevel="0" collapsed="false">
      <c r="A30" s="1" t="str">
        <f aca="false">IF('📖 Review Tracker'!$C29="","",IF(OR('📖 Review Tracker'!$O29="🔴 OVERDUE",'📖 Review Tracker'!$O29="🟡 TODAY"),29,""))</f>
        <v/>
      </c>
      <c r="B30" s="1" t="str">
        <f aca="false">IF('📖 Review Tracker'!$C29="","",IF(OR('📖 Review Tracker'!$O29="🔴 OVERDUE",'📖 Review Tracker'!$O29="🟡 TODAY"),'📖 Review Tracker'!$A29,""))</f>
        <v/>
      </c>
      <c r="C30" s="1" t="str">
        <f aca="false">IF('📖 Review Tracker'!$C29="","",IF(OR('📖 Review Tracker'!$O29="🔴 OVERDUE",'📖 Review Tracker'!$O29="🟡 TODAY"),'📖 Review Tracker'!$C29,""))</f>
        <v/>
      </c>
      <c r="D30" s="1" t="str">
        <f aca="false">IF('📖 Review Tracker'!$C29="","",IF(OR('📖 Review Tracker'!$O29="🔴 OVERDUE",'📖 Review Tracker'!$O29="🟡 TODAY"),TEXT('📖 Review Tracker'!$M29,"DD/MM/YYYY"),""))</f>
        <v/>
      </c>
      <c r="E30" s="1" t="str">
        <f aca="false">IF('📖 Review Tracker'!$C29="","",IF(OR('📖 Review Tracker'!$O29="🔴 OVERDUE",'📖 Review Tracker'!$O29="🟡 TODAY"),'📖 Review Tracker'!$N29,""))</f>
        <v/>
      </c>
      <c r="F30" s="1" t="str">
        <f aca="false">IF('📖 Review Tracker'!$C29="","",IF(OR('📖 Review Tracker'!$O29="🔴 OVERDUE",'📖 Review Tracker'!$O29="🟡 TODAY"),IF('📖 Review Tracker'!$F29="","J1",IF('📖 Review Tracker'!$G29="","J3",IF('📖 Review Tracker'!$H29="","J7",IF('📖 Review Tracker'!$I29="","J15",IF('📖 Review Tracker'!$J29="","J30",IF('📖 Review Tracker'!$K29="","J60","J90")))))),""))</f>
        <v/>
      </c>
      <c r="G30" s="1" t="str">
        <f aca="false">IF('📖 Review Tracker'!$C29="","",IF(OR('📖 Review Tracker'!$O29="🔴 OVERDUE",'📖 Review Tracker'!$O29="🟡 TODAY"),'📖 Review Tracker'!$O29,""))</f>
        <v/>
      </c>
      <c r="H30" s="1" t="str">
        <f aca="true">IF(I30="✅ Done",TEXT(TODAY(),"DD/MM/YYYY"),"")</f>
        <v/>
      </c>
    </row>
    <row r="31" customFormat="false" ht="15" hidden="false" customHeight="true" outlineLevel="0" collapsed="false">
      <c r="A31" s="1" t="str">
        <f aca="false">IF('📖 Review Tracker'!$C30="","",IF(OR('📖 Review Tracker'!$O30="🔴 OVERDUE",'📖 Review Tracker'!$O30="🟡 TODAY"),30,""))</f>
        <v/>
      </c>
      <c r="B31" s="1" t="str">
        <f aca="false">IF('📖 Review Tracker'!$C30="","",IF(OR('📖 Review Tracker'!$O30="🔴 OVERDUE",'📖 Review Tracker'!$O30="🟡 TODAY"),'📖 Review Tracker'!$A30,""))</f>
        <v/>
      </c>
      <c r="C31" s="1" t="str">
        <f aca="false">IF('📖 Review Tracker'!$C30="","",IF(OR('📖 Review Tracker'!$O30="🔴 OVERDUE",'📖 Review Tracker'!$O30="🟡 TODAY"),'📖 Review Tracker'!$C30,""))</f>
        <v/>
      </c>
      <c r="D31" s="1" t="str">
        <f aca="false">IF('📖 Review Tracker'!$C30="","",IF(OR('📖 Review Tracker'!$O30="🔴 OVERDUE",'📖 Review Tracker'!$O30="🟡 TODAY"),TEXT('📖 Review Tracker'!$M30,"DD/MM/YYYY"),""))</f>
        <v/>
      </c>
      <c r="E31" s="1" t="str">
        <f aca="false">IF('📖 Review Tracker'!$C30="","",IF(OR('📖 Review Tracker'!$O30="🔴 OVERDUE",'📖 Review Tracker'!$O30="🟡 TODAY"),'📖 Review Tracker'!$N30,""))</f>
        <v/>
      </c>
      <c r="F31" s="1" t="str">
        <f aca="false">IF('📖 Review Tracker'!$C30="","",IF(OR('📖 Review Tracker'!$O30="🔴 OVERDUE",'📖 Review Tracker'!$O30="🟡 TODAY"),IF('📖 Review Tracker'!$F30="","J1",IF('📖 Review Tracker'!$G30="","J3",IF('📖 Review Tracker'!$H30="","J7",IF('📖 Review Tracker'!$I30="","J15",IF('📖 Review Tracker'!$J30="","J30",IF('📖 Review Tracker'!$K30="","J60","J90")))))),""))</f>
        <v/>
      </c>
      <c r="G31" s="1" t="str">
        <f aca="false">IF('📖 Review Tracker'!$C30="","",IF(OR('📖 Review Tracker'!$O30="🔴 OVERDUE",'📖 Review Tracker'!$O30="🟡 TODAY"),'📖 Review Tracker'!$O30,""))</f>
        <v/>
      </c>
      <c r="H31" s="1" t="str">
        <f aca="true">IF(I31="✅ Done",TEXT(TODAY(),"DD/MM/YYYY"),"")</f>
        <v/>
      </c>
    </row>
    <row r="32" customFormat="false" ht="15" hidden="false" customHeight="true" outlineLevel="0" collapsed="false">
      <c r="A32" s="1" t="str">
        <f aca="false">IF('📖 Review Tracker'!$C31="","",IF(OR('📖 Review Tracker'!$O31="🔴 OVERDUE",'📖 Review Tracker'!$O31="🟡 TODAY"),31,""))</f>
        <v/>
      </c>
      <c r="B32" s="1" t="str">
        <f aca="false">IF('📖 Review Tracker'!$C31="","",IF(OR('📖 Review Tracker'!$O31="🔴 OVERDUE",'📖 Review Tracker'!$O31="🟡 TODAY"),'📖 Review Tracker'!$A31,""))</f>
        <v/>
      </c>
      <c r="C32" s="1" t="str">
        <f aca="false">IF('📖 Review Tracker'!$C31="","",IF(OR('📖 Review Tracker'!$O31="🔴 OVERDUE",'📖 Review Tracker'!$O31="🟡 TODAY"),'📖 Review Tracker'!$C31,""))</f>
        <v/>
      </c>
      <c r="D32" s="1" t="str">
        <f aca="false">IF('📖 Review Tracker'!$C31="","",IF(OR('📖 Review Tracker'!$O31="🔴 OVERDUE",'📖 Review Tracker'!$O31="🟡 TODAY"),TEXT('📖 Review Tracker'!$M31,"DD/MM/YYYY"),""))</f>
        <v/>
      </c>
      <c r="E32" s="1" t="str">
        <f aca="false">IF('📖 Review Tracker'!$C31="","",IF(OR('📖 Review Tracker'!$O31="🔴 OVERDUE",'📖 Review Tracker'!$O31="🟡 TODAY"),'📖 Review Tracker'!$N31,""))</f>
        <v/>
      </c>
      <c r="F32" s="1" t="str">
        <f aca="false">IF('📖 Review Tracker'!$C31="","",IF(OR('📖 Review Tracker'!$O31="🔴 OVERDUE",'📖 Review Tracker'!$O31="🟡 TODAY"),IF('📖 Review Tracker'!$F31="","J1",IF('📖 Review Tracker'!$G31="","J3",IF('📖 Review Tracker'!$H31="","J7",IF('📖 Review Tracker'!$I31="","J15",IF('📖 Review Tracker'!$J31="","J30",IF('📖 Review Tracker'!$K31="","J60","J90")))))),""))</f>
        <v/>
      </c>
      <c r="G32" s="1" t="str">
        <f aca="false">IF('📖 Review Tracker'!$C31="","",IF(OR('📖 Review Tracker'!$O31="🔴 OVERDUE",'📖 Review Tracker'!$O31="🟡 TODAY"),'📖 Review Tracker'!$O31,""))</f>
        <v/>
      </c>
      <c r="H32" s="1" t="str">
        <f aca="true">IF(I32="✅ Done",TEXT(TODAY(),"DD/MM/YYYY"),"")</f>
        <v/>
      </c>
    </row>
    <row r="33" customFormat="false" ht="15" hidden="false" customHeight="true" outlineLevel="0" collapsed="false">
      <c r="A33" s="1" t="str">
        <f aca="false">IF('📖 Review Tracker'!$C32="","",IF(OR('📖 Review Tracker'!$O32="🔴 OVERDUE",'📖 Review Tracker'!$O32="🟡 TODAY"),32,""))</f>
        <v/>
      </c>
      <c r="B33" s="1" t="str">
        <f aca="false">IF('📖 Review Tracker'!$C32="","",IF(OR('📖 Review Tracker'!$O32="🔴 OVERDUE",'📖 Review Tracker'!$O32="🟡 TODAY"),'📖 Review Tracker'!$A32,""))</f>
        <v/>
      </c>
      <c r="C33" s="1" t="str">
        <f aca="false">IF('📖 Review Tracker'!$C32="","",IF(OR('📖 Review Tracker'!$O32="🔴 OVERDUE",'📖 Review Tracker'!$O32="🟡 TODAY"),'📖 Review Tracker'!$C32,""))</f>
        <v/>
      </c>
      <c r="D33" s="1" t="str">
        <f aca="false">IF('📖 Review Tracker'!$C32="","",IF(OR('📖 Review Tracker'!$O32="🔴 OVERDUE",'📖 Review Tracker'!$O32="🟡 TODAY"),TEXT('📖 Review Tracker'!$M32,"DD/MM/YYYY"),""))</f>
        <v/>
      </c>
      <c r="E33" s="1" t="str">
        <f aca="false">IF('📖 Review Tracker'!$C32="","",IF(OR('📖 Review Tracker'!$O32="🔴 OVERDUE",'📖 Review Tracker'!$O32="🟡 TODAY"),'📖 Review Tracker'!$N32,""))</f>
        <v/>
      </c>
      <c r="F33" s="1" t="str">
        <f aca="false">IF('📖 Review Tracker'!$C32="","",IF(OR('📖 Review Tracker'!$O32="🔴 OVERDUE",'📖 Review Tracker'!$O32="🟡 TODAY"),IF('📖 Review Tracker'!$F32="","J1",IF('📖 Review Tracker'!$G32="","J3",IF('📖 Review Tracker'!$H32="","J7",IF('📖 Review Tracker'!$I32="","J15",IF('📖 Review Tracker'!$J32="","J30",IF('📖 Review Tracker'!$K32="","J60","J90")))))),""))</f>
        <v/>
      </c>
      <c r="G33" s="1" t="str">
        <f aca="false">IF('📖 Review Tracker'!$C32="","",IF(OR('📖 Review Tracker'!$O32="🔴 OVERDUE",'📖 Review Tracker'!$O32="🟡 TODAY"),'📖 Review Tracker'!$O32,""))</f>
        <v/>
      </c>
      <c r="H33" s="1" t="str">
        <f aca="true">IF(I33="✅ Done",TEXT(TODAY(),"DD/MM/YYYY"),"")</f>
        <v/>
      </c>
    </row>
    <row r="34" customFormat="false" ht="15" hidden="false" customHeight="true" outlineLevel="0" collapsed="false">
      <c r="A34" s="1" t="str">
        <f aca="false">IF('📖 Review Tracker'!$C33="","",IF(OR('📖 Review Tracker'!$O33="🔴 OVERDUE",'📖 Review Tracker'!$O33="🟡 TODAY"),33,""))</f>
        <v/>
      </c>
      <c r="B34" s="1" t="str">
        <f aca="false">IF('📖 Review Tracker'!$C33="","",IF(OR('📖 Review Tracker'!$O33="🔴 OVERDUE",'📖 Review Tracker'!$O33="🟡 TODAY"),'📖 Review Tracker'!$A33,""))</f>
        <v/>
      </c>
      <c r="C34" s="1" t="str">
        <f aca="false">IF('📖 Review Tracker'!$C33="","",IF(OR('📖 Review Tracker'!$O33="🔴 OVERDUE",'📖 Review Tracker'!$O33="🟡 TODAY"),'📖 Review Tracker'!$C33,""))</f>
        <v/>
      </c>
      <c r="D34" s="1" t="str">
        <f aca="false">IF('📖 Review Tracker'!$C33="","",IF(OR('📖 Review Tracker'!$O33="🔴 OVERDUE",'📖 Review Tracker'!$O33="🟡 TODAY"),TEXT('📖 Review Tracker'!$M33,"DD/MM/YYYY"),""))</f>
        <v/>
      </c>
      <c r="E34" s="1" t="str">
        <f aca="false">IF('📖 Review Tracker'!$C33="","",IF(OR('📖 Review Tracker'!$O33="🔴 OVERDUE",'📖 Review Tracker'!$O33="🟡 TODAY"),'📖 Review Tracker'!$N33,""))</f>
        <v/>
      </c>
      <c r="F34" s="1" t="str">
        <f aca="false">IF('📖 Review Tracker'!$C33="","",IF(OR('📖 Review Tracker'!$O33="🔴 OVERDUE",'📖 Review Tracker'!$O33="🟡 TODAY"),IF('📖 Review Tracker'!$F33="","J1",IF('📖 Review Tracker'!$G33="","J3",IF('📖 Review Tracker'!$H33="","J7",IF('📖 Review Tracker'!$I33="","J15",IF('📖 Review Tracker'!$J33="","J30",IF('📖 Review Tracker'!$K33="","J60","J90")))))),""))</f>
        <v/>
      </c>
      <c r="G34" s="1" t="str">
        <f aca="false">IF('📖 Review Tracker'!$C33="","",IF(OR('📖 Review Tracker'!$O33="🔴 OVERDUE",'📖 Review Tracker'!$O33="🟡 TODAY"),'📖 Review Tracker'!$O33,""))</f>
        <v/>
      </c>
      <c r="H34" s="1" t="str">
        <f aca="true">IF(I34="✅ Done",TEXT(TODAY(),"DD/MM/YYYY"),"")</f>
        <v/>
      </c>
    </row>
    <row r="35" customFormat="false" ht="15" hidden="false" customHeight="true" outlineLevel="0" collapsed="false">
      <c r="A35" s="1" t="str">
        <f aca="false">IF('📖 Review Tracker'!$C34="","",IF(OR('📖 Review Tracker'!$O34="🔴 OVERDUE",'📖 Review Tracker'!$O34="🟡 TODAY"),34,""))</f>
        <v/>
      </c>
      <c r="B35" s="1" t="str">
        <f aca="false">IF('📖 Review Tracker'!$C34="","",IF(OR('📖 Review Tracker'!$O34="🔴 OVERDUE",'📖 Review Tracker'!$O34="🟡 TODAY"),'📖 Review Tracker'!$A34,""))</f>
        <v/>
      </c>
      <c r="C35" s="1" t="str">
        <f aca="false">IF('📖 Review Tracker'!$C34="","",IF(OR('📖 Review Tracker'!$O34="🔴 OVERDUE",'📖 Review Tracker'!$O34="🟡 TODAY"),'📖 Review Tracker'!$C34,""))</f>
        <v/>
      </c>
      <c r="D35" s="1" t="str">
        <f aca="false">IF('📖 Review Tracker'!$C34="","",IF(OR('📖 Review Tracker'!$O34="🔴 OVERDUE",'📖 Review Tracker'!$O34="🟡 TODAY"),TEXT('📖 Review Tracker'!$M34,"DD/MM/YYYY"),""))</f>
        <v/>
      </c>
      <c r="E35" s="1" t="str">
        <f aca="false">IF('📖 Review Tracker'!$C34="","",IF(OR('📖 Review Tracker'!$O34="🔴 OVERDUE",'📖 Review Tracker'!$O34="🟡 TODAY"),'📖 Review Tracker'!$N34,""))</f>
        <v/>
      </c>
      <c r="F35" s="1" t="str">
        <f aca="false">IF('📖 Review Tracker'!$C34="","",IF(OR('📖 Review Tracker'!$O34="🔴 OVERDUE",'📖 Review Tracker'!$O34="🟡 TODAY"),IF('📖 Review Tracker'!$F34="","J1",IF('📖 Review Tracker'!$G34="","J3",IF('📖 Review Tracker'!$H34="","J7",IF('📖 Review Tracker'!$I34="","J15",IF('📖 Review Tracker'!$J34="","J30",IF('📖 Review Tracker'!$K34="","J60","J90")))))),""))</f>
        <v/>
      </c>
      <c r="G35" s="1" t="str">
        <f aca="false">IF('📖 Review Tracker'!$C34="","",IF(OR('📖 Review Tracker'!$O34="🔴 OVERDUE",'📖 Review Tracker'!$O34="🟡 TODAY"),'📖 Review Tracker'!$O34,""))</f>
        <v/>
      </c>
      <c r="H35" s="1" t="str">
        <f aca="true">IF(I35="✅ Done",TEXT(TODAY(),"DD/MM/YYYY"),"")</f>
        <v/>
      </c>
    </row>
    <row r="36" customFormat="false" ht="15" hidden="false" customHeight="true" outlineLevel="0" collapsed="false">
      <c r="A36" s="1" t="str">
        <f aca="false">IF('📖 Review Tracker'!$C35="","",IF(OR('📖 Review Tracker'!$O35="🔴 OVERDUE",'📖 Review Tracker'!$O35="🟡 TODAY"),35,""))</f>
        <v/>
      </c>
      <c r="B36" s="1" t="str">
        <f aca="false">IF('📖 Review Tracker'!$C35="","",IF(OR('📖 Review Tracker'!$O35="🔴 OVERDUE",'📖 Review Tracker'!$O35="🟡 TODAY"),'📖 Review Tracker'!$A35,""))</f>
        <v/>
      </c>
      <c r="C36" s="1" t="str">
        <f aca="false">IF('📖 Review Tracker'!$C35="","",IF(OR('📖 Review Tracker'!$O35="🔴 OVERDUE",'📖 Review Tracker'!$O35="🟡 TODAY"),'📖 Review Tracker'!$C35,""))</f>
        <v/>
      </c>
      <c r="D36" s="1" t="str">
        <f aca="false">IF('📖 Review Tracker'!$C35="","",IF(OR('📖 Review Tracker'!$O35="🔴 OVERDUE",'📖 Review Tracker'!$O35="🟡 TODAY"),TEXT('📖 Review Tracker'!$M35,"DD/MM/YYYY"),""))</f>
        <v/>
      </c>
      <c r="E36" s="1" t="str">
        <f aca="false">IF('📖 Review Tracker'!$C35="","",IF(OR('📖 Review Tracker'!$O35="🔴 OVERDUE",'📖 Review Tracker'!$O35="🟡 TODAY"),'📖 Review Tracker'!$N35,""))</f>
        <v/>
      </c>
      <c r="F36" s="1" t="str">
        <f aca="false">IF('📖 Review Tracker'!$C35="","",IF(OR('📖 Review Tracker'!$O35="🔴 OVERDUE",'📖 Review Tracker'!$O35="🟡 TODAY"),IF('📖 Review Tracker'!$F35="","J1",IF('📖 Review Tracker'!$G35="","J3",IF('📖 Review Tracker'!$H35="","J7",IF('📖 Review Tracker'!$I35="","J15",IF('📖 Review Tracker'!$J35="","J30",IF('📖 Review Tracker'!$K35="","J60","J90")))))),""))</f>
        <v/>
      </c>
      <c r="G36" s="1" t="str">
        <f aca="false">IF('📖 Review Tracker'!$C35="","",IF(OR('📖 Review Tracker'!$O35="🔴 OVERDUE",'📖 Review Tracker'!$O35="🟡 TODAY"),'📖 Review Tracker'!$O35,""))</f>
        <v/>
      </c>
      <c r="H36" s="1" t="str">
        <f aca="true">IF(I36="✅ Done",TEXT(TODAY(),"DD/MM/YYYY"),"")</f>
        <v/>
      </c>
    </row>
    <row r="37" customFormat="false" ht="15" hidden="false" customHeight="true" outlineLevel="0" collapsed="false">
      <c r="A37" s="1" t="str">
        <f aca="false">IF('📖 Review Tracker'!$C36="","",IF(OR('📖 Review Tracker'!$O36="🔴 OVERDUE",'📖 Review Tracker'!$O36="🟡 TODAY"),36,""))</f>
        <v/>
      </c>
      <c r="B37" s="1" t="str">
        <f aca="false">IF('📖 Review Tracker'!$C36="","",IF(OR('📖 Review Tracker'!$O36="🔴 OVERDUE",'📖 Review Tracker'!$O36="🟡 TODAY"),'📖 Review Tracker'!$A36,""))</f>
        <v/>
      </c>
      <c r="C37" s="1" t="str">
        <f aca="false">IF('📖 Review Tracker'!$C36="","",IF(OR('📖 Review Tracker'!$O36="🔴 OVERDUE",'📖 Review Tracker'!$O36="🟡 TODAY"),'📖 Review Tracker'!$C36,""))</f>
        <v/>
      </c>
      <c r="D37" s="1" t="str">
        <f aca="false">IF('📖 Review Tracker'!$C36="","",IF(OR('📖 Review Tracker'!$O36="🔴 OVERDUE",'📖 Review Tracker'!$O36="🟡 TODAY"),TEXT('📖 Review Tracker'!$M36,"DD/MM/YYYY"),""))</f>
        <v/>
      </c>
      <c r="E37" s="1" t="str">
        <f aca="false">IF('📖 Review Tracker'!$C36="","",IF(OR('📖 Review Tracker'!$O36="🔴 OVERDUE",'📖 Review Tracker'!$O36="🟡 TODAY"),'📖 Review Tracker'!$N36,""))</f>
        <v/>
      </c>
      <c r="F37" s="1" t="str">
        <f aca="false">IF('📖 Review Tracker'!$C36="","",IF(OR('📖 Review Tracker'!$O36="🔴 OVERDUE",'📖 Review Tracker'!$O36="🟡 TODAY"),IF('📖 Review Tracker'!$F36="","J1",IF('📖 Review Tracker'!$G36="","J3",IF('📖 Review Tracker'!$H36="","J7",IF('📖 Review Tracker'!$I36="","J15",IF('📖 Review Tracker'!$J36="","J30",IF('📖 Review Tracker'!$K36="","J60","J90")))))),""))</f>
        <v/>
      </c>
      <c r="G37" s="1" t="str">
        <f aca="false">IF('📖 Review Tracker'!$C36="","",IF(OR('📖 Review Tracker'!$O36="🔴 OVERDUE",'📖 Review Tracker'!$O36="🟡 TODAY"),'📖 Review Tracker'!$O36,""))</f>
        <v/>
      </c>
      <c r="H37" s="1" t="str">
        <f aca="true">IF(I37="✅ Done",TEXT(TODAY(),"DD/MM/YYYY"),"")</f>
        <v/>
      </c>
    </row>
    <row r="38" customFormat="false" ht="15" hidden="false" customHeight="true" outlineLevel="0" collapsed="false">
      <c r="A38" s="1" t="str">
        <f aca="false">IF('📖 Review Tracker'!$C37="","",IF(OR('📖 Review Tracker'!$O37="🔴 OVERDUE",'📖 Review Tracker'!$O37="🟡 TODAY"),37,""))</f>
        <v/>
      </c>
      <c r="B38" s="1" t="str">
        <f aca="false">IF('📖 Review Tracker'!$C37="","",IF(OR('📖 Review Tracker'!$O37="🔴 OVERDUE",'📖 Review Tracker'!$O37="🟡 TODAY"),'📖 Review Tracker'!$A37,""))</f>
        <v/>
      </c>
      <c r="C38" s="1" t="str">
        <f aca="false">IF('📖 Review Tracker'!$C37="","",IF(OR('📖 Review Tracker'!$O37="🔴 OVERDUE",'📖 Review Tracker'!$O37="🟡 TODAY"),'📖 Review Tracker'!$C37,""))</f>
        <v/>
      </c>
      <c r="D38" s="1" t="str">
        <f aca="false">IF('📖 Review Tracker'!$C37="","",IF(OR('📖 Review Tracker'!$O37="🔴 OVERDUE",'📖 Review Tracker'!$O37="🟡 TODAY"),TEXT('📖 Review Tracker'!$M37,"DD/MM/YYYY"),""))</f>
        <v/>
      </c>
      <c r="E38" s="1" t="str">
        <f aca="false">IF('📖 Review Tracker'!$C37="","",IF(OR('📖 Review Tracker'!$O37="🔴 OVERDUE",'📖 Review Tracker'!$O37="🟡 TODAY"),'📖 Review Tracker'!$N37,""))</f>
        <v/>
      </c>
      <c r="F38" s="1" t="str">
        <f aca="false">IF('📖 Review Tracker'!$C37="","",IF(OR('📖 Review Tracker'!$O37="🔴 OVERDUE",'📖 Review Tracker'!$O37="🟡 TODAY"),IF('📖 Review Tracker'!$F37="","J1",IF('📖 Review Tracker'!$G37="","J3",IF('📖 Review Tracker'!$H37="","J7",IF('📖 Review Tracker'!$I37="","J15",IF('📖 Review Tracker'!$J37="","J30",IF('📖 Review Tracker'!$K37="","J60","J90")))))),""))</f>
        <v/>
      </c>
      <c r="G38" s="1" t="str">
        <f aca="false">IF('📖 Review Tracker'!$C37="","",IF(OR('📖 Review Tracker'!$O37="🔴 OVERDUE",'📖 Review Tracker'!$O37="🟡 TODAY"),'📖 Review Tracker'!$O37,""))</f>
        <v/>
      </c>
      <c r="H38" s="1" t="str">
        <f aca="true">IF(I38="✅ Done",TEXT(TODAY(),"DD/MM/YYYY"),"")</f>
        <v/>
      </c>
    </row>
    <row r="39" customFormat="false" ht="15" hidden="false" customHeight="true" outlineLevel="0" collapsed="false">
      <c r="A39" s="1" t="str">
        <f aca="false">IF('📖 Review Tracker'!$C38="","",IF(OR('📖 Review Tracker'!$O38="🔴 OVERDUE",'📖 Review Tracker'!$O38="🟡 TODAY"),38,""))</f>
        <v/>
      </c>
      <c r="B39" s="1" t="str">
        <f aca="false">IF('📖 Review Tracker'!$C38="","",IF(OR('📖 Review Tracker'!$O38="🔴 OVERDUE",'📖 Review Tracker'!$O38="🟡 TODAY"),'📖 Review Tracker'!$A38,""))</f>
        <v/>
      </c>
      <c r="C39" s="1" t="str">
        <f aca="false">IF('📖 Review Tracker'!$C38="","",IF(OR('📖 Review Tracker'!$O38="🔴 OVERDUE",'📖 Review Tracker'!$O38="🟡 TODAY"),'📖 Review Tracker'!$C38,""))</f>
        <v/>
      </c>
      <c r="D39" s="1" t="str">
        <f aca="false">IF('📖 Review Tracker'!$C38="","",IF(OR('📖 Review Tracker'!$O38="🔴 OVERDUE",'📖 Review Tracker'!$O38="🟡 TODAY"),TEXT('📖 Review Tracker'!$M38,"DD/MM/YYYY"),""))</f>
        <v/>
      </c>
      <c r="E39" s="1" t="str">
        <f aca="false">IF('📖 Review Tracker'!$C38="","",IF(OR('📖 Review Tracker'!$O38="🔴 OVERDUE",'📖 Review Tracker'!$O38="🟡 TODAY"),'📖 Review Tracker'!$N38,""))</f>
        <v/>
      </c>
      <c r="F39" s="1" t="str">
        <f aca="false">IF('📖 Review Tracker'!$C38="","",IF(OR('📖 Review Tracker'!$O38="🔴 OVERDUE",'📖 Review Tracker'!$O38="🟡 TODAY"),IF('📖 Review Tracker'!$F38="","J1",IF('📖 Review Tracker'!$G38="","J3",IF('📖 Review Tracker'!$H38="","J7",IF('📖 Review Tracker'!$I38="","J15",IF('📖 Review Tracker'!$J38="","J30",IF('📖 Review Tracker'!$K38="","J60","J90")))))),""))</f>
        <v/>
      </c>
      <c r="G39" s="1" t="str">
        <f aca="false">IF('📖 Review Tracker'!$C38="","",IF(OR('📖 Review Tracker'!$O38="🔴 OVERDUE",'📖 Review Tracker'!$O38="🟡 TODAY"),'📖 Review Tracker'!$O38,""))</f>
        <v/>
      </c>
      <c r="H39" s="1" t="str">
        <f aca="true">IF(I39="✅ Done",TEXT(TODAY(),"DD/MM/YYYY"),"")</f>
        <v/>
      </c>
    </row>
    <row r="40" customFormat="false" ht="15" hidden="false" customHeight="true" outlineLevel="0" collapsed="false">
      <c r="A40" s="1" t="str">
        <f aca="false">IF('📖 Review Tracker'!$C39="","",IF(OR('📖 Review Tracker'!$O39="🔴 OVERDUE",'📖 Review Tracker'!$O39="🟡 TODAY"),39,""))</f>
        <v/>
      </c>
      <c r="B40" s="1" t="str">
        <f aca="false">IF('📖 Review Tracker'!$C39="","",IF(OR('📖 Review Tracker'!$O39="🔴 OVERDUE",'📖 Review Tracker'!$O39="🟡 TODAY"),'📖 Review Tracker'!$A39,""))</f>
        <v/>
      </c>
      <c r="C40" s="1" t="str">
        <f aca="false">IF('📖 Review Tracker'!$C39="","",IF(OR('📖 Review Tracker'!$O39="🔴 OVERDUE",'📖 Review Tracker'!$O39="🟡 TODAY"),'📖 Review Tracker'!$C39,""))</f>
        <v/>
      </c>
      <c r="D40" s="1" t="str">
        <f aca="false">IF('📖 Review Tracker'!$C39="","",IF(OR('📖 Review Tracker'!$O39="🔴 OVERDUE",'📖 Review Tracker'!$O39="🟡 TODAY"),TEXT('📖 Review Tracker'!$M39,"DD/MM/YYYY"),""))</f>
        <v/>
      </c>
      <c r="E40" s="1" t="str">
        <f aca="false">IF('📖 Review Tracker'!$C39="","",IF(OR('📖 Review Tracker'!$O39="🔴 OVERDUE",'📖 Review Tracker'!$O39="🟡 TODAY"),'📖 Review Tracker'!$N39,""))</f>
        <v/>
      </c>
      <c r="F40" s="1" t="str">
        <f aca="false">IF('📖 Review Tracker'!$C39="","",IF(OR('📖 Review Tracker'!$O39="🔴 OVERDUE",'📖 Review Tracker'!$O39="🟡 TODAY"),IF('📖 Review Tracker'!$F39="","J1",IF('📖 Review Tracker'!$G39="","J3",IF('📖 Review Tracker'!$H39="","J7",IF('📖 Review Tracker'!$I39="","J15",IF('📖 Review Tracker'!$J39="","J30",IF('📖 Review Tracker'!$K39="","J60","J90")))))),""))</f>
        <v/>
      </c>
      <c r="G40" s="1" t="str">
        <f aca="false">IF('📖 Review Tracker'!$C39="","",IF(OR('📖 Review Tracker'!$O39="🔴 OVERDUE",'📖 Review Tracker'!$O39="🟡 TODAY"),'📖 Review Tracker'!$O39,""))</f>
        <v/>
      </c>
      <c r="H40" s="1" t="str">
        <f aca="true">IF(I40="✅ Done",TEXT(TODAY(),"DD/MM/YYYY"),"")</f>
        <v/>
      </c>
    </row>
    <row r="41" customFormat="false" ht="15" hidden="false" customHeight="true" outlineLevel="0" collapsed="false">
      <c r="A41" s="1" t="str">
        <f aca="false">IF('📖 Review Tracker'!$C40="","",IF(OR('📖 Review Tracker'!$O40="🔴 OVERDUE",'📖 Review Tracker'!$O40="🟡 TODAY"),40,""))</f>
        <v/>
      </c>
      <c r="B41" s="1" t="str">
        <f aca="false">IF('📖 Review Tracker'!$C40="","",IF(OR('📖 Review Tracker'!$O40="🔴 OVERDUE",'📖 Review Tracker'!$O40="🟡 TODAY"),'📖 Review Tracker'!$A40,""))</f>
        <v/>
      </c>
      <c r="C41" s="1" t="str">
        <f aca="false">IF('📖 Review Tracker'!$C40="","",IF(OR('📖 Review Tracker'!$O40="🔴 OVERDUE",'📖 Review Tracker'!$O40="🟡 TODAY"),'📖 Review Tracker'!$C40,""))</f>
        <v/>
      </c>
      <c r="D41" s="1" t="str">
        <f aca="false">IF('📖 Review Tracker'!$C40="","",IF(OR('📖 Review Tracker'!$O40="🔴 OVERDUE",'📖 Review Tracker'!$O40="🟡 TODAY"),TEXT('📖 Review Tracker'!$M40,"DD/MM/YYYY"),""))</f>
        <v/>
      </c>
      <c r="E41" s="1" t="str">
        <f aca="false">IF('📖 Review Tracker'!$C40="","",IF(OR('📖 Review Tracker'!$O40="🔴 OVERDUE",'📖 Review Tracker'!$O40="🟡 TODAY"),'📖 Review Tracker'!$N40,""))</f>
        <v/>
      </c>
      <c r="F41" s="1" t="str">
        <f aca="false">IF('📖 Review Tracker'!$C40="","",IF(OR('📖 Review Tracker'!$O40="🔴 OVERDUE",'📖 Review Tracker'!$O40="🟡 TODAY"),IF('📖 Review Tracker'!$F40="","J1",IF('📖 Review Tracker'!$G40="","J3",IF('📖 Review Tracker'!$H40="","J7",IF('📖 Review Tracker'!$I40="","J15",IF('📖 Review Tracker'!$J40="","J30",IF('📖 Review Tracker'!$K40="","J60","J90")))))),""))</f>
        <v/>
      </c>
      <c r="G41" s="1" t="str">
        <f aca="false">IF('📖 Review Tracker'!$C40="","",IF(OR('📖 Review Tracker'!$O40="🔴 OVERDUE",'📖 Review Tracker'!$O40="🟡 TODAY"),'📖 Review Tracker'!$O40,""))</f>
        <v/>
      </c>
      <c r="H41" s="1" t="str">
        <f aca="true">IF(I41="✅ Done",TEXT(TODAY(),"DD/MM/YYYY"),"")</f>
        <v/>
      </c>
    </row>
    <row r="42" customFormat="false" ht="15" hidden="false" customHeight="true" outlineLevel="0" collapsed="false">
      <c r="A42" s="1" t="str">
        <f aca="false">IF('📖 Review Tracker'!$C41="","",IF(OR('📖 Review Tracker'!$O41="🔴 OVERDUE",'📖 Review Tracker'!$O41="🟡 TODAY"),41,""))</f>
        <v/>
      </c>
      <c r="B42" s="1" t="str">
        <f aca="false">IF('📖 Review Tracker'!$C41="","",IF(OR('📖 Review Tracker'!$O41="🔴 OVERDUE",'📖 Review Tracker'!$O41="🟡 TODAY"),'📖 Review Tracker'!$A41,""))</f>
        <v/>
      </c>
      <c r="C42" s="1" t="str">
        <f aca="false">IF('📖 Review Tracker'!$C41="","",IF(OR('📖 Review Tracker'!$O41="🔴 OVERDUE",'📖 Review Tracker'!$O41="🟡 TODAY"),'📖 Review Tracker'!$C41,""))</f>
        <v/>
      </c>
      <c r="D42" s="1" t="str">
        <f aca="false">IF('📖 Review Tracker'!$C41="","",IF(OR('📖 Review Tracker'!$O41="🔴 OVERDUE",'📖 Review Tracker'!$O41="🟡 TODAY"),TEXT('📖 Review Tracker'!$M41,"DD/MM/YYYY"),""))</f>
        <v/>
      </c>
      <c r="E42" s="1" t="str">
        <f aca="false">IF('📖 Review Tracker'!$C41="","",IF(OR('📖 Review Tracker'!$O41="🔴 OVERDUE",'📖 Review Tracker'!$O41="🟡 TODAY"),'📖 Review Tracker'!$N41,""))</f>
        <v/>
      </c>
      <c r="F42" s="1" t="str">
        <f aca="false">IF('📖 Review Tracker'!$C41="","",IF(OR('📖 Review Tracker'!$O41="🔴 OVERDUE",'📖 Review Tracker'!$O41="🟡 TODAY"),IF('📖 Review Tracker'!$F41="","J1",IF('📖 Review Tracker'!$G41="","J3",IF('📖 Review Tracker'!$H41="","J7",IF('📖 Review Tracker'!$I41="","J15",IF('📖 Review Tracker'!$J41="","J30",IF('📖 Review Tracker'!$K41="","J60","J90")))))),""))</f>
        <v/>
      </c>
      <c r="G42" s="1" t="str">
        <f aca="false">IF('📖 Review Tracker'!$C41="","",IF(OR('📖 Review Tracker'!$O41="🔴 OVERDUE",'📖 Review Tracker'!$O41="🟡 TODAY"),'📖 Review Tracker'!$O41,""))</f>
        <v/>
      </c>
      <c r="H42" s="1" t="str">
        <f aca="true">IF(I42="✅ Done",TEXT(TODAY(),"DD/MM/YYYY"),"")</f>
        <v/>
      </c>
    </row>
    <row r="43" customFormat="false" ht="15" hidden="false" customHeight="true" outlineLevel="0" collapsed="false">
      <c r="A43" s="1" t="str">
        <f aca="false">IF('📖 Review Tracker'!$C42="","",IF(OR('📖 Review Tracker'!$O42="🔴 OVERDUE",'📖 Review Tracker'!$O42="🟡 TODAY"),42,""))</f>
        <v/>
      </c>
      <c r="B43" s="1" t="str">
        <f aca="false">IF('📖 Review Tracker'!$C42="","",IF(OR('📖 Review Tracker'!$O42="🔴 OVERDUE",'📖 Review Tracker'!$O42="🟡 TODAY"),'📖 Review Tracker'!$A42,""))</f>
        <v/>
      </c>
      <c r="C43" s="1" t="str">
        <f aca="false">IF('📖 Review Tracker'!$C42="","",IF(OR('📖 Review Tracker'!$O42="🔴 OVERDUE",'📖 Review Tracker'!$O42="🟡 TODAY"),'📖 Review Tracker'!$C42,""))</f>
        <v/>
      </c>
      <c r="D43" s="1" t="str">
        <f aca="false">IF('📖 Review Tracker'!$C42="","",IF(OR('📖 Review Tracker'!$O42="🔴 OVERDUE",'📖 Review Tracker'!$O42="🟡 TODAY"),TEXT('📖 Review Tracker'!$M42,"DD/MM/YYYY"),""))</f>
        <v/>
      </c>
      <c r="E43" s="1" t="str">
        <f aca="false">IF('📖 Review Tracker'!$C42="","",IF(OR('📖 Review Tracker'!$O42="🔴 OVERDUE",'📖 Review Tracker'!$O42="🟡 TODAY"),'📖 Review Tracker'!$N42,""))</f>
        <v/>
      </c>
      <c r="F43" s="1" t="str">
        <f aca="false">IF('📖 Review Tracker'!$C42="","",IF(OR('📖 Review Tracker'!$O42="🔴 OVERDUE",'📖 Review Tracker'!$O42="🟡 TODAY"),IF('📖 Review Tracker'!$F42="","J1",IF('📖 Review Tracker'!$G42="","J3",IF('📖 Review Tracker'!$H42="","J7",IF('📖 Review Tracker'!$I42="","J15",IF('📖 Review Tracker'!$J42="","J30",IF('📖 Review Tracker'!$K42="","J60","J90")))))),""))</f>
        <v/>
      </c>
      <c r="G43" s="1" t="str">
        <f aca="false">IF('📖 Review Tracker'!$C42="","",IF(OR('📖 Review Tracker'!$O42="🔴 OVERDUE",'📖 Review Tracker'!$O42="🟡 TODAY"),'📖 Review Tracker'!$O42,""))</f>
        <v/>
      </c>
      <c r="H43" s="1" t="str">
        <f aca="true">IF(I43="✅ Done",TEXT(TODAY(),"DD/MM/YYYY"),"")</f>
        <v/>
      </c>
    </row>
    <row r="44" customFormat="false" ht="15" hidden="false" customHeight="true" outlineLevel="0" collapsed="false">
      <c r="A44" s="1" t="str">
        <f aca="false">IF('📖 Review Tracker'!$C43="","",IF(OR('📖 Review Tracker'!$O43="🔴 OVERDUE",'📖 Review Tracker'!$O43="🟡 TODAY"),43,""))</f>
        <v/>
      </c>
      <c r="B44" s="1" t="str">
        <f aca="false">IF('📖 Review Tracker'!$C43="","",IF(OR('📖 Review Tracker'!$O43="🔴 OVERDUE",'📖 Review Tracker'!$O43="🟡 TODAY"),'📖 Review Tracker'!$A43,""))</f>
        <v/>
      </c>
      <c r="C44" s="1" t="str">
        <f aca="false">IF('📖 Review Tracker'!$C43="","",IF(OR('📖 Review Tracker'!$O43="🔴 OVERDUE",'📖 Review Tracker'!$O43="🟡 TODAY"),'📖 Review Tracker'!$C43,""))</f>
        <v/>
      </c>
      <c r="D44" s="1" t="str">
        <f aca="false">IF('📖 Review Tracker'!$C43="","",IF(OR('📖 Review Tracker'!$O43="🔴 OVERDUE",'📖 Review Tracker'!$O43="🟡 TODAY"),TEXT('📖 Review Tracker'!$M43,"DD/MM/YYYY"),""))</f>
        <v/>
      </c>
      <c r="E44" s="1" t="str">
        <f aca="false">IF('📖 Review Tracker'!$C43="","",IF(OR('📖 Review Tracker'!$O43="🔴 OVERDUE",'📖 Review Tracker'!$O43="🟡 TODAY"),'📖 Review Tracker'!$N43,""))</f>
        <v/>
      </c>
      <c r="F44" s="1" t="str">
        <f aca="false">IF('📖 Review Tracker'!$C43="","",IF(OR('📖 Review Tracker'!$O43="🔴 OVERDUE",'📖 Review Tracker'!$O43="🟡 TODAY"),IF('📖 Review Tracker'!$F43="","J1",IF('📖 Review Tracker'!$G43="","J3",IF('📖 Review Tracker'!$H43="","J7",IF('📖 Review Tracker'!$I43="","J15",IF('📖 Review Tracker'!$J43="","J30",IF('📖 Review Tracker'!$K43="","J60","J90")))))),""))</f>
        <v/>
      </c>
      <c r="G44" s="1" t="str">
        <f aca="false">IF('📖 Review Tracker'!$C43="","",IF(OR('📖 Review Tracker'!$O43="🔴 OVERDUE",'📖 Review Tracker'!$O43="🟡 TODAY"),'📖 Review Tracker'!$O43,""))</f>
        <v/>
      </c>
      <c r="H44" s="1" t="str">
        <f aca="true">IF(I44="✅ Done",TEXT(TODAY(),"DD/MM/YYYY"),"")</f>
        <v/>
      </c>
    </row>
    <row r="45" customFormat="false" ht="15" hidden="false" customHeight="true" outlineLevel="0" collapsed="false">
      <c r="A45" s="1" t="str">
        <f aca="false">IF('📖 Review Tracker'!$C44="","",IF(OR('📖 Review Tracker'!$O44="🔴 OVERDUE",'📖 Review Tracker'!$O44="🟡 TODAY"),44,""))</f>
        <v/>
      </c>
      <c r="B45" s="1" t="str">
        <f aca="false">IF('📖 Review Tracker'!$C44="","",IF(OR('📖 Review Tracker'!$O44="🔴 OVERDUE",'📖 Review Tracker'!$O44="🟡 TODAY"),'📖 Review Tracker'!$A44,""))</f>
        <v/>
      </c>
      <c r="C45" s="1" t="str">
        <f aca="false">IF('📖 Review Tracker'!$C44="","",IF(OR('📖 Review Tracker'!$O44="🔴 OVERDUE",'📖 Review Tracker'!$O44="🟡 TODAY"),'📖 Review Tracker'!$C44,""))</f>
        <v/>
      </c>
      <c r="D45" s="1" t="str">
        <f aca="false">IF('📖 Review Tracker'!$C44="","",IF(OR('📖 Review Tracker'!$O44="🔴 OVERDUE",'📖 Review Tracker'!$O44="🟡 TODAY"),TEXT('📖 Review Tracker'!$M44,"DD/MM/YYYY"),""))</f>
        <v/>
      </c>
      <c r="E45" s="1" t="str">
        <f aca="false">IF('📖 Review Tracker'!$C44="","",IF(OR('📖 Review Tracker'!$O44="🔴 OVERDUE",'📖 Review Tracker'!$O44="🟡 TODAY"),'📖 Review Tracker'!$N44,""))</f>
        <v/>
      </c>
      <c r="F45" s="1" t="str">
        <f aca="false">IF('📖 Review Tracker'!$C44="","",IF(OR('📖 Review Tracker'!$O44="🔴 OVERDUE",'📖 Review Tracker'!$O44="🟡 TODAY"),IF('📖 Review Tracker'!$F44="","J1",IF('📖 Review Tracker'!$G44="","J3",IF('📖 Review Tracker'!$H44="","J7",IF('📖 Review Tracker'!$I44="","J15",IF('📖 Review Tracker'!$J44="","J30",IF('📖 Review Tracker'!$K44="","J60","J90")))))),""))</f>
        <v/>
      </c>
      <c r="G45" s="1" t="str">
        <f aca="false">IF('📖 Review Tracker'!$C44="","",IF(OR('📖 Review Tracker'!$O44="🔴 OVERDUE",'📖 Review Tracker'!$O44="🟡 TODAY"),'📖 Review Tracker'!$O44,""))</f>
        <v/>
      </c>
      <c r="H45" s="1" t="str">
        <f aca="true">IF(I45="✅ Done",TEXT(TODAY(),"DD/MM/YYYY"),"")</f>
        <v/>
      </c>
    </row>
    <row r="46" customFormat="false" ht="15" hidden="false" customHeight="true" outlineLevel="0" collapsed="false">
      <c r="A46" s="1" t="str">
        <f aca="false">IF('📖 Review Tracker'!$C45="","",IF(OR('📖 Review Tracker'!$O45="🔴 OVERDUE",'📖 Review Tracker'!$O45="🟡 TODAY"),45,""))</f>
        <v/>
      </c>
      <c r="B46" s="1" t="str">
        <f aca="false">IF('📖 Review Tracker'!$C45="","",IF(OR('📖 Review Tracker'!$O45="🔴 OVERDUE",'📖 Review Tracker'!$O45="🟡 TODAY"),'📖 Review Tracker'!$A45,""))</f>
        <v/>
      </c>
      <c r="C46" s="1" t="str">
        <f aca="false">IF('📖 Review Tracker'!$C45="","",IF(OR('📖 Review Tracker'!$O45="🔴 OVERDUE",'📖 Review Tracker'!$O45="🟡 TODAY"),'📖 Review Tracker'!$C45,""))</f>
        <v/>
      </c>
      <c r="D46" s="1" t="str">
        <f aca="false">IF('📖 Review Tracker'!$C45="","",IF(OR('📖 Review Tracker'!$O45="🔴 OVERDUE",'📖 Review Tracker'!$O45="🟡 TODAY"),TEXT('📖 Review Tracker'!$M45,"DD/MM/YYYY"),""))</f>
        <v/>
      </c>
      <c r="E46" s="1" t="str">
        <f aca="false">IF('📖 Review Tracker'!$C45="","",IF(OR('📖 Review Tracker'!$O45="🔴 OVERDUE",'📖 Review Tracker'!$O45="🟡 TODAY"),'📖 Review Tracker'!$N45,""))</f>
        <v/>
      </c>
      <c r="F46" s="1" t="str">
        <f aca="false">IF('📖 Review Tracker'!$C45="","",IF(OR('📖 Review Tracker'!$O45="🔴 OVERDUE",'📖 Review Tracker'!$O45="🟡 TODAY"),IF('📖 Review Tracker'!$F45="","J1",IF('📖 Review Tracker'!$G45="","J3",IF('📖 Review Tracker'!$H45="","J7",IF('📖 Review Tracker'!$I45="","J15",IF('📖 Review Tracker'!$J45="","J30",IF('📖 Review Tracker'!$K45="","J60","J90")))))),""))</f>
        <v/>
      </c>
      <c r="G46" s="1" t="str">
        <f aca="false">IF('📖 Review Tracker'!$C45="","",IF(OR('📖 Review Tracker'!$O45="🔴 OVERDUE",'📖 Review Tracker'!$O45="🟡 TODAY"),'📖 Review Tracker'!$O45,""))</f>
        <v/>
      </c>
      <c r="H46" s="1" t="str">
        <f aca="true">IF(I46="✅ Done",TEXT(TODAY(),"DD/MM/YYYY"),"")</f>
        <v/>
      </c>
    </row>
    <row r="47" customFormat="false" ht="15" hidden="false" customHeight="true" outlineLevel="0" collapsed="false">
      <c r="A47" s="1" t="str">
        <f aca="false">IF('📖 Review Tracker'!$C46="","",IF(OR('📖 Review Tracker'!$O46="🔴 OVERDUE",'📖 Review Tracker'!$O46="🟡 TODAY"),46,""))</f>
        <v/>
      </c>
      <c r="B47" s="1" t="str">
        <f aca="false">IF('📖 Review Tracker'!$C46="","",IF(OR('📖 Review Tracker'!$O46="🔴 OVERDUE",'📖 Review Tracker'!$O46="🟡 TODAY"),'📖 Review Tracker'!$A46,""))</f>
        <v/>
      </c>
      <c r="C47" s="1" t="str">
        <f aca="false">IF('📖 Review Tracker'!$C46="","",IF(OR('📖 Review Tracker'!$O46="🔴 OVERDUE",'📖 Review Tracker'!$O46="🟡 TODAY"),'📖 Review Tracker'!$C46,""))</f>
        <v/>
      </c>
      <c r="D47" s="1" t="str">
        <f aca="false">IF('📖 Review Tracker'!$C46="","",IF(OR('📖 Review Tracker'!$O46="🔴 OVERDUE",'📖 Review Tracker'!$O46="🟡 TODAY"),TEXT('📖 Review Tracker'!$M46,"DD/MM/YYYY"),""))</f>
        <v/>
      </c>
      <c r="E47" s="1" t="str">
        <f aca="false">IF('📖 Review Tracker'!$C46="","",IF(OR('📖 Review Tracker'!$O46="🔴 OVERDUE",'📖 Review Tracker'!$O46="🟡 TODAY"),'📖 Review Tracker'!$N46,""))</f>
        <v/>
      </c>
      <c r="F47" s="1" t="str">
        <f aca="false">IF('📖 Review Tracker'!$C46="","",IF(OR('📖 Review Tracker'!$O46="🔴 OVERDUE",'📖 Review Tracker'!$O46="🟡 TODAY"),IF('📖 Review Tracker'!$F46="","J1",IF('📖 Review Tracker'!$G46="","J3",IF('📖 Review Tracker'!$H46="","J7",IF('📖 Review Tracker'!$I46="","J15",IF('📖 Review Tracker'!$J46="","J30",IF('📖 Review Tracker'!$K46="","J60","J90")))))),""))</f>
        <v/>
      </c>
      <c r="G47" s="1" t="str">
        <f aca="false">IF('📖 Review Tracker'!$C46="","",IF(OR('📖 Review Tracker'!$O46="🔴 OVERDUE",'📖 Review Tracker'!$O46="🟡 TODAY"),'📖 Review Tracker'!$O46,""))</f>
        <v/>
      </c>
      <c r="H47" s="1" t="str">
        <f aca="true">IF(I47="✅ Done",TEXT(TODAY(),"DD/MM/YYYY"),"")</f>
        <v/>
      </c>
    </row>
    <row r="48" customFormat="false" ht="15" hidden="false" customHeight="true" outlineLevel="0" collapsed="false">
      <c r="A48" s="1" t="str">
        <f aca="false">IF('📖 Review Tracker'!$C47="","",IF(OR('📖 Review Tracker'!$O47="🔴 OVERDUE",'📖 Review Tracker'!$O47="🟡 TODAY"),47,""))</f>
        <v/>
      </c>
      <c r="B48" s="1" t="str">
        <f aca="false">IF('📖 Review Tracker'!$C47="","",IF(OR('📖 Review Tracker'!$O47="🔴 OVERDUE",'📖 Review Tracker'!$O47="🟡 TODAY"),'📖 Review Tracker'!$A47,""))</f>
        <v/>
      </c>
      <c r="C48" s="1" t="str">
        <f aca="false">IF('📖 Review Tracker'!$C47="","",IF(OR('📖 Review Tracker'!$O47="🔴 OVERDUE",'📖 Review Tracker'!$O47="🟡 TODAY"),'📖 Review Tracker'!$C47,""))</f>
        <v/>
      </c>
      <c r="D48" s="1" t="str">
        <f aca="false">IF('📖 Review Tracker'!$C47="","",IF(OR('📖 Review Tracker'!$O47="🔴 OVERDUE",'📖 Review Tracker'!$O47="🟡 TODAY"),TEXT('📖 Review Tracker'!$M47,"DD/MM/YYYY"),""))</f>
        <v/>
      </c>
      <c r="E48" s="1" t="str">
        <f aca="false">IF('📖 Review Tracker'!$C47="","",IF(OR('📖 Review Tracker'!$O47="🔴 OVERDUE",'📖 Review Tracker'!$O47="🟡 TODAY"),'📖 Review Tracker'!$N47,""))</f>
        <v/>
      </c>
      <c r="F48" s="1" t="str">
        <f aca="false">IF('📖 Review Tracker'!$C47="","",IF(OR('📖 Review Tracker'!$O47="🔴 OVERDUE",'📖 Review Tracker'!$O47="🟡 TODAY"),IF('📖 Review Tracker'!$F47="","J1",IF('📖 Review Tracker'!$G47="","J3",IF('📖 Review Tracker'!$H47="","J7",IF('📖 Review Tracker'!$I47="","J15",IF('📖 Review Tracker'!$J47="","J30",IF('📖 Review Tracker'!$K47="","J60","J90")))))),""))</f>
        <v/>
      </c>
      <c r="G48" s="1" t="str">
        <f aca="false">IF('📖 Review Tracker'!$C47="","",IF(OR('📖 Review Tracker'!$O47="🔴 OVERDUE",'📖 Review Tracker'!$O47="🟡 TODAY"),'📖 Review Tracker'!$O47,""))</f>
        <v/>
      </c>
      <c r="H48" s="1" t="str">
        <f aca="true">IF(I48="✅ Done",TEXT(TODAY(),"DD/MM/YYYY"),"")</f>
        <v/>
      </c>
    </row>
    <row r="49" customFormat="false" ht="15" hidden="false" customHeight="true" outlineLevel="0" collapsed="false">
      <c r="A49" s="1" t="str">
        <f aca="false">IF('📖 Review Tracker'!$C48="","",IF(OR('📖 Review Tracker'!$O48="🔴 OVERDUE",'📖 Review Tracker'!$O48="🟡 TODAY"),48,""))</f>
        <v/>
      </c>
      <c r="B49" s="1" t="str">
        <f aca="false">IF('📖 Review Tracker'!$C48="","",IF(OR('📖 Review Tracker'!$O48="🔴 OVERDUE",'📖 Review Tracker'!$O48="🟡 TODAY"),'📖 Review Tracker'!$A48,""))</f>
        <v/>
      </c>
      <c r="C49" s="1" t="str">
        <f aca="false">IF('📖 Review Tracker'!$C48="","",IF(OR('📖 Review Tracker'!$O48="🔴 OVERDUE",'📖 Review Tracker'!$O48="🟡 TODAY"),'📖 Review Tracker'!$C48,""))</f>
        <v/>
      </c>
      <c r="D49" s="1" t="str">
        <f aca="false">IF('📖 Review Tracker'!$C48="","",IF(OR('📖 Review Tracker'!$O48="🔴 OVERDUE",'📖 Review Tracker'!$O48="🟡 TODAY"),TEXT('📖 Review Tracker'!$M48,"DD/MM/YYYY"),""))</f>
        <v/>
      </c>
      <c r="E49" s="1" t="str">
        <f aca="false">IF('📖 Review Tracker'!$C48="","",IF(OR('📖 Review Tracker'!$O48="🔴 OVERDUE",'📖 Review Tracker'!$O48="🟡 TODAY"),'📖 Review Tracker'!$N48,""))</f>
        <v/>
      </c>
      <c r="F49" s="1" t="str">
        <f aca="false">IF('📖 Review Tracker'!$C48="","",IF(OR('📖 Review Tracker'!$O48="🔴 OVERDUE",'📖 Review Tracker'!$O48="🟡 TODAY"),IF('📖 Review Tracker'!$F48="","J1",IF('📖 Review Tracker'!$G48="","J3",IF('📖 Review Tracker'!$H48="","J7",IF('📖 Review Tracker'!$I48="","J15",IF('📖 Review Tracker'!$J48="","J30",IF('📖 Review Tracker'!$K48="","J60","J90")))))),""))</f>
        <v/>
      </c>
      <c r="G49" s="1" t="str">
        <f aca="false">IF('📖 Review Tracker'!$C48="","",IF(OR('📖 Review Tracker'!$O48="🔴 OVERDUE",'📖 Review Tracker'!$O48="🟡 TODAY"),'📖 Review Tracker'!$O48,""))</f>
        <v/>
      </c>
      <c r="H49" s="1" t="str">
        <f aca="true">IF(I49="✅ Done",TEXT(TODAY(),"DD/MM/YYYY"),"")</f>
        <v/>
      </c>
    </row>
    <row r="50" customFormat="false" ht="15" hidden="false" customHeight="true" outlineLevel="0" collapsed="false">
      <c r="A50" s="1" t="str">
        <f aca="false">IF('📖 Review Tracker'!$C49="","",IF(OR('📖 Review Tracker'!$O49="🔴 OVERDUE",'📖 Review Tracker'!$O49="🟡 TODAY"),49,""))</f>
        <v/>
      </c>
      <c r="B50" s="1" t="str">
        <f aca="false">IF('📖 Review Tracker'!$C49="","",IF(OR('📖 Review Tracker'!$O49="🔴 OVERDUE",'📖 Review Tracker'!$O49="🟡 TODAY"),'📖 Review Tracker'!$A49,""))</f>
        <v/>
      </c>
      <c r="C50" s="1" t="str">
        <f aca="false">IF('📖 Review Tracker'!$C49="","",IF(OR('📖 Review Tracker'!$O49="🔴 OVERDUE",'📖 Review Tracker'!$O49="🟡 TODAY"),'📖 Review Tracker'!$C49,""))</f>
        <v/>
      </c>
      <c r="D50" s="1" t="str">
        <f aca="false">IF('📖 Review Tracker'!$C49="","",IF(OR('📖 Review Tracker'!$O49="🔴 OVERDUE",'📖 Review Tracker'!$O49="🟡 TODAY"),TEXT('📖 Review Tracker'!$M49,"DD/MM/YYYY"),""))</f>
        <v/>
      </c>
      <c r="E50" s="1" t="str">
        <f aca="false">IF('📖 Review Tracker'!$C49="","",IF(OR('📖 Review Tracker'!$O49="🔴 OVERDUE",'📖 Review Tracker'!$O49="🟡 TODAY"),'📖 Review Tracker'!$N49,""))</f>
        <v/>
      </c>
      <c r="F50" s="1" t="str">
        <f aca="false">IF('📖 Review Tracker'!$C49="","",IF(OR('📖 Review Tracker'!$O49="🔴 OVERDUE",'📖 Review Tracker'!$O49="🟡 TODAY"),IF('📖 Review Tracker'!$F49="","J1",IF('📖 Review Tracker'!$G49="","J3",IF('📖 Review Tracker'!$H49="","J7",IF('📖 Review Tracker'!$I49="","J15",IF('📖 Review Tracker'!$J49="","J30",IF('📖 Review Tracker'!$K49="","J60","J90")))))),""))</f>
        <v/>
      </c>
      <c r="G50" s="1" t="str">
        <f aca="false">IF('📖 Review Tracker'!$C49="","",IF(OR('📖 Review Tracker'!$O49="🔴 OVERDUE",'📖 Review Tracker'!$O49="🟡 TODAY"),'📖 Review Tracker'!$O49,""))</f>
        <v/>
      </c>
      <c r="H50" s="1" t="str">
        <f aca="true">IF(I50="✅ Done",TEXT(TODAY(),"DD/MM/YYYY"),"")</f>
        <v/>
      </c>
    </row>
    <row r="51" customFormat="false" ht="15" hidden="false" customHeight="true" outlineLevel="0" collapsed="false">
      <c r="A51" s="1" t="str">
        <f aca="false">IF('📖 Review Tracker'!$C50="","",IF(OR('📖 Review Tracker'!$O50="🔴 OVERDUE",'📖 Review Tracker'!$O50="🟡 TODAY"),50,""))</f>
        <v/>
      </c>
      <c r="B51" s="1" t="str">
        <f aca="false">IF('📖 Review Tracker'!$C50="","",IF(OR('📖 Review Tracker'!$O50="🔴 OVERDUE",'📖 Review Tracker'!$O50="🟡 TODAY"),'📖 Review Tracker'!$A50,""))</f>
        <v/>
      </c>
      <c r="C51" s="1" t="str">
        <f aca="false">IF('📖 Review Tracker'!$C50="","",IF(OR('📖 Review Tracker'!$O50="🔴 OVERDUE",'📖 Review Tracker'!$O50="🟡 TODAY"),'📖 Review Tracker'!$C50,""))</f>
        <v/>
      </c>
      <c r="D51" s="1" t="str">
        <f aca="false">IF('📖 Review Tracker'!$C50="","",IF(OR('📖 Review Tracker'!$O50="🔴 OVERDUE",'📖 Review Tracker'!$O50="🟡 TODAY"),TEXT('📖 Review Tracker'!$M50,"DD/MM/YYYY"),""))</f>
        <v/>
      </c>
      <c r="E51" s="1" t="str">
        <f aca="false">IF('📖 Review Tracker'!$C50="","",IF(OR('📖 Review Tracker'!$O50="🔴 OVERDUE",'📖 Review Tracker'!$O50="🟡 TODAY"),'📖 Review Tracker'!$N50,""))</f>
        <v/>
      </c>
      <c r="F51" s="1" t="str">
        <f aca="false">IF('📖 Review Tracker'!$C50="","",IF(OR('📖 Review Tracker'!$O50="🔴 OVERDUE",'📖 Review Tracker'!$O50="🟡 TODAY"),IF('📖 Review Tracker'!$F50="","J1",IF('📖 Review Tracker'!$G50="","J3",IF('📖 Review Tracker'!$H50="","J7",IF('📖 Review Tracker'!$I50="","J15",IF('📖 Review Tracker'!$J50="","J30",IF('📖 Review Tracker'!$K50="","J60","J90")))))),""))</f>
        <v/>
      </c>
      <c r="G51" s="1" t="str">
        <f aca="false">IF('📖 Review Tracker'!$C50="","",IF(OR('📖 Review Tracker'!$O50="🔴 OVERDUE",'📖 Review Tracker'!$O50="🟡 TODAY"),'📖 Review Tracker'!$O50,""))</f>
        <v/>
      </c>
      <c r="H51" s="1" t="str">
        <f aca="true">IF(I51="✅ Done",TEXT(TODAY(),"DD/MM/YYYY"),"")</f>
        <v/>
      </c>
    </row>
    <row r="52" customFormat="false" ht="15" hidden="false" customHeight="true" outlineLevel="0" collapsed="false">
      <c r="A52" s="1" t="str">
        <f aca="false">IF('📖 Review Tracker'!$C51="","",IF(OR('📖 Review Tracker'!$O51="🔴 OVERDUE",'📖 Review Tracker'!$O51="🟡 TODAY"),51,""))</f>
        <v/>
      </c>
      <c r="B52" s="1" t="str">
        <f aca="false">IF('📖 Review Tracker'!$C51="","",IF(OR('📖 Review Tracker'!$O51="🔴 OVERDUE",'📖 Review Tracker'!$O51="🟡 TODAY"),'📖 Review Tracker'!$A51,""))</f>
        <v/>
      </c>
      <c r="C52" s="1" t="str">
        <f aca="false">IF('📖 Review Tracker'!$C51="","",IF(OR('📖 Review Tracker'!$O51="🔴 OVERDUE",'📖 Review Tracker'!$O51="🟡 TODAY"),'📖 Review Tracker'!$C51,""))</f>
        <v/>
      </c>
      <c r="D52" s="1" t="str">
        <f aca="false">IF('📖 Review Tracker'!$C51="","",IF(OR('📖 Review Tracker'!$O51="🔴 OVERDUE",'📖 Review Tracker'!$O51="🟡 TODAY"),TEXT('📖 Review Tracker'!$M51,"DD/MM/YYYY"),""))</f>
        <v/>
      </c>
      <c r="E52" s="1" t="str">
        <f aca="false">IF('📖 Review Tracker'!$C51="","",IF(OR('📖 Review Tracker'!$O51="🔴 OVERDUE",'📖 Review Tracker'!$O51="🟡 TODAY"),'📖 Review Tracker'!$N51,""))</f>
        <v/>
      </c>
      <c r="F52" s="1" t="str">
        <f aca="false">IF('📖 Review Tracker'!$C51="","",IF(OR('📖 Review Tracker'!$O51="🔴 OVERDUE",'📖 Review Tracker'!$O51="🟡 TODAY"),IF('📖 Review Tracker'!$F51="","J1",IF('📖 Review Tracker'!$G51="","J3",IF('📖 Review Tracker'!$H51="","J7",IF('📖 Review Tracker'!$I51="","J15",IF('📖 Review Tracker'!$J51="","J30",IF('📖 Review Tracker'!$K51="","J60","J90")))))),""))</f>
        <v/>
      </c>
      <c r="G52" s="1" t="str">
        <f aca="false">IF('📖 Review Tracker'!$C51="","",IF(OR('📖 Review Tracker'!$O51="🔴 OVERDUE",'📖 Review Tracker'!$O51="🟡 TODAY"),'📖 Review Tracker'!$O51,""))</f>
        <v/>
      </c>
      <c r="H52" s="1" t="str">
        <f aca="true">IF(I52="✅ Done",TEXT(TODAY(),"DD/MM/YYYY"),"")</f>
        <v/>
      </c>
    </row>
    <row r="53" customFormat="false" ht="15" hidden="false" customHeight="true" outlineLevel="0" collapsed="false">
      <c r="A53" s="1" t="str">
        <f aca="false">IF('📖 Review Tracker'!$C52="","",IF(OR('📖 Review Tracker'!$O52="🔴 OVERDUE",'📖 Review Tracker'!$O52="🟡 TODAY"),52,""))</f>
        <v/>
      </c>
      <c r="B53" s="1" t="str">
        <f aca="false">IF('📖 Review Tracker'!$C52="","",IF(OR('📖 Review Tracker'!$O52="🔴 OVERDUE",'📖 Review Tracker'!$O52="🟡 TODAY"),'📖 Review Tracker'!$A52,""))</f>
        <v/>
      </c>
      <c r="C53" s="1" t="str">
        <f aca="false">IF('📖 Review Tracker'!$C52="","",IF(OR('📖 Review Tracker'!$O52="🔴 OVERDUE",'📖 Review Tracker'!$O52="🟡 TODAY"),'📖 Review Tracker'!$C52,""))</f>
        <v/>
      </c>
      <c r="D53" s="1" t="str">
        <f aca="false">IF('📖 Review Tracker'!$C52="","",IF(OR('📖 Review Tracker'!$O52="🔴 OVERDUE",'📖 Review Tracker'!$O52="🟡 TODAY"),TEXT('📖 Review Tracker'!$M52,"DD/MM/YYYY"),""))</f>
        <v/>
      </c>
      <c r="E53" s="1" t="str">
        <f aca="false">IF('📖 Review Tracker'!$C52="","",IF(OR('📖 Review Tracker'!$O52="🔴 OVERDUE",'📖 Review Tracker'!$O52="🟡 TODAY"),'📖 Review Tracker'!$N52,""))</f>
        <v/>
      </c>
      <c r="F53" s="1" t="str">
        <f aca="false">IF('📖 Review Tracker'!$C52="","",IF(OR('📖 Review Tracker'!$O52="🔴 OVERDUE",'📖 Review Tracker'!$O52="🟡 TODAY"),IF('📖 Review Tracker'!$F52="","J1",IF('📖 Review Tracker'!$G52="","J3",IF('📖 Review Tracker'!$H52="","J7",IF('📖 Review Tracker'!$I52="","J15",IF('📖 Review Tracker'!$J52="","J30",IF('📖 Review Tracker'!$K52="","J60","J90")))))),""))</f>
        <v/>
      </c>
      <c r="G53" s="1" t="str">
        <f aca="false">IF('📖 Review Tracker'!$C52="","",IF(OR('📖 Review Tracker'!$O52="🔴 OVERDUE",'📖 Review Tracker'!$O52="🟡 TODAY"),'📖 Review Tracker'!$O52,""))</f>
        <v/>
      </c>
      <c r="H53" s="1" t="str">
        <f aca="true">IF(I53="✅ Done",TEXT(TODAY(),"DD/MM/YYYY"),"")</f>
        <v/>
      </c>
    </row>
    <row r="54" customFormat="false" ht="15" hidden="false" customHeight="true" outlineLevel="0" collapsed="false">
      <c r="A54" s="1" t="str">
        <f aca="false">IF('📖 Review Tracker'!$C53="","",IF(OR('📖 Review Tracker'!$O53="🔴 OVERDUE",'📖 Review Tracker'!$O53="🟡 TODAY"),53,""))</f>
        <v/>
      </c>
      <c r="B54" s="1" t="str">
        <f aca="false">IF('📖 Review Tracker'!$C53="","",IF(OR('📖 Review Tracker'!$O53="🔴 OVERDUE",'📖 Review Tracker'!$O53="🟡 TODAY"),'📖 Review Tracker'!$A53,""))</f>
        <v/>
      </c>
      <c r="C54" s="1" t="str">
        <f aca="false">IF('📖 Review Tracker'!$C53="","",IF(OR('📖 Review Tracker'!$O53="🔴 OVERDUE",'📖 Review Tracker'!$O53="🟡 TODAY"),'📖 Review Tracker'!$C53,""))</f>
        <v/>
      </c>
      <c r="D54" s="1" t="str">
        <f aca="false">IF('📖 Review Tracker'!$C53="","",IF(OR('📖 Review Tracker'!$O53="🔴 OVERDUE",'📖 Review Tracker'!$O53="🟡 TODAY"),TEXT('📖 Review Tracker'!$M53,"DD/MM/YYYY"),""))</f>
        <v/>
      </c>
      <c r="E54" s="1" t="str">
        <f aca="false">IF('📖 Review Tracker'!$C53="","",IF(OR('📖 Review Tracker'!$O53="🔴 OVERDUE",'📖 Review Tracker'!$O53="🟡 TODAY"),'📖 Review Tracker'!$N53,""))</f>
        <v/>
      </c>
      <c r="F54" s="1" t="str">
        <f aca="false">IF('📖 Review Tracker'!$C53="","",IF(OR('📖 Review Tracker'!$O53="🔴 OVERDUE",'📖 Review Tracker'!$O53="🟡 TODAY"),IF('📖 Review Tracker'!$F53="","J1",IF('📖 Review Tracker'!$G53="","J3",IF('📖 Review Tracker'!$H53="","J7",IF('📖 Review Tracker'!$I53="","J15",IF('📖 Review Tracker'!$J53="","J30",IF('📖 Review Tracker'!$K53="","J60","J90")))))),""))</f>
        <v/>
      </c>
      <c r="G54" s="1" t="str">
        <f aca="false">IF('📖 Review Tracker'!$C53="","",IF(OR('📖 Review Tracker'!$O53="🔴 OVERDUE",'📖 Review Tracker'!$O53="🟡 TODAY"),'📖 Review Tracker'!$O53,""))</f>
        <v/>
      </c>
      <c r="H54" s="1" t="str">
        <f aca="true">IF(I54="✅ Done",TEXT(TODAY(),"DD/MM/YYYY"),"")</f>
        <v/>
      </c>
    </row>
  </sheetData>
  <mergeCells count="2">
    <mergeCell ref="A1:I1"/>
    <mergeCell ref="A3:I3"/>
  </mergeCells>
  <dataValidations count="1">
    <dataValidation allowBlank="true" errorStyle="stop" operator="between" showDropDown="false" showErrorMessage="false" showInputMessage="false" sqref="I5:I54" type="list">
      <formula1>"Select,✅ Done,⏭️ Skip"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32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7" min="6" style="1" width="12"/>
  </cols>
  <sheetData>
    <row r="1" customFormat="false" ht="34.5" hidden="false" customHeight="true" outlineLevel="0" collapsed="false">
      <c r="A1" s="11" t="s">
        <v>41</v>
      </c>
      <c r="B1" s="11"/>
      <c r="C1" s="11"/>
      <c r="D1" s="11"/>
      <c r="E1" s="11"/>
      <c r="F1" s="11"/>
      <c r="G1" s="11"/>
      <c r="H1" s="11"/>
    </row>
    <row r="2" customFormat="false" ht="17.25" hidden="false" customHeight="true" outlineLevel="0" collapsed="false">
      <c r="A2" s="7" t="s">
        <v>42</v>
      </c>
      <c r="B2" s="12" t="n">
        <f aca="false">COUNTIFS('📖 Review Tracker'!$O:$O,"🔴 OVERDUE")</f>
        <v>0</v>
      </c>
    </row>
    <row r="3" customFormat="false" ht="24.75" hidden="false" customHeight="true" outlineLevel="0" collapsed="false">
      <c r="A3" s="13" t="s">
        <v>43</v>
      </c>
      <c r="B3" s="13"/>
      <c r="C3" s="13"/>
      <c r="D3" s="13"/>
      <c r="E3" s="13"/>
      <c r="F3" s="13"/>
      <c r="G3" s="13"/>
      <c r="H3" s="13"/>
    </row>
    <row r="4" customFormat="false" ht="30" hidden="false" customHeight="true" outlineLevel="0" collapsed="false">
      <c r="A4" s="14" t="s">
        <v>33</v>
      </c>
      <c r="B4" s="14" t="s">
        <v>2</v>
      </c>
      <c r="C4" s="14" t="s">
        <v>34</v>
      </c>
      <c r="D4" s="14" t="s">
        <v>44</v>
      </c>
      <c r="E4" s="14" t="s">
        <v>36</v>
      </c>
      <c r="F4" s="14" t="s">
        <v>37</v>
      </c>
      <c r="G4" s="14" t="s">
        <v>38</v>
      </c>
    </row>
    <row r="5" customFormat="false" ht="15" hidden="false" customHeight="true" outlineLevel="0" collapsed="false">
      <c r="A5" s="1" t="str">
        <f aca="false">IF('📖 Review Tracker'!$O4="🔴 OVERDUE",4,"")</f>
        <v/>
      </c>
      <c r="B5" s="1" t="str">
        <f aca="false">IF('📖 Review Tracker'!$O4="🔴 OVERDUE",'📖 Review Tracker'!$A4,"")</f>
        <v/>
      </c>
      <c r="C5" s="1" t="str">
        <f aca="false">IF('📖 Review Tracker'!$O4="🔴 OVERDUE",'📖 Review Tracker'!$C4,"")</f>
        <v/>
      </c>
      <c r="D5" s="1" t="str">
        <f aca="false">IF('📖 Review Tracker'!$O4="🔴 OVERDUE",TEXT('📖 Review Tracker'!$M4,"DD/MM/YYYY"),"")</f>
        <v/>
      </c>
      <c r="E5" s="1" t="str">
        <f aca="false">IF('📖 Review Tracker'!$O4="🔴 OVERDUE",'📖 Review Tracker'!$N4,"")</f>
        <v/>
      </c>
      <c r="F5" s="1" t="str">
        <f aca="false">IF('📖 Review Tracker'!$O4="🔴 OVERDUE",IF('📖 Review Tracker'!$F4="","J1",IF('📖 Review Tracker'!$G4="","J3",IF('📖 Review Tracker'!$H4="","J7",IF('📖 Review Tracker'!$I4="","J15",IF('📖 Review Tracker'!$J4="","J30",IF('📖 Review Tracker'!$K4="","J60","J90")))))),"")</f>
        <v/>
      </c>
      <c r="G5" s="1" t="str">
        <f aca="false">IF('📖 Review Tracker'!$O4="🔴 OVERDUE","🔴 CRITICAL","")</f>
        <v/>
      </c>
    </row>
    <row r="6" customFormat="false" ht="15" hidden="false" customHeight="true" outlineLevel="0" collapsed="false">
      <c r="A6" s="1" t="str">
        <f aca="false">IF('📖 Review Tracker'!$O5="🔴 OVERDUE",5,"")</f>
        <v/>
      </c>
      <c r="B6" s="1" t="str">
        <f aca="false">IF('📖 Review Tracker'!$O5="🔴 OVERDUE",'📖 Review Tracker'!$A5,"")</f>
        <v/>
      </c>
      <c r="C6" s="1" t="str">
        <f aca="false">IF('📖 Review Tracker'!$O5="🔴 OVERDUE",'📖 Review Tracker'!$C5,"")</f>
        <v/>
      </c>
      <c r="D6" s="1" t="str">
        <f aca="false">IF('📖 Review Tracker'!$O5="🔴 OVERDUE",TEXT('📖 Review Tracker'!$M5,"DD/MM/YYYY"),"")</f>
        <v/>
      </c>
      <c r="E6" s="1" t="str">
        <f aca="false">IF('📖 Review Tracker'!$O5="🔴 OVERDUE",'📖 Review Tracker'!$N5,"")</f>
        <v/>
      </c>
      <c r="F6" s="1" t="str">
        <f aca="false">IF('📖 Review Tracker'!$O5="🔴 OVERDUE",IF('📖 Review Tracker'!$F5="","J1",IF('📖 Review Tracker'!$G5="","J3",IF('📖 Review Tracker'!$H5="","J7",IF('📖 Review Tracker'!$I5="","J15",IF('📖 Review Tracker'!$J5="","J30",IF('📖 Review Tracker'!$K5="","J60","J90")))))),"")</f>
        <v/>
      </c>
      <c r="G6" s="1" t="str">
        <f aca="false">IF('📖 Review Tracker'!$O5="🔴 OVERDUE","🔴 CRITICAL","")</f>
        <v/>
      </c>
    </row>
    <row r="7" customFormat="false" ht="15" hidden="false" customHeight="true" outlineLevel="0" collapsed="false">
      <c r="A7" s="1" t="str">
        <f aca="false">IF('📖 Review Tracker'!$O6="🔴 OVERDUE",6,"")</f>
        <v/>
      </c>
      <c r="B7" s="1" t="str">
        <f aca="false">IF('📖 Review Tracker'!$O6="🔴 OVERDUE",'📖 Review Tracker'!$A6,"")</f>
        <v/>
      </c>
      <c r="C7" s="1" t="str">
        <f aca="false">IF('📖 Review Tracker'!$O6="🔴 OVERDUE",'📖 Review Tracker'!$C6,"")</f>
        <v/>
      </c>
      <c r="D7" s="1" t="str">
        <f aca="false">IF('📖 Review Tracker'!$O6="🔴 OVERDUE",TEXT('📖 Review Tracker'!$M6,"DD/MM/YYYY"),"")</f>
        <v/>
      </c>
      <c r="E7" s="1" t="str">
        <f aca="false">IF('📖 Review Tracker'!$O6="🔴 OVERDUE",'📖 Review Tracker'!$N6,"")</f>
        <v/>
      </c>
      <c r="F7" s="1" t="str">
        <f aca="false">IF('📖 Review Tracker'!$O6="🔴 OVERDUE",IF('📖 Review Tracker'!$F6="","J1",IF('📖 Review Tracker'!$G6="","J3",IF('📖 Review Tracker'!$H6="","J7",IF('📖 Review Tracker'!$I6="","J15",IF('📖 Review Tracker'!$J6="","J30",IF('📖 Review Tracker'!$K6="","J60","J90")))))),"")</f>
        <v/>
      </c>
      <c r="G7" s="1" t="str">
        <f aca="false">IF('📖 Review Tracker'!$O6="🔴 OVERDUE","🔴 CRITICAL","")</f>
        <v/>
      </c>
    </row>
    <row r="8" customFormat="false" ht="15" hidden="false" customHeight="true" outlineLevel="0" collapsed="false">
      <c r="A8" s="1" t="str">
        <f aca="false">IF('📖 Review Tracker'!$O7="🔴 OVERDUE",7,"")</f>
        <v/>
      </c>
      <c r="B8" s="1" t="str">
        <f aca="false">IF('📖 Review Tracker'!$O7="🔴 OVERDUE",'📖 Review Tracker'!$A7,"")</f>
        <v/>
      </c>
      <c r="C8" s="1" t="str">
        <f aca="false">IF('📖 Review Tracker'!$O7="🔴 OVERDUE",'📖 Review Tracker'!$C7,"")</f>
        <v/>
      </c>
      <c r="D8" s="1" t="str">
        <f aca="false">IF('📖 Review Tracker'!$O7="🔴 OVERDUE",TEXT('📖 Review Tracker'!$M7,"DD/MM/YYYY"),"")</f>
        <v/>
      </c>
      <c r="E8" s="1" t="str">
        <f aca="false">IF('📖 Review Tracker'!$O7="🔴 OVERDUE",'📖 Review Tracker'!$N7,"")</f>
        <v/>
      </c>
      <c r="F8" s="1" t="str">
        <f aca="false">IF('📖 Review Tracker'!$O7="🔴 OVERDUE",IF('📖 Review Tracker'!$F7="","J1",IF('📖 Review Tracker'!$G7="","J3",IF('📖 Review Tracker'!$H7="","J7",IF('📖 Review Tracker'!$I7="","J15",IF('📖 Review Tracker'!$J7="","J30",IF('📖 Review Tracker'!$K7="","J60","J90")))))),"")</f>
        <v/>
      </c>
      <c r="G8" s="1" t="str">
        <f aca="false">IF('📖 Review Tracker'!$O7="🔴 OVERDUE","🔴 CRITICAL","")</f>
        <v/>
      </c>
    </row>
    <row r="9" customFormat="false" ht="15" hidden="false" customHeight="true" outlineLevel="0" collapsed="false">
      <c r="A9" s="1" t="str">
        <f aca="false">IF('📖 Review Tracker'!$O8="🔴 OVERDUE",8,"")</f>
        <v/>
      </c>
      <c r="B9" s="1" t="str">
        <f aca="false">IF('📖 Review Tracker'!$O8="🔴 OVERDUE",'📖 Review Tracker'!$A8,"")</f>
        <v/>
      </c>
      <c r="C9" s="1" t="str">
        <f aca="false">IF('📖 Review Tracker'!$O8="🔴 OVERDUE",'📖 Review Tracker'!$C8,"")</f>
        <v/>
      </c>
      <c r="D9" s="1" t="str">
        <f aca="false">IF('📖 Review Tracker'!$O8="🔴 OVERDUE",TEXT('📖 Review Tracker'!$M8,"DD/MM/YYYY"),"")</f>
        <v/>
      </c>
      <c r="E9" s="1" t="str">
        <f aca="false">IF('📖 Review Tracker'!$O8="🔴 OVERDUE",'📖 Review Tracker'!$N8,"")</f>
        <v/>
      </c>
      <c r="F9" s="1" t="str">
        <f aca="false">IF('📖 Review Tracker'!$O8="🔴 OVERDUE",IF('📖 Review Tracker'!$F8="","J1",IF('📖 Review Tracker'!$G8="","J3",IF('📖 Review Tracker'!$H8="","J7",IF('📖 Review Tracker'!$I8="","J15",IF('📖 Review Tracker'!$J8="","J30",IF('📖 Review Tracker'!$K8="","J60","J90")))))),"")</f>
        <v/>
      </c>
      <c r="G9" s="1" t="str">
        <f aca="false">IF('📖 Review Tracker'!$O8="🔴 OVERDUE","🔴 CRITICAL","")</f>
        <v/>
      </c>
    </row>
    <row r="10" customFormat="false" ht="15" hidden="false" customHeight="true" outlineLevel="0" collapsed="false">
      <c r="A10" s="1" t="str">
        <f aca="false">IF('📖 Review Tracker'!$O9="🔴 OVERDUE",9,"")</f>
        <v/>
      </c>
      <c r="B10" s="1" t="str">
        <f aca="false">IF('📖 Review Tracker'!$O9="🔴 OVERDUE",'📖 Review Tracker'!$A9,"")</f>
        <v/>
      </c>
      <c r="C10" s="1" t="str">
        <f aca="false">IF('📖 Review Tracker'!$O9="🔴 OVERDUE",'📖 Review Tracker'!$C9,"")</f>
        <v/>
      </c>
      <c r="D10" s="1" t="str">
        <f aca="false">IF('📖 Review Tracker'!$O9="🔴 OVERDUE",TEXT('📖 Review Tracker'!$M9,"DD/MM/YYYY"),"")</f>
        <v/>
      </c>
      <c r="E10" s="1" t="str">
        <f aca="false">IF('📖 Review Tracker'!$O9="🔴 OVERDUE",'📖 Review Tracker'!$N9,"")</f>
        <v/>
      </c>
      <c r="F10" s="1" t="str">
        <f aca="false">IF('📖 Review Tracker'!$O9="🔴 OVERDUE",IF('📖 Review Tracker'!$F9="","J1",IF('📖 Review Tracker'!$G9="","J3",IF('📖 Review Tracker'!$H9="","J7",IF('📖 Review Tracker'!$I9="","J15",IF('📖 Review Tracker'!$J9="","J30",IF('📖 Review Tracker'!$K9="","J60","J90")))))),"")</f>
        <v/>
      </c>
      <c r="G10" s="1" t="str">
        <f aca="false">IF('📖 Review Tracker'!$O9="🔴 OVERDUE","🔴 CRITICAL","")</f>
        <v/>
      </c>
    </row>
    <row r="11" customFormat="false" ht="15" hidden="false" customHeight="true" outlineLevel="0" collapsed="false">
      <c r="A11" s="1" t="str">
        <f aca="false">IF('📖 Review Tracker'!$O10="🔴 OVERDUE",10,"")</f>
        <v/>
      </c>
      <c r="B11" s="1" t="str">
        <f aca="false">IF('📖 Review Tracker'!$O10="🔴 OVERDUE",'📖 Review Tracker'!$A10,"")</f>
        <v/>
      </c>
      <c r="C11" s="1" t="str">
        <f aca="false">IF('📖 Review Tracker'!$O10="🔴 OVERDUE",'📖 Review Tracker'!$C10,"")</f>
        <v/>
      </c>
      <c r="D11" s="1" t="str">
        <f aca="false">IF('📖 Review Tracker'!$O10="🔴 OVERDUE",TEXT('📖 Review Tracker'!$M10,"DD/MM/YYYY"),"")</f>
        <v/>
      </c>
      <c r="E11" s="1" t="str">
        <f aca="false">IF('📖 Review Tracker'!$O10="🔴 OVERDUE",'📖 Review Tracker'!$N10,"")</f>
        <v/>
      </c>
      <c r="F11" s="1" t="str">
        <f aca="false">IF('📖 Review Tracker'!$O10="🔴 OVERDUE",IF('📖 Review Tracker'!$F10="","J1",IF('📖 Review Tracker'!$G10="","J3",IF('📖 Review Tracker'!$H10="","J7",IF('📖 Review Tracker'!$I10="","J15",IF('📖 Review Tracker'!$J10="","J30",IF('📖 Review Tracker'!$K10="","J60","J90")))))),"")</f>
        <v/>
      </c>
      <c r="G11" s="1" t="str">
        <f aca="false">IF('📖 Review Tracker'!$O10="🔴 OVERDUE","🔴 CRITICAL","")</f>
        <v/>
      </c>
    </row>
    <row r="12" customFormat="false" ht="15" hidden="false" customHeight="true" outlineLevel="0" collapsed="false">
      <c r="A12" s="1" t="str">
        <f aca="false">IF('📖 Review Tracker'!$O11="🔴 OVERDUE",11,"")</f>
        <v/>
      </c>
      <c r="B12" s="1" t="str">
        <f aca="false">IF('📖 Review Tracker'!$O11="🔴 OVERDUE",'📖 Review Tracker'!$A11,"")</f>
        <v/>
      </c>
      <c r="C12" s="1" t="str">
        <f aca="false">IF('📖 Review Tracker'!$O11="🔴 OVERDUE",'📖 Review Tracker'!$C11,"")</f>
        <v/>
      </c>
      <c r="D12" s="1" t="str">
        <f aca="false">IF('📖 Review Tracker'!$O11="🔴 OVERDUE",TEXT('📖 Review Tracker'!$M11,"DD/MM/YYYY"),"")</f>
        <v/>
      </c>
      <c r="E12" s="1" t="str">
        <f aca="false">IF('📖 Review Tracker'!$O11="🔴 OVERDUE",'📖 Review Tracker'!$N11,"")</f>
        <v/>
      </c>
      <c r="F12" s="1" t="str">
        <f aca="false">IF('📖 Review Tracker'!$O11="🔴 OVERDUE",IF('📖 Review Tracker'!$F11="","J1",IF('📖 Review Tracker'!$G11="","J3",IF('📖 Review Tracker'!$H11="","J7",IF('📖 Review Tracker'!$I11="","J15",IF('📖 Review Tracker'!$J11="","J30",IF('📖 Review Tracker'!$K11="","J60","J90")))))),"")</f>
        <v/>
      </c>
      <c r="G12" s="1" t="str">
        <f aca="false">IF('📖 Review Tracker'!$O11="🔴 OVERDUE","🔴 CRITICAL","")</f>
        <v/>
      </c>
    </row>
    <row r="13" customFormat="false" ht="15" hidden="false" customHeight="true" outlineLevel="0" collapsed="false">
      <c r="A13" s="1" t="str">
        <f aca="false">IF('📖 Review Tracker'!$O12="🔴 OVERDUE",12,"")</f>
        <v/>
      </c>
      <c r="B13" s="1" t="str">
        <f aca="false">IF('📖 Review Tracker'!$O12="🔴 OVERDUE",'📖 Review Tracker'!$A12,"")</f>
        <v/>
      </c>
      <c r="C13" s="1" t="str">
        <f aca="false">IF('📖 Review Tracker'!$O12="🔴 OVERDUE",'📖 Review Tracker'!$C12,"")</f>
        <v/>
      </c>
      <c r="D13" s="1" t="str">
        <f aca="false">IF('📖 Review Tracker'!$O12="🔴 OVERDUE",TEXT('📖 Review Tracker'!$M12,"DD/MM/YYYY"),"")</f>
        <v/>
      </c>
      <c r="E13" s="1" t="str">
        <f aca="false">IF('📖 Review Tracker'!$O12="🔴 OVERDUE",'📖 Review Tracker'!$N12,"")</f>
        <v/>
      </c>
      <c r="F13" s="1" t="str">
        <f aca="false">IF('📖 Review Tracker'!$O12="🔴 OVERDUE",IF('📖 Review Tracker'!$F12="","J1",IF('📖 Review Tracker'!$G12="","J3",IF('📖 Review Tracker'!$H12="","J7",IF('📖 Review Tracker'!$I12="","J15",IF('📖 Review Tracker'!$J12="","J30",IF('📖 Review Tracker'!$K12="","J60","J90")))))),"")</f>
        <v/>
      </c>
      <c r="G13" s="1" t="str">
        <f aca="false">IF('📖 Review Tracker'!$O12="🔴 OVERDUE","🔴 CRITICAL","")</f>
        <v/>
      </c>
    </row>
    <row r="14" customFormat="false" ht="15" hidden="false" customHeight="true" outlineLevel="0" collapsed="false">
      <c r="A14" s="1" t="str">
        <f aca="false">IF('📖 Review Tracker'!$O13="🔴 OVERDUE",13,"")</f>
        <v/>
      </c>
      <c r="B14" s="1" t="str">
        <f aca="false">IF('📖 Review Tracker'!$O13="🔴 OVERDUE",'📖 Review Tracker'!$A13,"")</f>
        <v/>
      </c>
      <c r="C14" s="1" t="str">
        <f aca="false">IF('📖 Review Tracker'!$O13="🔴 OVERDUE",'📖 Review Tracker'!$C13,"")</f>
        <v/>
      </c>
      <c r="D14" s="1" t="str">
        <f aca="false">IF('📖 Review Tracker'!$O13="🔴 OVERDUE",TEXT('📖 Review Tracker'!$M13,"DD/MM/YYYY"),"")</f>
        <v/>
      </c>
      <c r="E14" s="1" t="str">
        <f aca="false">IF('📖 Review Tracker'!$O13="🔴 OVERDUE",'📖 Review Tracker'!$N13,"")</f>
        <v/>
      </c>
      <c r="F14" s="1" t="str">
        <f aca="false">IF('📖 Review Tracker'!$O13="🔴 OVERDUE",IF('📖 Review Tracker'!$F13="","J1",IF('📖 Review Tracker'!$G13="","J3",IF('📖 Review Tracker'!$H13="","J7",IF('📖 Review Tracker'!$I13="","J15",IF('📖 Review Tracker'!$J13="","J30",IF('📖 Review Tracker'!$K13="","J60","J90")))))),"")</f>
        <v/>
      </c>
      <c r="G14" s="1" t="str">
        <f aca="false">IF('📖 Review Tracker'!$O13="🔴 OVERDUE","🔴 CRITICAL","")</f>
        <v/>
      </c>
    </row>
    <row r="15" customFormat="false" ht="15" hidden="false" customHeight="true" outlineLevel="0" collapsed="false">
      <c r="A15" s="1" t="str">
        <f aca="false">IF('📖 Review Tracker'!$O14="🔴 OVERDUE",14,"")</f>
        <v/>
      </c>
      <c r="B15" s="1" t="str">
        <f aca="false">IF('📖 Review Tracker'!$O14="🔴 OVERDUE",'📖 Review Tracker'!$A14,"")</f>
        <v/>
      </c>
      <c r="C15" s="1" t="str">
        <f aca="false">IF('📖 Review Tracker'!$O14="🔴 OVERDUE",'📖 Review Tracker'!$C14,"")</f>
        <v/>
      </c>
      <c r="D15" s="1" t="str">
        <f aca="false">IF('📖 Review Tracker'!$O14="🔴 OVERDUE",TEXT('📖 Review Tracker'!$M14,"DD/MM/YYYY"),"")</f>
        <v/>
      </c>
      <c r="E15" s="1" t="str">
        <f aca="false">IF('📖 Review Tracker'!$O14="🔴 OVERDUE",'📖 Review Tracker'!$N14,"")</f>
        <v/>
      </c>
      <c r="F15" s="1" t="str">
        <f aca="false">IF('📖 Review Tracker'!$O14="🔴 OVERDUE",IF('📖 Review Tracker'!$F14="","J1",IF('📖 Review Tracker'!$G14="","J3",IF('📖 Review Tracker'!$H14="","J7",IF('📖 Review Tracker'!$I14="","J15",IF('📖 Review Tracker'!$J14="","J30",IF('📖 Review Tracker'!$K14="","J60","J90")))))),"")</f>
        <v/>
      </c>
      <c r="G15" s="1" t="str">
        <f aca="false">IF('📖 Review Tracker'!$O14="🔴 OVERDUE","🔴 CRITICAL","")</f>
        <v/>
      </c>
    </row>
    <row r="16" customFormat="false" ht="15" hidden="false" customHeight="true" outlineLevel="0" collapsed="false">
      <c r="A16" s="1" t="str">
        <f aca="false">IF('📖 Review Tracker'!$O15="🔴 OVERDUE",15,"")</f>
        <v/>
      </c>
      <c r="B16" s="1" t="str">
        <f aca="false">IF('📖 Review Tracker'!$O15="🔴 OVERDUE",'📖 Review Tracker'!$A15,"")</f>
        <v/>
      </c>
      <c r="C16" s="1" t="str">
        <f aca="false">IF('📖 Review Tracker'!$O15="🔴 OVERDUE",'📖 Review Tracker'!$C15,"")</f>
        <v/>
      </c>
      <c r="D16" s="1" t="str">
        <f aca="false">IF('📖 Review Tracker'!$O15="🔴 OVERDUE",TEXT('📖 Review Tracker'!$M15,"DD/MM/YYYY"),"")</f>
        <v/>
      </c>
      <c r="E16" s="1" t="str">
        <f aca="false">IF('📖 Review Tracker'!$O15="🔴 OVERDUE",'📖 Review Tracker'!$N15,"")</f>
        <v/>
      </c>
      <c r="F16" s="1" t="str">
        <f aca="false">IF('📖 Review Tracker'!$O15="🔴 OVERDUE",IF('📖 Review Tracker'!$F15="","J1",IF('📖 Review Tracker'!$G15="","J3",IF('📖 Review Tracker'!$H15="","J7",IF('📖 Review Tracker'!$I15="","J15",IF('📖 Review Tracker'!$J15="","J30",IF('📖 Review Tracker'!$K15="","J60","J90")))))),"")</f>
        <v/>
      </c>
      <c r="G16" s="1" t="str">
        <f aca="false">IF('📖 Review Tracker'!$O15="🔴 OVERDUE","🔴 CRITICAL","")</f>
        <v/>
      </c>
    </row>
    <row r="17" customFormat="false" ht="15" hidden="false" customHeight="true" outlineLevel="0" collapsed="false">
      <c r="A17" s="1" t="str">
        <f aca="false">IF('📖 Review Tracker'!$O16="🔴 OVERDUE",16,"")</f>
        <v/>
      </c>
      <c r="B17" s="1" t="str">
        <f aca="false">IF('📖 Review Tracker'!$O16="🔴 OVERDUE",'📖 Review Tracker'!$A16,"")</f>
        <v/>
      </c>
      <c r="C17" s="1" t="str">
        <f aca="false">IF('📖 Review Tracker'!$O16="🔴 OVERDUE",'📖 Review Tracker'!$C16,"")</f>
        <v/>
      </c>
      <c r="D17" s="1" t="str">
        <f aca="false">IF('📖 Review Tracker'!$O16="🔴 OVERDUE",TEXT('📖 Review Tracker'!$M16,"DD/MM/YYYY"),"")</f>
        <v/>
      </c>
      <c r="E17" s="1" t="str">
        <f aca="false">IF('📖 Review Tracker'!$O16="🔴 OVERDUE",'📖 Review Tracker'!$N16,"")</f>
        <v/>
      </c>
      <c r="F17" s="1" t="str">
        <f aca="false">IF('📖 Review Tracker'!$O16="🔴 OVERDUE",IF('📖 Review Tracker'!$F16="","J1",IF('📖 Review Tracker'!$G16="","J3",IF('📖 Review Tracker'!$H16="","J7",IF('📖 Review Tracker'!$I16="","J15",IF('📖 Review Tracker'!$J16="","J30",IF('📖 Review Tracker'!$K16="","J60","J90")))))),"")</f>
        <v/>
      </c>
      <c r="G17" s="1" t="str">
        <f aca="false">IF('📖 Review Tracker'!$O16="🔴 OVERDUE","🔴 CRITICAL","")</f>
        <v/>
      </c>
    </row>
    <row r="18" customFormat="false" ht="15" hidden="false" customHeight="true" outlineLevel="0" collapsed="false">
      <c r="A18" s="1" t="str">
        <f aca="false">IF('📖 Review Tracker'!$O17="🔴 OVERDUE",17,"")</f>
        <v/>
      </c>
      <c r="B18" s="1" t="str">
        <f aca="false">IF('📖 Review Tracker'!$O17="🔴 OVERDUE",'📖 Review Tracker'!$A17,"")</f>
        <v/>
      </c>
      <c r="C18" s="1" t="str">
        <f aca="false">IF('📖 Review Tracker'!$O17="🔴 OVERDUE",'📖 Review Tracker'!$C17,"")</f>
        <v/>
      </c>
      <c r="D18" s="1" t="str">
        <f aca="false">IF('📖 Review Tracker'!$O17="🔴 OVERDUE",TEXT('📖 Review Tracker'!$M17,"DD/MM/YYYY"),"")</f>
        <v/>
      </c>
      <c r="E18" s="1" t="str">
        <f aca="false">IF('📖 Review Tracker'!$O17="🔴 OVERDUE",'📖 Review Tracker'!$N17,"")</f>
        <v/>
      </c>
      <c r="F18" s="1" t="str">
        <f aca="false">IF('📖 Review Tracker'!$O17="🔴 OVERDUE",IF('📖 Review Tracker'!$F17="","J1",IF('📖 Review Tracker'!$G17="","J3",IF('📖 Review Tracker'!$H17="","J7",IF('📖 Review Tracker'!$I17="","J15",IF('📖 Review Tracker'!$J17="","J30",IF('📖 Review Tracker'!$K17="","J60","J90")))))),"")</f>
        <v/>
      </c>
      <c r="G18" s="1" t="str">
        <f aca="false">IF('📖 Review Tracker'!$O17="🔴 OVERDUE","🔴 CRITICAL","")</f>
        <v/>
      </c>
    </row>
    <row r="19" customFormat="false" ht="15" hidden="false" customHeight="true" outlineLevel="0" collapsed="false">
      <c r="A19" s="1" t="str">
        <f aca="false">IF('📖 Review Tracker'!$O18="🔴 OVERDUE",18,"")</f>
        <v/>
      </c>
      <c r="B19" s="1" t="str">
        <f aca="false">IF('📖 Review Tracker'!$O18="🔴 OVERDUE",'📖 Review Tracker'!$A18,"")</f>
        <v/>
      </c>
      <c r="C19" s="1" t="str">
        <f aca="false">IF('📖 Review Tracker'!$O18="🔴 OVERDUE",'📖 Review Tracker'!$C18,"")</f>
        <v/>
      </c>
      <c r="D19" s="1" t="str">
        <f aca="false">IF('📖 Review Tracker'!$O18="🔴 OVERDUE",TEXT('📖 Review Tracker'!$M18,"DD/MM/YYYY"),"")</f>
        <v/>
      </c>
      <c r="E19" s="1" t="str">
        <f aca="false">IF('📖 Review Tracker'!$O18="🔴 OVERDUE",'📖 Review Tracker'!$N18,"")</f>
        <v/>
      </c>
      <c r="F19" s="1" t="str">
        <f aca="false">IF('📖 Review Tracker'!$O18="🔴 OVERDUE",IF('📖 Review Tracker'!$F18="","J1",IF('📖 Review Tracker'!$G18="","J3",IF('📖 Review Tracker'!$H18="","J7",IF('📖 Review Tracker'!$I18="","J15",IF('📖 Review Tracker'!$J18="","J30",IF('📖 Review Tracker'!$K18="","J60","J90")))))),"")</f>
        <v/>
      </c>
      <c r="G19" s="1" t="str">
        <f aca="false">IF('📖 Review Tracker'!$O18="🔴 OVERDUE","🔴 CRITICAL","")</f>
        <v/>
      </c>
    </row>
    <row r="20" customFormat="false" ht="15" hidden="false" customHeight="true" outlineLevel="0" collapsed="false">
      <c r="A20" s="1" t="str">
        <f aca="false">IF('📖 Review Tracker'!$O19="🔴 OVERDUE",19,"")</f>
        <v/>
      </c>
      <c r="B20" s="1" t="str">
        <f aca="false">IF('📖 Review Tracker'!$O19="🔴 OVERDUE",'📖 Review Tracker'!$A19,"")</f>
        <v/>
      </c>
      <c r="C20" s="1" t="str">
        <f aca="false">IF('📖 Review Tracker'!$O19="🔴 OVERDUE",'📖 Review Tracker'!$C19,"")</f>
        <v/>
      </c>
      <c r="D20" s="1" t="str">
        <f aca="false">IF('📖 Review Tracker'!$O19="🔴 OVERDUE",TEXT('📖 Review Tracker'!$M19,"DD/MM/YYYY"),"")</f>
        <v/>
      </c>
      <c r="E20" s="1" t="str">
        <f aca="false">IF('📖 Review Tracker'!$O19="🔴 OVERDUE",'📖 Review Tracker'!$N19,"")</f>
        <v/>
      </c>
      <c r="F20" s="1" t="str">
        <f aca="false">IF('📖 Review Tracker'!$O19="🔴 OVERDUE",IF('📖 Review Tracker'!$F19="","J1",IF('📖 Review Tracker'!$G19="","J3",IF('📖 Review Tracker'!$H19="","J7",IF('📖 Review Tracker'!$I19="","J15",IF('📖 Review Tracker'!$J19="","J30",IF('📖 Review Tracker'!$K19="","J60","J90")))))),"")</f>
        <v/>
      </c>
      <c r="G20" s="1" t="str">
        <f aca="false">IF('📖 Review Tracker'!$O19="🔴 OVERDUE","🔴 CRITICAL","")</f>
        <v/>
      </c>
    </row>
    <row r="21" customFormat="false" ht="15" hidden="false" customHeight="true" outlineLevel="0" collapsed="false">
      <c r="A21" s="1" t="str">
        <f aca="false">IF('📖 Review Tracker'!$O20="🔴 OVERDUE",20,"")</f>
        <v/>
      </c>
      <c r="B21" s="1" t="str">
        <f aca="false">IF('📖 Review Tracker'!$O20="🔴 OVERDUE",'📖 Review Tracker'!$A20,"")</f>
        <v/>
      </c>
      <c r="C21" s="1" t="str">
        <f aca="false">IF('📖 Review Tracker'!$O20="🔴 OVERDUE",'📖 Review Tracker'!$C20,"")</f>
        <v/>
      </c>
      <c r="D21" s="1" t="str">
        <f aca="false">IF('📖 Review Tracker'!$O20="🔴 OVERDUE",TEXT('📖 Review Tracker'!$M20,"DD/MM/YYYY"),"")</f>
        <v/>
      </c>
      <c r="E21" s="1" t="str">
        <f aca="false">IF('📖 Review Tracker'!$O20="🔴 OVERDUE",'📖 Review Tracker'!$N20,"")</f>
        <v/>
      </c>
      <c r="F21" s="1" t="str">
        <f aca="false">IF('📖 Review Tracker'!$O20="🔴 OVERDUE",IF('📖 Review Tracker'!$F20="","J1",IF('📖 Review Tracker'!$G20="","J3",IF('📖 Review Tracker'!$H20="","J7",IF('📖 Review Tracker'!$I20="","J15",IF('📖 Review Tracker'!$J20="","J30",IF('📖 Review Tracker'!$K20="","J60","J90")))))),"")</f>
        <v/>
      </c>
      <c r="G21" s="1" t="str">
        <f aca="false">IF('📖 Review Tracker'!$O20="🔴 OVERDUE","🔴 CRITICAL","")</f>
        <v/>
      </c>
    </row>
    <row r="22" customFormat="false" ht="15" hidden="false" customHeight="true" outlineLevel="0" collapsed="false">
      <c r="A22" s="1" t="str">
        <f aca="false">IF('📖 Review Tracker'!$O21="🔴 OVERDUE",21,"")</f>
        <v/>
      </c>
      <c r="B22" s="1" t="str">
        <f aca="false">IF('📖 Review Tracker'!$O21="🔴 OVERDUE",'📖 Review Tracker'!$A21,"")</f>
        <v/>
      </c>
      <c r="C22" s="1" t="str">
        <f aca="false">IF('📖 Review Tracker'!$O21="🔴 OVERDUE",'📖 Review Tracker'!$C21,"")</f>
        <v/>
      </c>
      <c r="D22" s="1" t="str">
        <f aca="false">IF('📖 Review Tracker'!$O21="🔴 OVERDUE",TEXT('📖 Review Tracker'!$M21,"DD/MM/YYYY"),"")</f>
        <v/>
      </c>
      <c r="E22" s="1" t="str">
        <f aca="false">IF('📖 Review Tracker'!$O21="🔴 OVERDUE",'📖 Review Tracker'!$N21,"")</f>
        <v/>
      </c>
      <c r="F22" s="1" t="str">
        <f aca="false">IF('📖 Review Tracker'!$O21="🔴 OVERDUE",IF('📖 Review Tracker'!$F21="","J1",IF('📖 Review Tracker'!$G21="","J3",IF('📖 Review Tracker'!$H21="","J7",IF('📖 Review Tracker'!$I21="","J15",IF('📖 Review Tracker'!$J21="","J30",IF('📖 Review Tracker'!$K21="","J60","J90")))))),"")</f>
        <v/>
      </c>
      <c r="G22" s="1" t="str">
        <f aca="false">IF('📖 Review Tracker'!$O21="🔴 OVERDUE","🔴 CRITICAL","")</f>
        <v/>
      </c>
    </row>
    <row r="23" customFormat="false" ht="15" hidden="false" customHeight="true" outlineLevel="0" collapsed="false">
      <c r="A23" s="1" t="str">
        <f aca="false">IF('📖 Review Tracker'!$O22="🔴 OVERDUE",22,"")</f>
        <v/>
      </c>
      <c r="B23" s="1" t="str">
        <f aca="false">IF('📖 Review Tracker'!$O22="🔴 OVERDUE",'📖 Review Tracker'!$A22,"")</f>
        <v/>
      </c>
      <c r="C23" s="1" t="str">
        <f aca="false">IF('📖 Review Tracker'!$O22="🔴 OVERDUE",'📖 Review Tracker'!$C22,"")</f>
        <v/>
      </c>
      <c r="D23" s="1" t="str">
        <f aca="false">IF('📖 Review Tracker'!$O22="🔴 OVERDUE",TEXT('📖 Review Tracker'!$M22,"DD/MM/YYYY"),"")</f>
        <v/>
      </c>
      <c r="E23" s="1" t="str">
        <f aca="false">IF('📖 Review Tracker'!$O22="🔴 OVERDUE",'📖 Review Tracker'!$N22,"")</f>
        <v/>
      </c>
      <c r="F23" s="1" t="str">
        <f aca="false">IF('📖 Review Tracker'!$O22="🔴 OVERDUE",IF('📖 Review Tracker'!$F22="","J1",IF('📖 Review Tracker'!$G22="","J3",IF('📖 Review Tracker'!$H22="","J7",IF('📖 Review Tracker'!$I22="","J15",IF('📖 Review Tracker'!$J22="","J30",IF('📖 Review Tracker'!$K22="","J60","J90")))))),"")</f>
        <v/>
      </c>
      <c r="G23" s="1" t="str">
        <f aca="false">IF('📖 Review Tracker'!$O22="🔴 OVERDUE","🔴 CRITICAL","")</f>
        <v/>
      </c>
    </row>
    <row r="24" customFormat="false" ht="15" hidden="false" customHeight="true" outlineLevel="0" collapsed="false">
      <c r="A24" s="1" t="str">
        <f aca="false">IF('📖 Review Tracker'!$O23="🔴 OVERDUE",23,"")</f>
        <v/>
      </c>
      <c r="B24" s="1" t="str">
        <f aca="false">IF('📖 Review Tracker'!$O23="🔴 OVERDUE",'📖 Review Tracker'!$A23,"")</f>
        <v/>
      </c>
      <c r="C24" s="1" t="str">
        <f aca="false">IF('📖 Review Tracker'!$O23="🔴 OVERDUE",'📖 Review Tracker'!$C23,"")</f>
        <v/>
      </c>
      <c r="D24" s="1" t="str">
        <f aca="false">IF('📖 Review Tracker'!$O23="🔴 OVERDUE",TEXT('📖 Review Tracker'!$M23,"DD/MM/YYYY"),"")</f>
        <v/>
      </c>
      <c r="E24" s="1" t="str">
        <f aca="false">IF('📖 Review Tracker'!$O23="🔴 OVERDUE",'📖 Review Tracker'!$N23,"")</f>
        <v/>
      </c>
      <c r="F24" s="1" t="str">
        <f aca="false">IF('📖 Review Tracker'!$O23="🔴 OVERDUE",IF('📖 Review Tracker'!$F23="","J1",IF('📖 Review Tracker'!$G23="","J3",IF('📖 Review Tracker'!$H23="","J7",IF('📖 Review Tracker'!$I23="","J15",IF('📖 Review Tracker'!$J23="","J30",IF('📖 Review Tracker'!$K23="","J60","J90")))))),"")</f>
        <v/>
      </c>
      <c r="G24" s="1" t="str">
        <f aca="false">IF('📖 Review Tracker'!$O23="🔴 OVERDUE","🔴 CRITICAL","")</f>
        <v/>
      </c>
    </row>
    <row r="25" customFormat="false" ht="15" hidden="false" customHeight="true" outlineLevel="0" collapsed="false">
      <c r="A25" s="1" t="str">
        <f aca="false">IF('📖 Review Tracker'!$O24="🔴 OVERDUE",24,"")</f>
        <v/>
      </c>
      <c r="B25" s="1" t="str">
        <f aca="false">IF('📖 Review Tracker'!$O24="🔴 OVERDUE",'📖 Review Tracker'!$A24,"")</f>
        <v/>
      </c>
      <c r="C25" s="1" t="str">
        <f aca="false">IF('📖 Review Tracker'!$O24="🔴 OVERDUE",'📖 Review Tracker'!$C24,"")</f>
        <v/>
      </c>
      <c r="D25" s="1" t="str">
        <f aca="false">IF('📖 Review Tracker'!$O24="🔴 OVERDUE",TEXT('📖 Review Tracker'!$M24,"DD/MM/YYYY"),"")</f>
        <v/>
      </c>
      <c r="E25" s="1" t="str">
        <f aca="false">IF('📖 Review Tracker'!$O24="🔴 OVERDUE",'📖 Review Tracker'!$N24,"")</f>
        <v/>
      </c>
      <c r="F25" s="1" t="str">
        <f aca="false">IF('📖 Review Tracker'!$O24="🔴 OVERDUE",IF('📖 Review Tracker'!$F24="","J1",IF('📖 Review Tracker'!$G24="","J3",IF('📖 Review Tracker'!$H24="","J7",IF('📖 Review Tracker'!$I24="","J15",IF('📖 Review Tracker'!$J24="","J30",IF('📖 Review Tracker'!$K24="","J60","J90")))))),"")</f>
        <v/>
      </c>
      <c r="G25" s="1" t="str">
        <f aca="false">IF('📖 Review Tracker'!$O24="🔴 OVERDUE","🔴 CRITICAL","")</f>
        <v/>
      </c>
    </row>
    <row r="26" customFormat="false" ht="15" hidden="false" customHeight="true" outlineLevel="0" collapsed="false">
      <c r="A26" s="1" t="str">
        <f aca="false">IF('📖 Review Tracker'!$O25="🔴 OVERDUE",25,"")</f>
        <v/>
      </c>
      <c r="B26" s="1" t="str">
        <f aca="false">IF('📖 Review Tracker'!$O25="🔴 OVERDUE",'📖 Review Tracker'!$A25,"")</f>
        <v/>
      </c>
      <c r="C26" s="1" t="str">
        <f aca="false">IF('📖 Review Tracker'!$O25="🔴 OVERDUE",'📖 Review Tracker'!$C25,"")</f>
        <v/>
      </c>
      <c r="D26" s="1" t="str">
        <f aca="false">IF('📖 Review Tracker'!$O25="🔴 OVERDUE",TEXT('📖 Review Tracker'!$M25,"DD/MM/YYYY"),"")</f>
        <v/>
      </c>
      <c r="E26" s="1" t="str">
        <f aca="false">IF('📖 Review Tracker'!$O25="🔴 OVERDUE",'📖 Review Tracker'!$N25,"")</f>
        <v/>
      </c>
      <c r="F26" s="1" t="str">
        <f aca="false">IF('📖 Review Tracker'!$O25="🔴 OVERDUE",IF('📖 Review Tracker'!$F25="","J1",IF('📖 Review Tracker'!$G25="","J3",IF('📖 Review Tracker'!$H25="","J7",IF('📖 Review Tracker'!$I25="","J15",IF('📖 Review Tracker'!$J25="","J30",IF('📖 Review Tracker'!$K25="","J60","J90")))))),"")</f>
        <v/>
      </c>
      <c r="G26" s="1" t="str">
        <f aca="false">IF('📖 Review Tracker'!$O25="🔴 OVERDUE","🔴 CRITICAL","")</f>
        <v/>
      </c>
    </row>
    <row r="27" customFormat="false" ht="15" hidden="false" customHeight="true" outlineLevel="0" collapsed="false">
      <c r="A27" s="1" t="str">
        <f aca="false">IF('📖 Review Tracker'!$O26="🔴 OVERDUE",26,"")</f>
        <v/>
      </c>
      <c r="B27" s="1" t="str">
        <f aca="false">IF('📖 Review Tracker'!$O26="🔴 OVERDUE",'📖 Review Tracker'!$A26,"")</f>
        <v/>
      </c>
      <c r="C27" s="1" t="str">
        <f aca="false">IF('📖 Review Tracker'!$O26="🔴 OVERDUE",'📖 Review Tracker'!$C26,"")</f>
        <v/>
      </c>
      <c r="D27" s="1" t="str">
        <f aca="false">IF('📖 Review Tracker'!$O26="🔴 OVERDUE",TEXT('📖 Review Tracker'!$M26,"DD/MM/YYYY"),"")</f>
        <v/>
      </c>
      <c r="E27" s="1" t="str">
        <f aca="false">IF('📖 Review Tracker'!$O26="🔴 OVERDUE",'📖 Review Tracker'!$N26,"")</f>
        <v/>
      </c>
      <c r="F27" s="1" t="str">
        <f aca="false">IF('📖 Review Tracker'!$O26="🔴 OVERDUE",IF('📖 Review Tracker'!$F26="","J1",IF('📖 Review Tracker'!$G26="","J3",IF('📖 Review Tracker'!$H26="","J7",IF('📖 Review Tracker'!$I26="","J15",IF('📖 Review Tracker'!$J26="","J30",IF('📖 Review Tracker'!$K26="","J60","J90")))))),"")</f>
        <v/>
      </c>
      <c r="G27" s="1" t="str">
        <f aca="false">IF('📖 Review Tracker'!$O26="🔴 OVERDUE","🔴 CRITICAL","")</f>
        <v/>
      </c>
    </row>
    <row r="28" customFormat="false" ht="15" hidden="false" customHeight="true" outlineLevel="0" collapsed="false">
      <c r="A28" s="1" t="str">
        <f aca="false">IF('📖 Review Tracker'!$O27="🔴 OVERDUE",27,"")</f>
        <v/>
      </c>
      <c r="B28" s="1" t="str">
        <f aca="false">IF('📖 Review Tracker'!$O27="🔴 OVERDUE",'📖 Review Tracker'!$A27,"")</f>
        <v/>
      </c>
      <c r="C28" s="1" t="str">
        <f aca="false">IF('📖 Review Tracker'!$O27="🔴 OVERDUE",'📖 Review Tracker'!$C27,"")</f>
        <v/>
      </c>
      <c r="D28" s="1" t="str">
        <f aca="false">IF('📖 Review Tracker'!$O27="🔴 OVERDUE",TEXT('📖 Review Tracker'!$M27,"DD/MM/YYYY"),"")</f>
        <v/>
      </c>
      <c r="E28" s="1" t="str">
        <f aca="false">IF('📖 Review Tracker'!$O27="🔴 OVERDUE",'📖 Review Tracker'!$N27,"")</f>
        <v/>
      </c>
      <c r="F28" s="1" t="str">
        <f aca="false">IF('📖 Review Tracker'!$O27="🔴 OVERDUE",IF('📖 Review Tracker'!$F27="","J1",IF('📖 Review Tracker'!$G27="","J3",IF('📖 Review Tracker'!$H27="","J7",IF('📖 Review Tracker'!$I27="","J15",IF('📖 Review Tracker'!$J27="","J30",IF('📖 Review Tracker'!$K27="","J60","J90")))))),"")</f>
        <v/>
      </c>
      <c r="G28" s="1" t="str">
        <f aca="false">IF('📖 Review Tracker'!$O27="🔴 OVERDUE","🔴 CRITICAL","")</f>
        <v/>
      </c>
    </row>
    <row r="29" customFormat="false" ht="15" hidden="false" customHeight="true" outlineLevel="0" collapsed="false">
      <c r="A29" s="1" t="str">
        <f aca="false">IF('📖 Review Tracker'!$O28="🔴 OVERDUE",28,"")</f>
        <v/>
      </c>
      <c r="B29" s="1" t="str">
        <f aca="false">IF('📖 Review Tracker'!$O28="🔴 OVERDUE",'📖 Review Tracker'!$A28,"")</f>
        <v/>
      </c>
      <c r="C29" s="1" t="str">
        <f aca="false">IF('📖 Review Tracker'!$O28="🔴 OVERDUE",'📖 Review Tracker'!$C28,"")</f>
        <v/>
      </c>
      <c r="D29" s="1" t="str">
        <f aca="false">IF('📖 Review Tracker'!$O28="🔴 OVERDUE",TEXT('📖 Review Tracker'!$M28,"DD/MM/YYYY"),"")</f>
        <v/>
      </c>
      <c r="E29" s="1" t="str">
        <f aca="false">IF('📖 Review Tracker'!$O28="🔴 OVERDUE",'📖 Review Tracker'!$N28,"")</f>
        <v/>
      </c>
      <c r="F29" s="1" t="str">
        <f aca="false">IF('📖 Review Tracker'!$O28="🔴 OVERDUE",IF('📖 Review Tracker'!$F28="","J1",IF('📖 Review Tracker'!$G28="","J3",IF('📖 Review Tracker'!$H28="","J7",IF('📖 Review Tracker'!$I28="","J15",IF('📖 Review Tracker'!$J28="","J30",IF('📖 Review Tracker'!$K28="","J60","J90")))))),"")</f>
        <v/>
      </c>
      <c r="G29" s="1" t="str">
        <f aca="false">IF('📖 Review Tracker'!$O28="🔴 OVERDUE","🔴 CRITICAL","")</f>
        <v/>
      </c>
    </row>
    <row r="30" customFormat="false" ht="15" hidden="false" customHeight="true" outlineLevel="0" collapsed="false">
      <c r="A30" s="1" t="str">
        <f aca="false">IF('📖 Review Tracker'!$O29="🔴 OVERDUE",29,"")</f>
        <v/>
      </c>
      <c r="B30" s="1" t="str">
        <f aca="false">IF('📖 Review Tracker'!$O29="🔴 OVERDUE",'📖 Review Tracker'!$A29,"")</f>
        <v/>
      </c>
      <c r="C30" s="1" t="str">
        <f aca="false">IF('📖 Review Tracker'!$O29="🔴 OVERDUE",'📖 Review Tracker'!$C29,"")</f>
        <v/>
      </c>
      <c r="D30" s="1" t="str">
        <f aca="false">IF('📖 Review Tracker'!$O29="🔴 OVERDUE",TEXT('📖 Review Tracker'!$M29,"DD/MM/YYYY"),"")</f>
        <v/>
      </c>
      <c r="E30" s="1" t="str">
        <f aca="false">IF('📖 Review Tracker'!$O29="🔴 OVERDUE",'📖 Review Tracker'!$N29,"")</f>
        <v/>
      </c>
      <c r="F30" s="1" t="str">
        <f aca="false">IF('📖 Review Tracker'!$O29="🔴 OVERDUE",IF('📖 Review Tracker'!$F29="","J1",IF('📖 Review Tracker'!$G29="","J3",IF('📖 Review Tracker'!$H29="","J7",IF('📖 Review Tracker'!$I29="","J15",IF('📖 Review Tracker'!$J29="","J30",IF('📖 Review Tracker'!$K29="","J60","J90")))))),"")</f>
        <v/>
      </c>
      <c r="G30" s="1" t="str">
        <f aca="false">IF('📖 Review Tracker'!$O29="🔴 OVERDUE","🔴 CRITICAL","")</f>
        <v/>
      </c>
    </row>
    <row r="31" customFormat="false" ht="15" hidden="false" customHeight="true" outlineLevel="0" collapsed="false">
      <c r="A31" s="1" t="str">
        <f aca="false">IF('📖 Review Tracker'!$O30="🔴 OVERDUE",30,"")</f>
        <v/>
      </c>
      <c r="B31" s="1" t="str">
        <f aca="false">IF('📖 Review Tracker'!$O30="🔴 OVERDUE",'📖 Review Tracker'!$A30,"")</f>
        <v/>
      </c>
      <c r="C31" s="1" t="str">
        <f aca="false">IF('📖 Review Tracker'!$O30="🔴 OVERDUE",'📖 Review Tracker'!$C30,"")</f>
        <v/>
      </c>
      <c r="D31" s="1" t="str">
        <f aca="false">IF('📖 Review Tracker'!$O30="🔴 OVERDUE",TEXT('📖 Review Tracker'!$M30,"DD/MM/YYYY"),"")</f>
        <v/>
      </c>
      <c r="E31" s="1" t="str">
        <f aca="false">IF('📖 Review Tracker'!$O30="🔴 OVERDUE",'📖 Review Tracker'!$N30,"")</f>
        <v/>
      </c>
      <c r="F31" s="1" t="str">
        <f aca="false">IF('📖 Review Tracker'!$O30="🔴 OVERDUE",IF('📖 Review Tracker'!$F30="","J1",IF('📖 Review Tracker'!$G30="","J3",IF('📖 Review Tracker'!$H30="","J7",IF('📖 Review Tracker'!$I30="","J15",IF('📖 Review Tracker'!$J30="","J30",IF('📖 Review Tracker'!$K30="","J60","J90")))))),"")</f>
        <v/>
      </c>
      <c r="G31" s="1" t="str">
        <f aca="false">IF('📖 Review Tracker'!$O30="🔴 OVERDUE","🔴 CRITICAL","")</f>
        <v/>
      </c>
    </row>
    <row r="32" customFormat="false" ht="15" hidden="false" customHeight="true" outlineLevel="0" collapsed="false">
      <c r="A32" s="1" t="str">
        <f aca="false">IF('📖 Review Tracker'!$O31="🔴 OVERDUE",31,"")</f>
        <v/>
      </c>
      <c r="B32" s="1" t="str">
        <f aca="false">IF('📖 Review Tracker'!$O31="🔴 OVERDUE",'📖 Review Tracker'!$A31,"")</f>
        <v/>
      </c>
      <c r="C32" s="1" t="str">
        <f aca="false">IF('📖 Review Tracker'!$O31="🔴 OVERDUE",'📖 Review Tracker'!$C31,"")</f>
        <v/>
      </c>
      <c r="D32" s="1" t="str">
        <f aca="false">IF('📖 Review Tracker'!$O31="🔴 OVERDUE",TEXT('📖 Review Tracker'!$M31,"DD/MM/YYYY"),"")</f>
        <v/>
      </c>
      <c r="E32" s="1" t="str">
        <f aca="false">IF('📖 Review Tracker'!$O31="🔴 OVERDUE",'📖 Review Tracker'!$N31,"")</f>
        <v/>
      </c>
      <c r="F32" s="1" t="str">
        <f aca="false">IF('📖 Review Tracker'!$O31="🔴 OVERDUE",IF('📖 Review Tracker'!$F31="","J1",IF('📖 Review Tracker'!$G31="","J3",IF('📖 Review Tracker'!$H31="","J7",IF('📖 Review Tracker'!$I31="","J15",IF('📖 Review Tracker'!$J31="","J30",IF('📖 Review Tracker'!$K31="","J60","J90")))))),"")</f>
        <v/>
      </c>
      <c r="G32" s="1" t="str">
        <f aca="false">IF('📖 Review Tracker'!$O31="🔴 OVERDUE","🔴 CRITICAL","")</f>
        <v/>
      </c>
    </row>
    <row r="33" customFormat="false" ht="15" hidden="false" customHeight="true" outlineLevel="0" collapsed="false">
      <c r="A33" s="1" t="str">
        <f aca="false">IF('📖 Review Tracker'!$O32="🔴 OVERDUE",32,"")</f>
        <v/>
      </c>
      <c r="B33" s="1" t="str">
        <f aca="false">IF('📖 Review Tracker'!$O32="🔴 OVERDUE",'📖 Review Tracker'!$A32,"")</f>
        <v/>
      </c>
      <c r="C33" s="1" t="str">
        <f aca="false">IF('📖 Review Tracker'!$O32="🔴 OVERDUE",'📖 Review Tracker'!$C32,"")</f>
        <v/>
      </c>
      <c r="D33" s="1" t="str">
        <f aca="false">IF('📖 Review Tracker'!$O32="🔴 OVERDUE",TEXT('📖 Review Tracker'!$M32,"DD/MM/YYYY"),"")</f>
        <v/>
      </c>
      <c r="E33" s="1" t="str">
        <f aca="false">IF('📖 Review Tracker'!$O32="🔴 OVERDUE",'📖 Review Tracker'!$N32,"")</f>
        <v/>
      </c>
      <c r="F33" s="1" t="str">
        <f aca="false">IF('📖 Review Tracker'!$O32="🔴 OVERDUE",IF('📖 Review Tracker'!$F32="","J1",IF('📖 Review Tracker'!$G32="","J3",IF('📖 Review Tracker'!$H32="","J7",IF('📖 Review Tracker'!$I32="","J15",IF('📖 Review Tracker'!$J32="","J30",IF('📖 Review Tracker'!$K32="","J60","J90")))))),"")</f>
        <v/>
      </c>
      <c r="G33" s="1" t="str">
        <f aca="false">IF('📖 Review Tracker'!$O32="🔴 OVERDUE","🔴 CRITICAL","")</f>
        <v/>
      </c>
    </row>
    <row r="34" customFormat="false" ht="15" hidden="false" customHeight="true" outlineLevel="0" collapsed="false">
      <c r="A34" s="1" t="str">
        <f aca="false">IF('📖 Review Tracker'!$O33="🔴 OVERDUE",33,"")</f>
        <v/>
      </c>
      <c r="B34" s="1" t="str">
        <f aca="false">IF('📖 Review Tracker'!$O33="🔴 OVERDUE",'📖 Review Tracker'!$A33,"")</f>
        <v/>
      </c>
      <c r="C34" s="1" t="str">
        <f aca="false">IF('📖 Review Tracker'!$O33="🔴 OVERDUE",'📖 Review Tracker'!$C33,"")</f>
        <v/>
      </c>
      <c r="D34" s="1" t="str">
        <f aca="false">IF('📖 Review Tracker'!$O33="🔴 OVERDUE",TEXT('📖 Review Tracker'!$M33,"DD/MM/YYYY"),"")</f>
        <v/>
      </c>
      <c r="E34" s="1" t="str">
        <f aca="false">IF('📖 Review Tracker'!$O33="🔴 OVERDUE",'📖 Review Tracker'!$N33,"")</f>
        <v/>
      </c>
      <c r="F34" s="1" t="str">
        <f aca="false">IF('📖 Review Tracker'!$O33="🔴 OVERDUE",IF('📖 Review Tracker'!$F33="","J1",IF('📖 Review Tracker'!$G33="","J3",IF('📖 Review Tracker'!$H33="","J7",IF('📖 Review Tracker'!$I33="","J15",IF('📖 Review Tracker'!$J33="","J30",IF('📖 Review Tracker'!$K33="","J60","J90")))))),"")</f>
        <v/>
      </c>
      <c r="G34" s="1" t="str">
        <f aca="false">IF('📖 Review Tracker'!$O33="🔴 OVERDUE","🔴 CRITICAL","")</f>
        <v/>
      </c>
    </row>
    <row r="35" customFormat="false" ht="15" hidden="false" customHeight="true" outlineLevel="0" collapsed="false">
      <c r="A35" s="1" t="str">
        <f aca="false">IF('📖 Review Tracker'!$O34="🔴 OVERDUE",34,"")</f>
        <v/>
      </c>
      <c r="B35" s="1" t="str">
        <f aca="false">IF('📖 Review Tracker'!$O34="🔴 OVERDUE",'📖 Review Tracker'!$A34,"")</f>
        <v/>
      </c>
      <c r="C35" s="1" t="str">
        <f aca="false">IF('📖 Review Tracker'!$O34="🔴 OVERDUE",'📖 Review Tracker'!$C34,"")</f>
        <v/>
      </c>
      <c r="D35" s="1" t="str">
        <f aca="false">IF('📖 Review Tracker'!$O34="🔴 OVERDUE",TEXT('📖 Review Tracker'!$M34,"DD/MM/YYYY"),"")</f>
        <v/>
      </c>
      <c r="E35" s="1" t="str">
        <f aca="false">IF('📖 Review Tracker'!$O34="🔴 OVERDUE",'📖 Review Tracker'!$N34,"")</f>
        <v/>
      </c>
      <c r="F35" s="1" t="str">
        <f aca="false">IF('📖 Review Tracker'!$O34="🔴 OVERDUE",IF('📖 Review Tracker'!$F34="","J1",IF('📖 Review Tracker'!$G34="","J3",IF('📖 Review Tracker'!$H34="","J7",IF('📖 Review Tracker'!$I34="","J15",IF('📖 Review Tracker'!$J34="","J30",IF('📖 Review Tracker'!$K34="","J60","J90")))))),"")</f>
        <v/>
      </c>
      <c r="G35" s="1" t="str">
        <f aca="false">IF('📖 Review Tracker'!$O34="🔴 OVERDUE","🔴 CRITICAL","")</f>
        <v/>
      </c>
    </row>
    <row r="36" customFormat="false" ht="15" hidden="false" customHeight="true" outlineLevel="0" collapsed="false">
      <c r="A36" s="1" t="str">
        <f aca="false">IF('📖 Review Tracker'!$O35="🔴 OVERDUE",35,"")</f>
        <v/>
      </c>
      <c r="B36" s="1" t="str">
        <f aca="false">IF('📖 Review Tracker'!$O35="🔴 OVERDUE",'📖 Review Tracker'!$A35,"")</f>
        <v/>
      </c>
      <c r="C36" s="1" t="str">
        <f aca="false">IF('📖 Review Tracker'!$O35="🔴 OVERDUE",'📖 Review Tracker'!$C35,"")</f>
        <v/>
      </c>
      <c r="D36" s="1" t="str">
        <f aca="false">IF('📖 Review Tracker'!$O35="🔴 OVERDUE",TEXT('📖 Review Tracker'!$M35,"DD/MM/YYYY"),"")</f>
        <v/>
      </c>
      <c r="E36" s="1" t="str">
        <f aca="false">IF('📖 Review Tracker'!$O35="🔴 OVERDUE",'📖 Review Tracker'!$N35,"")</f>
        <v/>
      </c>
      <c r="F36" s="1" t="str">
        <f aca="false">IF('📖 Review Tracker'!$O35="🔴 OVERDUE",IF('📖 Review Tracker'!$F35="","J1",IF('📖 Review Tracker'!$G35="","J3",IF('📖 Review Tracker'!$H35="","J7",IF('📖 Review Tracker'!$I35="","J15",IF('📖 Review Tracker'!$J35="","J30",IF('📖 Review Tracker'!$K35="","J60","J90")))))),"")</f>
        <v/>
      </c>
      <c r="G36" s="1" t="str">
        <f aca="false">IF('📖 Review Tracker'!$O35="🔴 OVERDUE","🔴 CRITICAL","")</f>
        <v/>
      </c>
    </row>
    <row r="37" customFormat="false" ht="15" hidden="false" customHeight="true" outlineLevel="0" collapsed="false">
      <c r="A37" s="1" t="str">
        <f aca="false">IF('📖 Review Tracker'!$O36="🔴 OVERDUE",36,"")</f>
        <v/>
      </c>
      <c r="B37" s="1" t="str">
        <f aca="false">IF('📖 Review Tracker'!$O36="🔴 OVERDUE",'📖 Review Tracker'!$A36,"")</f>
        <v/>
      </c>
      <c r="C37" s="1" t="str">
        <f aca="false">IF('📖 Review Tracker'!$O36="🔴 OVERDUE",'📖 Review Tracker'!$C36,"")</f>
        <v/>
      </c>
      <c r="D37" s="1" t="str">
        <f aca="false">IF('📖 Review Tracker'!$O36="🔴 OVERDUE",TEXT('📖 Review Tracker'!$M36,"DD/MM/YYYY"),"")</f>
        <v/>
      </c>
      <c r="E37" s="1" t="str">
        <f aca="false">IF('📖 Review Tracker'!$O36="🔴 OVERDUE",'📖 Review Tracker'!$N36,"")</f>
        <v/>
      </c>
      <c r="F37" s="1" t="str">
        <f aca="false">IF('📖 Review Tracker'!$O36="🔴 OVERDUE",IF('📖 Review Tracker'!$F36="","J1",IF('📖 Review Tracker'!$G36="","J3",IF('📖 Review Tracker'!$H36="","J7",IF('📖 Review Tracker'!$I36="","J15",IF('📖 Review Tracker'!$J36="","J30",IF('📖 Review Tracker'!$K36="","J60","J90")))))),"")</f>
        <v/>
      </c>
      <c r="G37" s="1" t="str">
        <f aca="false">IF('📖 Review Tracker'!$O36="🔴 OVERDUE","🔴 CRITICAL","")</f>
        <v/>
      </c>
    </row>
    <row r="38" customFormat="false" ht="15" hidden="false" customHeight="true" outlineLevel="0" collapsed="false">
      <c r="A38" s="1" t="str">
        <f aca="false">IF('📖 Review Tracker'!$O37="🔴 OVERDUE",37,"")</f>
        <v/>
      </c>
      <c r="B38" s="1" t="str">
        <f aca="false">IF('📖 Review Tracker'!$O37="🔴 OVERDUE",'📖 Review Tracker'!$A37,"")</f>
        <v/>
      </c>
      <c r="C38" s="1" t="str">
        <f aca="false">IF('📖 Review Tracker'!$O37="🔴 OVERDUE",'📖 Review Tracker'!$C37,"")</f>
        <v/>
      </c>
      <c r="D38" s="1" t="str">
        <f aca="false">IF('📖 Review Tracker'!$O37="🔴 OVERDUE",TEXT('📖 Review Tracker'!$M37,"DD/MM/YYYY"),"")</f>
        <v/>
      </c>
      <c r="E38" s="1" t="str">
        <f aca="false">IF('📖 Review Tracker'!$O37="🔴 OVERDUE",'📖 Review Tracker'!$N37,"")</f>
        <v/>
      </c>
      <c r="F38" s="1" t="str">
        <f aca="false">IF('📖 Review Tracker'!$O37="🔴 OVERDUE",IF('📖 Review Tracker'!$F37="","J1",IF('📖 Review Tracker'!$G37="","J3",IF('📖 Review Tracker'!$H37="","J7",IF('📖 Review Tracker'!$I37="","J15",IF('📖 Review Tracker'!$J37="","J30",IF('📖 Review Tracker'!$K37="","J60","J90")))))),"")</f>
        <v/>
      </c>
      <c r="G38" s="1" t="str">
        <f aca="false">IF('📖 Review Tracker'!$O37="🔴 OVERDUE","🔴 CRITICAL","")</f>
        <v/>
      </c>
    </row>
    <row r="39" customFormat="false" ht="15" hidden="false" customHeight="true" outlineLevel="0" collapsed="false">
      <c r="A39" s="1" t="str">
        <f aca="false">IF('📖 Review Tracker'!$O38="🔴 OVERDUE",38,"")</f>
        <v/>
      </c>
      <c r="B39" s="1" t="str">
        <f aca="false">IF('📖 Review Tracker'!$O38="🔴 OVERDUE",'📖 Review Tracker'!$A38,"")</f>
        <v/>
      </c>
      <c r="C39" s="1" t="str">
        <f aca="false">IF('📖 Review Tracker'!$O38="🔴 OVERDUE",'📖 Review Tracker'!$C38,"")</f>
        <v/>
      </c>
      <c r="D39" s="1" t="str">
        <f aca="false">IF('📖 Review Tracker'!$O38="🔴 OVERDUE",TEXT('📖 Review Tracker'!$M38,"DD/MM/YYYY"),"")</f>
        <v/>
      </c>
      <c r="E39" s="1" t="str">
        <f aca="false">IF('📖 Review Tracker'!$O38="🔴 OVERDUE",'📖 Review Tracker'!$N38,"")</f>
        <v/>
      </c>
      <c r="F39" s="1" t="str">
        <f aca="false">IF('📖 Review Tracker'!$O38="🔴 OVERDUE",IF('📖 Review Tracker'!$F38="","J1",IF('📖 Review Tracker'!$G38="","J3",IF('📖 Review Tracker'!$H38="","J7",IF('📖 Review Tracker'!$I38="","J15",IF('📖 Review Tracker'!$J38="","J30",IF('📖 Review Tracker'!$K38="","J60","J90")))))),"")</f>
        <v/>
      </c>
      <c r="G39" s="1" t="str">
        <f aca="false">IF('📖 Review Tracker'!$O38="🔴 OVERDUE","🔴 CRITICAL","")</f>
        <v/>
      </c>
    </row>
    <row r="40" customFormat="false" ht="15" hidden="false" customHeight="true" outlineLevel="0" collapsed="false">
      <c r="A40" s="1" t="str">
        <f aca="false">IF('📖 Review Tracker'!$O39="🔴 OVERDUE",39,"")</f>
        <v/>
      </c>
      <c r="B40" s="1" t="str">
        <f aca="false">IF('📖 Review Tracker'!$O39="🔴 OVERDUE",'📖 Review Tracker'!$A39,"")</f>
        <v/>
      </c>
      <c r="C40" s="1" t="str">
        <f aca="false">IF('📖 Review Tracker'!$O39="🔴 OVERDUE",'📖 Review Tracker'!$C39,"")</f>
        <v/>
      </c>
      <c r="D40" s="1" t="str">
        <f aca="false">IF('📖 Review Tracker'!$O39="🔴 OVERDUE",TEXT('📖 Review Tracker'!$M39,"DD/MM/YYYY"),"")</f>
        <v/>
      </c>
      <c r="E40" s="1" t="str">
        <f aca="false">IF('📖 Review Tracker'!$O39="🔴 OVERDUE",'📖 Review Tracker'!$N39,"")</f>
        <v/>
      </c>
      <c r="F40" s="1" t="str">
        <f aca="false">IF('📖 Review Tracker'!$O39="🔴 OVERDUE",IF('📖 Review Tracker'!$F39="","J1",IF('📖 Review Tracker'!$G39="","J3",IF('📖 Review Tracker'!$H39="","J7",IF('📖 Review Tracker'!$I39="","J15",IF('📖 Review Tracker'!$J39="","J30",IF('📖 Review Tracker'!$K39="","J60","J90")))))),"")</f>
        <v/>
      </c>
      <c r="G40" s="1" t="str">
        <f aca="false">IF('📖 Review Tracker'!$O39="🔴 OVERDUE","🔴 CRITICAL","")</f>
        <v/>
      </c>
    </row>
    <row r="41" customFormat="false" ht="15" hidden="false" customHeight="true" outlineLevel="0" collapsed="false">
      <c r="A41" s="1" t="str">
        <f aca="false">IF('📖 Review Tracker'!$O40="🔴 OVERDUE",40,"")</f>
        <v/>
      </c>
      <c r="B41" s="1" t="str">
        <f aca="false">IF('📖 Review Tracker'!$O40="🔴 OVERDUE",'📖 Review Tracker'!$A40,"")</f>
        <v/>
      </c>
      <c r="C41" s="1" t="str">
        <f aca="false">IF('📖 Review Tracker'!$O40="🔴 OVERDUE",'📖 Review Tracker'!$C40,"")</f>
        <v/>
      </c>
      <c r="D41" s="1" t="str">
        <f aca="false">IF('📖 Review Tracker'!$O40="🔴 OVERDUE",TEXT('📖 Review Tracker'!$M40,"DD/MM/YYYY"),"")</f>
        <v/>
      </c>
      <c r="E41" s="1" t="str">
        <f aca="false">IF('📖 Review Tracker'!$O40="🔴 OVERDUE",'📖 Review Tracker'!$N40,"")</f>
        <v/>
      </c>
      <c r="F41" s="1" t="str">
        <f aca="false">IF('📖 Review Tracker'!$O40="🔴 OVERDUE",IF('📖 Review Tracker'!$F40="","J1",IF('📖 Review Tracker'!$G40="","J3",IF('📖 Review Tracker'!$H40="","J7",IF('📖 Review Tracker'!$I40="","J15",IF('📖 Review Tracker'!$J40="","J30",IF('📖 Review Tracker'!$K40="","J60","J90")))))),"")</f>
        <v/>
      </c>
      <c r="G41" s="1" t="str">
        <f aca="false">IF('📖 Review Tracker'!$O40="🔴 OVERDUE","🔴 CRITICAL","")</f>
        <v/>
      </c>
    </row>
    <row r="42" customFormat="false" ht="15" hidden="false" customHeight="true" outlineLevel="0" collapsed="false">
      <c r="A42" s="1" t="str">
        <f aca="false">IF('📖 Review Tracker'!$O41="🔴 OVERDUE",41,"")</f>
        <v/>
      </c>
      <c r="B42" s="1" t="str">
        <f aca="false">IF('📖 Review Tracker'!$O41="🔴 OVERDUE",'📖 Review Tracker'!$A41,"")</f>
        <v/>
      </c>
      <c r="C42" s="1" t="str">
        <f aca="false">IF('📖 Review Tracker'!$O41="🔴 OVERDUE",'📖 Review Tracker'!$C41,"")</f>
        <v/>
      </c>
      <c r="D42" s="1" t="str">
        <f aca="false">IF('📖 Review Tracker'!$O41="🔴 OVERDUE",TEXT('📖 Review Tracker'!$M41,"DD/MM/YYYY"),"")</f>
        <v/>
      </c>
      <c r="E42" s="1" t="str">
        <f aca="false">IF('📖 Review Tracker'!$O41="🔴 OVERDUE",'📖 Review Tracker'!$N41,"")</f>
        <v/>
      </c>
      <c r="F42" s="1" t="str">
        <f aca="false">IF('📖 Review Tracker'!$O41="🔴 OVERDUE",IF('📖 Review Tracker'!$F41="","J1",IF('📖 Review Tracker'!$G41="","J3",IF('📖 Review Tracker'!$H41="","J7",IF('📖 Review Tracker'!$I41="","J15",IF('📖 Review Tracker'!$J41="","J30",IF('📖 Review Tracker'!$K41="","J60","J90")))))),"")</f>
        <v/>
      </c>
      <c r="G42" s="1" t="str">
        <f aca="false">IF('📖 Review Tracker'!$O41="🔴 OVERDUE","🔴 CRITICAL","")</f>
        <v/>
      </c>
    </row>
    <row r="43" customFormat="false" ht="15" hidden="false" customHeight="true" outlineLevel="0" collapsed="false">
      <c r="A43" s="1" t="str">
        <f aca="false">IF('📖 Review Tracker'!$O42="🔴 OVERDUE",42,"")</f>
        <v/>
      </c>
      <c r="B43" s="1" t="str">
        <f aca="false">IF('📖 Review Tracker'!$O42="🔴 OVERDUE",'📖 Review Tracker'!$A42,"")</f>
        <v/>
      </c>
      <c r="C43" s="1" t="str">
        <f aca="false">IF('📖 Review Tracker'!$O42="🔴 OVERDUE",'📖 Review Tracker'!$C42,"")</f>
        <v/>
      </c>
      <c r="D43" s="1" t="str">
        <f aca="false">IF('📖 Review Tracker'!$O42="🔴 OVERDUE",TEXT('📖 Review Tracker'!$M42,"DD/MM/YYYY"),"")</f>
        <v/>
      </c>
      <c r="E43" s="1" t="str">
        <f aca="false">IF('📖 Review Tracker'!$O42="🔴 OVERDUE",'📖 Review Tracker'!$N42,"")</f>
        <v/>
      </c>
      <c r="F43" s="1" t="str">
        <f aca="false">IF('📖 Review Tracker'!$O42="🔴 OVERDUE",IF('📖 Review Tracker'!$F42="","J1",IF('📖 Review Tracker'!$G42="","J3",IF('📖 Review Tracker'!$H42="","J7",IF('📖 Review Tracker'!$I42="","J15",IF('📖 Review Tracker'!$J42="","J30",IF('📖 Review Tracker'!$K42="","J60","J90")))))),"")</f>
        <v/>
      </c>
      <c r="G43" s="1" t="str">
        <f aca="false">IF('📖 Review Tracker'!$O42="🔴 OVERDUE","🔴 CRITICAL","")</f>
        <v/>
      </c>
    </row>
    <row r="44" customFormat="false" ht="15" hidden="false" customHeight="true" outlineLevel="0" collapsed="false">
      <c r="A44" s="1" t="str">
        <f aca="false">IF('📖 Review Tracker'!$O43="🔴 OVERDUE",43,"")</f>
        <v/>
      </c>
      <c r="B44" s="1" t="str">
        <f aca="false">IF('📖 Review Tracker'!$O43="🔴 OVERDUE",'📖 Review Tracker'!$A43,"")</f>
        <v/>
      </c>
      <c r="C44" s="1" t="str">
        <f aca="false">IF('📖 Review Tracker'!$O43="🔴 OVERDUE",'📖 Review Tracker'!$C43,"")</f>
        <v/>
      </c>
      <c r="D44" s="1" t="str">
        <f aca="false">IF('📖 Review Tracker'!$O43="🔴 OVERDUE",TEXT('📖 Review Tracker'!$M43,"DD/MM/YYYY"),"")</f>
        <v/>
      </c>
      <c r="E44" s="1" t="str">
        <f aca="false">IF('📖 Review Tracker'!$O43="🔴 OVERDUE",'📖 Review Tracker'!$N43,"")</f>
        <v/>
      </c>
      <c r="F44" s="1" t="str">
        <f aca="false">IF('📖 Review Tracker'!$O43="🔴 OVERDUE",IF('📖 Review Tracker'!$F43="","J1",IF('📖 Review Tracker'!$G43="","J3",IF('📖 Review Tracker'!$H43="","J7",IF('📖 Review Tracker'!$I43="","J15",IF('📖 Review Tracker'!$J43="","J30",IF('📖 Review Tracker'!$K43="","J60","J90")))))),"")</f>
        <v/>
      </c>
      <c r="G44" s="1" t="str">
        <f aca="false">IF('📖 Review Tracker'!$O43="🔴 OVERDUE","🔴 CRITICAL","")</f>
        <v/>
      </c>
    </row>
    <row r="45" customFormat="false" ht="15" hidden="false" customHeight="true" outlineLevel="0" collapsed="false">
      <c r="A45" s="1" t="str">
        <f aca="false">IF('📖 Review Tracker'!$O44="🔴 OVERDUE",44,"")</f>
        <v/>
      </c>
      <c r="B45" s="1" t="str">
        <f aca="false">IF('📖 Review Tracker'!$O44="🔴 OVERDUE",'📖 Review Tracker'!$A44,"")</f>
        <v/>
      </c>
      <c r="C45" s="1" t="str">
        <f aca="false">IF('📖 Review Tracker'!$O44="🔴 OVERDUE",'📖 Review Tracker'!$C44,"")</f>
        <v/>
      </c>
      <c r="D45" s="1" t="str">
        <f aca="false">IF('📖 Review Tracker'!$O44="🔴 OVERDUE",TEXT('📖 Review Tracker'!$M44,"DD/MM/YYYY"),"")</f>
        <v/>
      </c>
      <c r="E45" s="1" t="str">
        <f aca="false">IF('📖 Review Tracker'!$O44="🔴 OVERDUE",'📖 Review Tracker'!$N44,"")</f>
        <v/>
      </c>
      <c r="F45" s="1" t="str">
        <f aca="false">IF('📖 Review Tracker'!$O44="🔴 OVERDUE",IF('📖 Review Tracker'!$F44="","J1",IF('📖 Review Tracker'!$G44="","J3",IF('📖 Review Tracker'!$H44="","J7",IF('📖 Review Tracker'!$I44="","J15",IF('📖 Review Tracker'!$J44="","J30",IF('📖 Review Tracker'!$K44="","J60","J90")))))),"")</f>
        <v/>
      </c>
      <c r="G45" s="1" t="str">
        <f aca="false">IF('📖 Review Tracker'!$O44="🔴 OVERDUE","🔴 CRITICAL","")</f>
        <v/>
      </c>
    </row>
    <row r="46" customFormat="false" ht="15" hidden="false" customHeight="true" outlineLevel="0" collapsed="false">
      <c r="A46" s="1" t="str">
        <f aca="false">IF('📖 Review Tracker'!$O45="🔴 OVERDUE",45,"")</f>
        <v/>
      </c>
      <c r="B46" s="1" t="str">
        <f aca="false">IF('📖 Review Tracker'!$O45="🔴 OVERDUE",'📖 Review Tracker'!$A45,"")</f>
        <v/>
      </c>
      <c r="C46" s="1" t="str">
        <f aca="false">IF('📖 Review Tracker'!$O45="🔴 OVERDUE",'📖 Review Tracker'!$C45,"")</f>
        <v/>
      </c>
      <c r="D46" s="1" t="str">
        <f aca="false">IF('📖 Review Tracker'!$O45="🔴 OVERDUE",TEXT('📖 Review Tracker'!$M45,"DD/MM/YYYY"),"")</f>
        <v/>
      </c>
      <c r="E46" s="1" t="str">
        <f aca="false">IF('📖 Review Tracker'!$O45="🔴 OVERDUE",'📖 Review Tracker'!$N45,"")</f>
        <v/>
      </c>
      <c r="F46" s="1" t="str">
        <f aca="false">IF('📖 Review Tracker'!$O45="🔴 OVERDUE",IF('📖 Review Tracker'!$F45="","J1",IF('📖 Review Tracker'!$G45="","J3",IF('📖 Review Tracker'!$H45="","J7",IF('📖 Review Tracker'!$I45="","J15",IF('📖 Review Tracker'!$J45="","J30",IF('📖 Review Tracker'!$K45="","J60","J90")))))),"")</f>
        <v/>
      </c>
      <c r="G46" s="1" t="str">
        <f aca="false">IF('📖 Review Tracker'!$O45="🔴 OVERDUE","🔴 CRITICAL","")</f>
        <v/>
      </c>
    </row>
    <row r="47" customFormat="false" ht="15" hidden="false" customHeight="true" outlineLevel="0" collapsed="false">
      <c r="A47" s="1" t="str">
        <f aca="false">IF('📖 Review Tracker'!$O46="🔴 OVERDUE",46,"")</f>
        <v/>
      </c>
      <c r="B47" s="1" t="str">
        <f aca="false">IF('📖 Review Tracker'!$O46="🔴 OVERDUE",'📖 Review Tracker'!$A46,"")</f>
        <v/>
      </c>
      <c r="C47" s="1" t="str">
        <f aca="false">IF('📖 Review Tracker'!$O46="🔴 OVERDUE",'📖 Review Tracker'!$C46,"")</f>
        <v/>
      </c>
      <c r="D47" s="1" t="str">
        <f aca="false">IF('📖 Review Tracker'!$O46="🔴 OVERDUE",TEXT('📖 Review Tracker'!$M46,"DD/MM/YYYY"),"")</f>
        <v/>
      </c>
      <c r="E47" s="1" t="str">
        <f aca="false">IF('📖 Review Tracker'!$O46="🔴 OVERDUE",'📖 Review Tracker'!$N46,"")</f>
        <v/>
      </c>
      <c r="F47" s="1" t="str">
        <f aca="false">IF('📖 Review Tracker'!$O46="🔴 OVERDUE",IF('📖 Review Tracker'!$F46="","J1",IF('📖 Review Tracker'!$G46="","J3",IF('📖 Review Tracker'!$H46="","J7",IF('📖 Review Tracker'!$I46="","J15",IF('📖 Review Tracker'!$J46="","J30",IF('📖 Review Tracker'!$K46="","J60","J90")))))),"")</f>
        <v/>
      </c>
      <c r="G47" s="1" t="str">
        <f aca="false">IF('📖 Review Tracker'!$O46="🔴 OVERDUE","🔴 CRITICAL","")</f>
        <v/>
      </c>
    </row>
    <row r="48" customFormat="false" ht="15" hidden="false" customHeight="true" outlineLevel="0" collapsed="false">
      <c r="A48" s="1" t="str">
        <f aca="false">IF('📖 Review Tracker'!$O47="🔴 OVERDUE",47,"")</f>
        <v/>
      </c>
      <c r="B48" s="1" t="str">
        <f aca="false">IF('📖 Review Tracker'!$O47="🔴 OVERDUE",'📖 Review Tracker'!$A47,"")</f>
        <v/>
      </c>
      <c r="C48" s="1" t="str">
        <f aca="false">IF('📖 Review Tracker'!$O47="🔴 OVERDUE",'📖 Review Tracker'!$C47,"")</f>
        <v/>
      </c>
      <c r="D48" s="1" t="str">
        <f aca="false">IF('📖 Review Tracker'!$O47="🔴 OVERDUE",TEXT('📖 Review Tracker'!$M47,"DD/MM/YYYY"),"")</f>
        <v/>
      </c>
      <c r="E48" s="1" t="str">
        <f aca="false">IF('📖 Review Tracker'!$O47="🔴 OVERDUE",'📖 Review Tracker'!$N47,"")</f>
        <v/>
      </c>
      <c r="F48" s="1" t="str">
        <f aca="false">IF('📖 Review Tracker'!$O47="🔴 OVERDUE",IF('📖 Review Tracker'!$F47="","J1",IF('📖 Review Tracker'!$G47="","J3",IF('📖 Review Tracker'!$H47="","J7",IF('📖 Review Tracker'!$I47="","J15",IF('📖 Review Tracker'!$J47="","J30",IF('📖 Review Tracker'!$K47="","J60","J90")))))),"")</f>
        <v/>
      </c>
      <c r="G48" s="1" t="str">
        <f aca="false">IF('📖 Review Tracker'!$O47="🔴 OVERDUE","🔴 CRITICAL","")</f>
        <v/>
      </c>
    </row>
    <row r="49" customFormat="false" ht="15" hidden="false" customHeight="true" outlineLevel="0" collapsed="false">
      <c r="A49" s="1" t="str">
        <f aca="false">IF('📖 Review Tracker'!$O48="🔴 OVERDUE",48,"")</f>
        <v/>
      </c>
      <c r="B49" s="1" t="str">
        <f aca="false">IF('📖 Review Tracker'!$O48="🔴 OVERDUE",'📖 Review Tracker'!$A48,"")</f>
        <v/>
      </c>
      <c r="C49" s="1" t="str">
        <f aca="false">IF('📖 Review Tracker'!$O48="🔴 OVERDUE",'📖 Review Tracker'!$C48,"")</f>
        <v/>
      </c>
      <c r="D49" s="1" t="str">
        <f aca="false">IF('📖 Review Tracker'!$O48="🔴 OVERDUE",TEXT('📖 Review Tracker'!$M48,"DD/MM/YYYY"),"")</f>
        <v/>
      </c>
      <c r="E49" s="1" t="str">
        <f aca="false">IF('📖 Review Tracker'!$O48="🔴 OVERDUE",'📖 Review Tracker'!$N48,"")</f>
        <v/>
      </c>
      <c r="F49" s="1" t="str">
        <f aca="false">IF('📖 Review Tracker'!$O48="🔴 OVERDUE",IF('📖 Review Tracker'!$F48="","J1",IF('📖 Review Tracker'!$G48="","J3",IF('📖 Review Tracker'!$H48="","J7",IF('📖 Review Tracker'!$I48="","J15",IF('📖 Review Tracker'!$J48="","J30",IF('📖 Review Tracker'!$K48="","J60","J90")))))),"")</f>
        <v/>
      </c>
      <c r="G49" s="1" t="str">
        <f aca="false">IF('📖 Review Tracker'!$O48="🔴 OVERDUE","🔴 CRITICAL","")</f>
        <v/>
      </c>
    </row>
    <row r="50" customFormat="false" ht="15" hidden="false" customHeight="true" outlineLevel="0" collapsed="false">
      <c r="A50" s="1" t="str">
        <f aca="false">IF('📖 Review Tracker'!$O49="🔴 OVERDUE",49,"")</f>
        <v/>
      </c>
      <c r="B50" s="1" t="str">
        <f aca="false">IF('📖 Review Tracker'!$O49="🔴 OVERDUE",'📖 Review Tracker'!$A49,"")</f>
        <v/>
      </c>
      <c r="C50" s="1" t="str">
        <f aca="false">IF('📖 Review Tracker'!$O49="🔴 OVERDUE",'📖 Review Tracker'!$C49,"")</f>
        <v/>
      </c>
      <c r="D50" s="1" t="str">
        <f aca="false">IF('📖 Review Tracker'!$O49="🔴 OVERDUE",TEXT('📖 Review Tracker'!$M49,"DD/MM/YYYY"),"")</f>
        <v/>
      </c>
      <c r="E50" s="1" t="str">
        <f aca="false">IF('📖 Review Tracker'!$O49="🔴 OVERDUE",'📖 Review Tracker'!$N49,"")</f>
        <v/>
      </c>
      <c r="F50" s="1" t="str">
        <f aca="false">IF('📖 Review Tracker'!$O49="🔴 OVERDUE",IF('📖 Review Tracker'!$F49="","J1",IF('📖 Review Tracker'!$G49="","J3",IF('📖 Review Tracker'!$H49="","J7",IF('📖 Review Tracker'!$I49="","J15",IF('📖 Review Tracker'!$J49="","J30",IF('📖 Review Tracker'!$K49="","J60","J90")))))),"")</f>
        <v/>
      </c>
      <c r="G50" s="1" t="str">
        <f aca="false">IF('📖 Review Tracker'!$O49="🔴 OVERDUE","🔴 CRITICAL","")</f>
        <v/>
      </c>
    </row>
    <row r="51" customFormat="false" ht="15" hidden="false" customHeight="true" outlineLevel="0" collapsed="false">
      <c r="A51" s="1" t="str">
        <f aca="false">IF('📖 Review Tracker'!$O50="🔴 OVERDUE",50,"")</f>
        <v/>
      </c>
      <c r="B51" s="1" t="str">
        <f aca="false">IF('📖 Review Tracker'!$O50="🔴 OVERDUE",'📖 Review Tracker'!$A50,"")</f>
        <v/>
      </c>
      <c r="C51" s="1" t="str">
        <f aca="false">IF('📖 Review Tracker'!$O50="🔴 OVERDUE",'📖 Review Tracker'!$C50,"")</f>
        <v/>
      </c>
      <c r="D51" s="1" t="str">
        <f aca="false">IF('📖 Review Tracker'!$O50="🔴 OVERDUE",TEXT('📖 Review Tracker'!$M50,"DD/MM/YYYY"),"")</f>
        <v/>
      </c>
      <c r="E51" s="1" t="str">
        <f aca="false">IF('📖 Review Tracker'!$O50="🔴 OVERDUE",'📖 Review Tracker'!$N50,"")</f>
        <v/>
      </c>
      <c r="F51" s="1" t="str">
        <f aca="false">IF('📖 Review Tracker'!$O50="🔴 OVERDUE",IF('📖 Review Tracker'!$F50="","J1",IF('📖 Review Tracker'!$G50="","J3",IF('📖 Review Tracker'!$H50="","J7",IF('📖 Review Tracker'!$I50="","J15",IF('📖 Review Tracker'!$J50="","J30",IF('📖 Review Tracker'!$K50="","J60","J90")))))),"")</f>
        <v/>
      </c>
      <c r="G51" s="1" t="str">
        <f aca="false">IF('📖 Review Tracker'!$O50="🔴 OVERDUE","🔴 CRITICAL","")</f>
        <v/>
      </c>
    </row>
    <row r="52" customFormat="false" ht="15" hidden="false" customHeight="true" outlineLevel="0" collapsed="false">
      <c r="A52" s="1" t="str">
        <f aca="false">IF('📖 Review Tracker'!$O51="🔴 OVERDUE",51,"")</f>
        <v/>
      </c>
      <c r="B52" s="1" t="str">
        <f aca="false">IF('📖 Review Tracker'!$O51="🔴 OVERDUE",'📖 Review Tracker'!$A51,"")</f>
        <v/>
      </c>
      <c r="C52" s="1" t="str">
        <f aca="false">IF('📖 Review Tracker'!$O51="🔴 OVERDUE",'📖 Review Tracker'!$C51,"")</f>
        <v/>
      </c>
      <c r="D52" s="1" t="str">
        <f aca="false">IF('📖 Review Tracker'!$O51="🔴 OVERDUE",TEXT('📖 Review Tracker'!$M51,"DD/MM/YYYY"),"")</f>
        <v/>
      </c>
      <c r="E52" s="1" t="str">
        <f aca="false">IF('📖 Review Tracker'!$O51="🔴 OVERDUE",'📖 Review Tracker'!$N51,"")</f>
        <v/>
      </c>
      <c r="F52" s="1" t="str">
        <f aca="false">IF('📖 Review Tracker'!$O51="🔴 OVERDUE",IF('📖 Review Tracker'!$F51="","J1",IF('📖 Review Tracker'!$G51="","J3",IF('📖 Review Tracker'!$H51="","J7",IF('📖 Review Tracker'!$I51="","J15",IF('📖 Review Tracker'!$J51="","J30",IF('📖 Review Tracker'!$K51="","J60","J90")))))),"")</f>
        <v/>
      </c>
      <c r="G52" s="1" t="str">
        <f aca="false">IF('📖 Review Tracker'!$O51="🔴 OVERDUE","🔴 CRITICAL","")</f>
        <v/>
      </c>
    </row>
    <row r="53" customFormat="false" ht="15" hidden="false" customHeight="true" outlineLevel="0" collapsed="false">
      <c r="A53" s="1" t="str">
        <f aca="false">IF('📖 Review Tracker'!$O52="🔴 OVERDUE",52,"")</f>
        <v/>
      </c>
      <c r="B53" s="1" t="str">
        <f aca="false">IF('📖 Review Tracker'!$O52="🔴 OVERDUE",'📖 Review Tracker'!$A52,"")</f>
        <v/>
      </c>
      <c r="C53" s="1" t="str">
        <f aca="false">IF('📖 Review Tracker'!$O52="🔴 OVERDUE",'📖 Review Tracker'!$C52,"")</f>
        <v/>
      </c>
      <c r="D53" s="1" t="str">
        <f aca="false">IF('📖 Review Tracker'!$O52="🔴 OVERDUE",TEXT('📖 Review Tracker'!$M52,"DD/MM/YYYY"),"")</f>
        <v/>
      </c>
      <c r="E53" s="1" t="str">
        <f aca="false">IF('📖 Review Tracker'!$O52="🔴 OVERDUE",'📖 Review Tracker'!$N52,"")</f>
        <v/>
      </c>
      <c r="F53" s="1" t="str">
        <f aca="false">IF('📖 Review Tracker'!$O52="🔴 OVERDUE",IF('📖 Review Tracker'!$F52="","J1",IF('📖 Review Tracker'!$G52="","J3",IF('📖 Review Tracker'!$H52="","J7",IF('📖 Review Tracker'!$I52="","J15",IF('📖 Review Tracker'!$J52="","J30",IF('📖 Review Tracker'!$K52="","J60","J90")))))),"")</f>
        <v/>
      </c>
      <c r="G53" s="1" t="str">
        <f aca="false">IF('📖 Review Tracker'!$O52="🔴 OVERDUE","🔴 CRITICAL","")</f>
        <v/>
      </c>
    </row>
    <row r="54" customFormat="false" ht="15" hidden="false" customHeight="true" outlineLevel="0" collapsed="false">
      <c r="A54" s="1" t="str">
        <f aca="false">IF('📖 Review Tracker'!$O53="🔴 OVERDUE",53,"")</f>
        <v/>
      </c>
      <c r="B54" s="1" t="str">
        <f aca="false">IF('📖 Review Tracker'!$O53="🔴 OVERDUE",'📖 Review Tracker'!$A53,"")</f>
        <v/>
      </c>
      <c r="C54" s="1" t="str">
        <f aca="false">IF('📖 Review Tracker'!$O53="🔴 OVERDUE",'📖 Review Tracker'!$C53,"")</f>
        <v/>
      </c>
      <c r="D54" s="1" t="str">
        <f aca="false">IF('📖 Review Tracker'!$O53="🔴 OVERDUE",TEXT('📖 Review Tracker'!$M53,"DD/MM/YYYY"),"")</f>
        <v/>
      </c>
      <c r="E54" s="1" t="str">
        <f aca="false">IF('📖 Review Tracker'!$O53="🔴 OVERDUE",'📖 Review Tracker'!$N53,"")</f>
        <v/>
      </c>
      <c r="F54" s="1" t="str">
        <f aca="false">IF('📖 Review Tracker'!$O53="🔴 OVERDUE",IF('📖 Review Tracker'!$F53="","J1",IF('📖 Review Tracker'!$G53="","J3",IF('📖 Review Tracker'!$H53="","J7",IF('📖 Review Tracker'!$I53="","J15",IF('📖 Review Tracker'!$J53="","J30",IF('📖 Review Tracker'!$K53="","J60","J90")))))),"")</f>
        <v/>
      </c>
      <c r="G54" s="1" t="str">
        <f aca="false">IF('📖 Review Tracker'!$O53="🔴 OVERDUE","🔴 CRITICAL","")</f>
        <v/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</cols>
  <sheetData>
    <row r="1" customFormat="false" ht="34.5" hidden="false" customHeight="true" outlineLevel="0" collapsed="false">
      <c r="A1" s="15" t="s">
        <v>45</v>
      </c>
      <c r="B1" s="15"/>
      <c r="C1" s="15"/>
      <c r="D1" s="15"/>
    </row>
    <row r="2" customFormat="false" ht="15" hidden="false" customHeight="true" outlineLevel="0" collapsed="false">
      <c r="A2" s="7" t="s">
        <v>30</v>
      </c>
      <c r="B2" s="8" t="str">
        <f aca="true">TEXT(TODAY(),"DD/MM/YYYY")</f>
        <v>09/02/2026</v>
      </c>
    </row>
    <row r="4" customFormat="false" ht="24.75" hidden="false" customHeight="true" outlineLevel="0" collapsed="false">
      <c r="A4" s="16" t="s">
        <v>46</v>
      </c>
      <c r="B4" s="16"/>
    </row>
    <row r="5" customFormat="false" ht="15.75" hidden="false" customHeight="true" outlineLevel="0" collapsed="false">
      <c r="A5" s="17" t="s">
        <v>47</v>
      </c>
      <c r="B5" s="18" t="n">
        <f aca="false">COUNTIFS('📖 Review Tracker'!$O:$O,"🔴 OVERDUE")</f>
        <v>0</v>
      </c>
    </row>
    <row r="6" customFormat="false" ht="15.75" hidden="false" customHeight="true" outlineLevel="0" collapsed="false">
      <c r="A6" s="17" t="s">
        <v>48</v>
      </c>
      <c r="B6" s="19" t="n">
        <f aca="false">COUNTIFS('📖 Review Tracker'!$O:$O,"🟡 TODAY")</f>
        <v>0</v>
      </c>
    </row>
    <row r="7" customFormat="false" ht="15.75" hidden="false" customHeight="true" outlineLevel="0" collapsed="false">
      <c r="A7" s="17" t="s">
        <v>49</v>
      </c>
      <c r="B7" s="20" t="n">
        <f aca="false">COUNTIFS('📖 Review Tracker'!$O:$O,"🟠 SOON")</f>
        <v>0</v>
      </c>
    </row>
    <row r="8" customFormat="false" ht="15.75" hidden="false" customHeight="true" outlineLevel="0" collapsed="false">
      <c r="A8" s="17" t="s">
        <v>50</v>
      </c>
      <c r="B8" s="21" t="n">
        <f aca="false">COUNTIFS('📖 Review Tracker'!$O:$O,"🟢 Later")</f>
        <v>0</v>
      </c>
    </row>
    <row r="9" customFormat="false" ht="15.75" hidden="false" customHeight="true" outlineLevel="0" collapsed="false">
      <c r="A9" s="17" t="s">
        <v>51</v>
      </c>
      <c r="B9" s="21" t="n">
        <f aca="false">COUNTIFS('📖 Review Tracker'!$O:$O,"✅ Complete")</f>
        <v>3</v>
      </c>
    </row>
    <row r="10" customFormat="false" ht="15.75" hidden="false" customHeight="true" outlineLevel="0" collapsed="false">
      <c r="A10" s="17" t="s">
        <v>52</v>
      </c>
      <c r="B10" s="22" t="n">
        <f aca="false">COUNTA('📖 Review Tracker'!$E:$E)-COUNTBLANK('📖 Review Tracker'!$E:$E)-1</f>
        <v>-1048569</v>
      </c>
    </row>
    <row r="12" customFormat="false" ht="15.75" hidden="false" customHeight="true" outlineLevel="0" collapsed="false">
      <c r="A12" s="23" t="s">
        <v>53</v>
      </c>
    </row>
    <row r="13" customFormat="false" ht="15" hidden="false" customHeight="true" outlineLevel="0" collapsed="false">
      <c r="A13" s="24" t="s">
        <v>54</v>
      </c>
      <c r="B13" s="24"/>
      <c r="C13" s="24"/>
      <c r="D13" s="24"/>
    </row>
    <row r="14" customFormat="false" ht="15" hidden="false" customHeight="true" outlineLevel="0" collapsed="false">
      <c r="A14" s="24" t="s">
        <v>55</v>
      </c>
      <c r="B14" s="24"/>
      <c r="C14" s="24"/>
      <c r="D14" s="24"/>
    </row>
    <row r="15" customFormat="false" ht="15" hidden="false" customHeight="true" outlineLevel="0" collapsed="false">
      <c r="A15" s="24" t="s">
        <v>56</v>
      </c>
      <c r="B15" s="24"/>
      <c r="C15" s="24"/>
      <c r="D15" s="24"/>
    </row>
    <row r="16" customFormat="false" ht="15" hidden="false" customHeight="true" outlineLevel="0" collapsed="false">
      <c r="A16" s="24" t="s">
        <v>57</v>
      </c>
      <c r="B16" s="24"/>
      <c r="C16" s="24"/>
      <c r="D16" s="24"/>
    </row>
    <row r="17" customFormat="false" ht="15" hidden="false" customHeight="true" outlineLevel="0" collapsed="false">
      <c r="A17" s="24" t="s">
        <v>58</v>
      </c>
      <c r="B17" s="24"/>
      <c r="C17" s="24"/>
      <c r="D17" s="24"/>
    </row>
    <row r="18" customFormat="false" ht="15" hidden="false" customHeight="true" outlineLevel="0" collapsed="false">
      <c r="A18" s="24" t="s">
        <v>59</v>
      </c>
      <c r="B18" s="24"/>
      <c r="C18" s="24"/>
      <c r="D18" s="24"/>
    </row>
    <row r="19" customFormat="false" ht="15" hidden="false" customHeight="true" outlineLevel="0" collapsed="false">
      <c r="A19" s="24" t="s">
        <v>60</v>
      </c>
      <c r="B19" s="24"/>
      <c r="C19" s="24"/>
      <c r="D19" s="24"/>
    </row>
    <row r="20" customFormat="false" ht="15" hidden="false" customHeight="true" outlineLevel="0" collapsed="false">
      <c r="A20" s="24" t="s">
        <v>61</v>
      </c>
      <c r="B20" s="24"/>
      <c r="C20" s="24"/>
      <c r="D20" s="24"/>
    </row>
    <row r="21" customFormat="false" ht="15" hidden="false" customHeight="true" outlineLevel="0" collapsed="false">
      <c r="A21" s="24" t="s">
        <v>62</v>
      </c>
      <c r="B21" s="24"/>
      <c r="C21" s="24"/>
      <c r="D21" s="24"/>
    </row>
    <row r="22" customFormat="false" ht="15" hidden="false" customHeight="true" outlineLevel="0" collapsed="false">
      <c r="A22" s="24" t="s">
        <v>63</v>
      </c>
      <c r="B22" s="24"/>
      <c r="C22" s="24"/>
      <c r="D22" s="24"/>
    </row>
  </sheetData>
  <mergeCells count="12">
    <mergeCell ref="A1:D1"/>
    <mergeCell ref="A4:B4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2026-02-09T15:50:54Z</dcterms:created>
  <dc:creator>openpyxl</dc:creator>
  <dc:description/>
  <dc:language>en-US</dc:language>
  <cp:lastModifiedBy/>
  <dcterms:modified xsi:type="dcterms:W3CDTF">2026-02-09T15:51:28Z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