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📖 Quick Start" sheetId="1" state="visible" r:id="rId3"/>
    <sheet name="⚡ TODAY" sheetId="2" state="visible" r:id="rId4"/>
    <sheet name="Database" sheetId="3" state="visible" r:id="rId5"/>
    <sheet name="📊 Sta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<sst xmlns="http://schemas.openxmlformats.org/spreadsheetml/2006/main" count="107" uniqueCount="102">
  <si>
    <t xml:space="preserve">📖 ULTRA-SIMPLE SPACED REPETITION</t>
  </si>
  <si>
    <t xml:space="preserve">⚡ DAILY USE (2 Steps Total)</t>
  </si>
  <si>
    <t xml:space="preserve">1️⃣ Open "⚡ TODAY" sheet</t>
  </si>
  <si>
    <t xml:space="preserve">   → See all lessons due today</t>
  </si>
  <si>
    <t xml:space="preserve">   → Study each one</t>
  </si>
  <si>
    <t xml:space="preserve">   → Click "✅ DONE" in column D</t>
  </si>
  <si>
    <t xml:space="preserve">   → Green values appear (New Level, New Date)</t>
  </si>
  <si>
    <t xml:space="preserve">2️⃣ Go to "Database" sheet</t>
  </si>
  <si>
    <t xml:space="preserve">   → Find that lesson</t>
  </si>
  <si>
    <t xml:space="preserve">   → Update Step (col C) with green "New Level" value</t>
  </si>
  <si>
    <t xml:space="preserve">   → Update Last Review (col D) with green "New Date" value</t>
  </si>
  <si>
    <t xml:space="preserve">   → (Or press Ctrl+; for today's date)</t>
  </si>
  <si>
    <t xml:space="preserve">✅ Done! That lesson disappears from TODAY sheet</t>
  </si>
  <si>
    <t xml:space="preserve">⏱️ Takes 5 seconds per card</t>
  </si>
  <si>
    <t xml:space="preserve">📚 ADDING NEW LESSONS</t>
  </si>
  <si>
    <t xml:space="preserve">1. Go to "Database" sheet</t>
  </si>
  <si>
    <t xml:space="preserve">2. Add new row:</t>
  </si>
  <si>
    <t xml:space="preserve">   • Column A: Topic (e.g., "Cardiology")</t>
  </si>
  <si>
    <t xml:space="preserve">   • Column B: Lesson (e.g., "MI pathophysiology")</t>
  </si>
  <si>
    <t xml:space="preserve">   • Column C: Step = 0 (for new lessons)</t>
  </si>
  <si>
    <t xml:space="preserve">   • Column D: Leave empty (will fill when you first study)</t>
  </si>
  <si>
    <t xml:space="preserve">3. It appears in "⚡ TODAY" sheet automatically!</t>
  </si>
  <si>
    <t xml:space="preserve">🎓 LEARNING LEVELS</t>
  </si>
  <si>
    <t xml:space="preserve">Level</t>
  </si>
  <si>
    <t xml:space="preserve">Next Review</t>
  </si>
  <si>
    <t xml:space="preserve">Meaning</t>
  </si>
  <si>
    <t xml:space="preserve">0</t>
  </si>
  <si>
    <t xml:space="preserve">Today</t>
  </si>
  <si>
    <t xml:space="preserve">🆕 Brand new - just learned</t>
  </si>
  <si>
    <t xml:space="preserve">1</t>
  </si>
  <si>
    <t xml:space="preserve">+1 day</t>
  </si>
  <si>
    <t xml:space="preserve">📖 Recall while fresh</t>
  </si>
  <si>
    <t xml:space="preserve">2</t>
  </si>
  <si>
    <t xml:space="preserve">+3 days</t>
  </si>
  <si>
    <t xml:space="preserve">🧠 First spacing test</t>
  </si>
  <si>
    <t xml:space="preserve">3</t>
  </si>
  <si>
    <t xml:space="preserve">+7 days</t>
  </si>
  <si>
    <t xml:space="preserve">💪 One week retention</t>
  </si>
  <si>
    <t xml:space="preserve">4</t>
  </si>
  <si>
    <t xml:space="preserve">+15 days</t>
  </si>
  <si>
    <t xml:space="preserve">⭐ Two weeks - getting strong</t>
  </si>
  <si>
    <t xml:space="preserve">5</t>
  </si>
  <si>
    <t xml:space="preserve">+30 days</t>
  </si>
  <si>
    <t xml:space="preserve">🏆 One month - nearly mastered</t>
  </si>
  <si>
    <t xml:space="preserve">6</t>
  </si>
  <si>
    <t xml:space="preserve">+60 days</t>
  </si>
  <si>
    <t xml:space="preserve">💎 Two months - very solid</t>
  </si>
  <si>
    <t xml:space="preserve">7</t>
  </si>
  <si>
    <t xml:space="preserve">+90 days</t>
  </si>
  <si>
    <t xml:space="preserve">✅ MASTERED - review quarterly</t>
  </si>
  <si>
    <t xml:space="preserve">💡 PRO TIPS FOR MEDICAL PROFESSIONALS</t>
  </si>
  <si>
    <t xml:space="preserve">✓ 15-20 cards/day = 5,000+ cards/year (sustainable)</t>
  </si>
  <si>
    <t xml:space="preserve">✓ Study EVERY day - even 5 minutes keeps the system working</t>
  </si>
  <si>
    <t xml:space="preserve">✓ Overdue cards = priority (but don't stress - just catch up)</t>
  </si>
  <si>
    <t xml:space="preserve">✓ Break big topics into small cards (e.g., "Heart" → "Chambers", "Valves", "Coronaries")</t>
  </si>
  <si>
    <t xml:space="preserve">✓ Review before bed = better retention during sleep</t>
  </si>
  <si>
    <t xml:space="preserve">✓ Use mnemonics and clinical scenarios in your notes</t>
  </si>
  <si>
    <t xml:space="preserve">✓ Level 7 = review every 3 months to maintain forever</t>
  </si>
  <si>
    <t xml:space="preserve">⚡ TODAY'S REVIEWS</t>
  </si>
  <si>
    <t xml:space="preserve">Due Now:</t>
  </si>
  <si>
    <t xml:space="preserve">📖 Study each lesson → Click ✅ DONE → Auto-updates! (That's it!)</t>
  </si>
  <si>
    <t xml:space="preserve">Lesson</t>
  </si>
  <si>
    <t xml:space="preserve">Current Level</t>
  </si>
  <si>
    <t xml:space="preserve">Next Review In...</t>
  </si>
  <si>
    <t xml:space="preserve">Mark Done</t>
  </si>
  <si>
    <t xml:space="preserve">New Level</t>
  </si>
  <si>
    <t xml:space="preserve">New Date</t>
  </si>
  <si>
    <t xml:space="preserve">Status</t>
  </si>
  <si>
    <t xml:space="preserve">📋 AFTER YOU MARK DONE: Go to Database → Find that lesson → Update Step (col C) and Last Review (col D) with the green values shown above</t>
  </si>
  <si>
    <t xml:space="preserve">DATABASE - Add Your Lessons Here</t>
  </si>
  <si>
    <t xml:space="preserve">✅ SMART: Overdue lessons calculate next review from TODAY, not the past! Only edit columns A, B, C, D.</t>
  </si>
  <si>
    <t xml:space="preserve">Topic</t>
  </si>
  <si>
    <t xml:space="preserve">Step</t>
  </si>
  <si>
    <t xml:space="preserve">Last Review</t>
  </si>
  <si>
    <t xml:space="preserve">Interval</t>
  </si>
  <si>
    <t xml:space="preserve">Anatomy</t>
  </si>
  <si>
    <t xml:space="preserve">Heart chambers &amp; valves</t>
  </si>
  <si>
    <t xml:space="preserve">Microbio</t>
  </si>
  <si>
    <t xml:space="preserve">Viral replication</t>
  </si>
  <si>
    <t xml:space="preserve">Pharmacology</t>
  </si>
  <si>
    <t xml:space="preserve">Benzodiazepines MOA</t>
  </si>
  <si>
    <t xml:space="preserve">Physiology</t>
  </si>
  <si>
    <t xml:space="preserve">Cardiac cycle</t>
  </si>
  <si>
    <t xml:space="preserve">📊 YOUR PROGRESS</t>
  </si>
  <si>
    <t xml:space="preserve">📚 CURRENT STATUS</t>
  </si>
  <si>
    <t xml:space="preserve">Overdue:</t>
  </si>
  <si>
    <t xml:space="preserve">Coming Soon (≤7d):</t>
  </si>
  <si>
    <t xml:space="preserve">Total Active:</t>
  </si>
  <si>
    <t xml:space="preserve">Mastered (Level 7):</t>
  </si>
  <si>
    <t xml:space="preserve">📅 UPCOMING WORKLOAD</t>
  </si>
  <si>
    <t xml:space="preserve">Day</t>
  </si>
  <si>
    <t xml:space="preserve">Date</t>
  </si>
  <si>
    <t xml:space="preserve">Reviews</t>
  </si>
  <si>
    <t xml:space="preserve">Tomorrow</t>
  </si>
  <si>
    <t xml:space="preserve">+2 days</t>
  </si>
  <si>
    <t xml:space="preserve">+4 days</t>
  </si>
  <si>
    <t xml:space="preserve">+5 days</t>
  </si>
  <si>
    <t xml:space="preserve">+6 days</t>
  </si>
  <si>
    <t xml:space="preserve">⚡ QUICK ACTIONS</t>
  </si>
  <si>
    <t xml:space="preserve">→ Go to "⚡ TODAY" to see what's due</t>
  </si>
  <si>
    <t xml:space="preserve">→ Go to "Database" to add new lessons</t>
  </si>
  <si>
    <t xml:space="preserve">→ Check "Upcoming Workload" to plan ahead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</si>
</sst>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/mm/yyyy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mbria"/>
      <family val="0"/>
      <charset val="1"/>
    </font>
    <font>
      <b val="true"/>
      <sz val="14"/>
      <color rgb="FFC00000"/>
      <name val="Cambria"/>
      <family val="0"/>
      <charset val="1"/>
    </font>
    <font>
      <sz val="10"/>
      <name val="Cambria"/>
      <family val="0"/>
      <charset val="1"/>
    </font>
    <font>
      <b val="true"/>
      <sz val="12"/>
      <color rgb="FF366092"/>
      <name val="Cambria"/>
      <family val="0"/>
      <charset val="1"/>
    </font>
    <font>
      <b val="true"/>
      <sz val="14"/>
      <color rgb="FF1F478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20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6"/>
      <color rgb="FFC00000"/>
      <name val="Cambria"/>
      <family val="0"/>
      <charset val="1"/>
    </font>
    <font>
      <b val="true"/>
      <i val="true"/>
      <sz val="11"/>
      <color rgb="FF0066CC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sz val="11"/>
      <name val="Cambria"/>
      <family val="0"/>
      <charset val="1"/>
    </font>
    <font>
      <b val="true"/>
      <sz val="11"/>
      <color rgb="FF00B050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i val="true"/>
      <sz val="9"/>
      <color rgb="FF00B05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6"/>
      <color rgb="FFFFFFFF"/>
      <name val="Cambria"/>
      <family val="0"/>
      <charset val="1"/>
    </font>
    <font>
      <b val="true"/>
      <sz val="13"/>
      <name val="Cambria"/>
      <family val="0"/>
      <charset val="1"/>
    </font>
    <font>
      <b val="true"/>
      <sz val="13"/>
      <color rgb="FFC00000"/>
      <name val="Cambria"/>
      <family val="0"/>
      <charset val="1"/>
    </font>
    <font>
      <b val="true"/>
      <sz val="13"/>
      <color rgb="FFFF0000"/>
      <name val="Cambria"/>
      <family val="0"/>
      <charset val="1"/>
    </font>
    <font>
      <b val="true"/>
      <sz val="13"/>
      <color rgb="FF0066CC"/>
      <name val="Cambria"/>
      <family val="0"/>
      <charset val="1"/>
    </font>
    <font>
      <b val="true"/>
      <sz val="13"/>
      <color rgb="FF000000"/>
      <name val="Cambria"/>
      <family val="0"/>
      <charset val="1"/>
    </font>
    <font>
      <b val="true"/>
      <sz val="13"/>
      <color rgb="FF00B050"/>
      <name val="Cambria"/>
      <family val="0"/>
      <charset val="1"/>
    </font>
    <font>
      <b val="true"/>
      <sz val="11"/>
      <color rgb="FF0066CC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788"/>
        <bgColor rgb="FF366092"/>
      </patternFill>
    </fill>
    <fill>
      <patternFill patternType="solid">
        <fgColor rgb="FFD9E1F2"/>
        <bgColor rgb="FFD4EDDA"/>
      </patternFill>
    </fill>
    <fill>
      <patternFill patternType="solid">
        <fgColor rgb="FFC00000"/>
        <bgColor rgb="FFFF0000"/>
      </patternFill>
    </fill>
    <fill>
      <patternFill patternType="solid">
        <fgColor rgb="FF366092"/>
        <bgColor rgb="FF1F478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D4EDDA"/>
        </patternFill>
      </fill>
    </dxf>
    <dxf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66092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00B050"/>
      <rgbColor rgb="FF003300"/>
      <rgbColor rgb="FF333300"/>
      <rgbColor rgb="FF993300"/>
      <rgbColor rgb="FF993366"/>
      <rgbColor rgb="FF1F478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35"/>
  </cols>
  <sheetData>
    <row r="1" customFormat="false" ht="34.5" hidden="false" customHeight="true" outlineLevel="0" collapsed="false">
      <c r="A1" s="2" t="s">
        <v>0</v>
      </c>
      <c r="B1" s="2"/>
      <c r="C1" s="2"/>
      <c r="D1" s="2"/>
    </row>
    <row r="3" customFormat="false" ht="17.25" hidden="false" customHeight="true" outlineLevel="0" collapsed="false">
      <c r="A3" s="3" t="s">
        <v>1</v>
      </c>
      <c r="B3" s="3"/>
      <c r="C3" s="3"/>
      <c r="D3" s="3"/>
    </row>
    <row r="4" customFormat="false" ht="15" hidden="false" customHeight="true" outlineLevel="0" collapsed="false">
      <c r="A4" s="4"/>
      <c r="B4" s="4"/>
      <c r="C4" s="4"/>
      <c r="D4" s="4"/>
    </row>
    <row r="5" customFormat="false" ht="15" hidden="false" customHeight="true" outlineLevel="0" collapsed="false">
      <c r="A5" s="5" t="s">
        <v>2</v>
      </c>
      <c r="B5" s="5"/>
      <c r="C5" s="5"/>
      <c r="D5" s="5"/>
    </row>
    <row r="6" customFormat="false" ht="15" hidden="false" customHeight="true" outlineLevel="0" collapsed="false">
      <c r="A6" s="4" t="s">
        <v>3</v>
      </c>
      <c r="B6" s="4"/>
      <c r="C6" s="4"/>
      <c r="D6" s="4"/>
    </row>
    <row r="7" customFormat="false" ht="15" hidden="false" customHeight="true" outlineLevel="0" collapsed="false">
      <c r="A7" s="4" t="s">
        <v>4</v>
      </c>
      <c r="B7" s="4"/>
      <c r="C7" s="4"/>
      <c r="D7" s="4"/>
    </row>
    <row r="8" customFormat="false" ht="15" hidden="false" customHeight="true" outlineLevel="0" collapsed="false">
      <c r="A8" s="4" t="s">
        <v>5</v>
      </c>
      <c r="B8" s="4"/>
      <c r="C8" s="4"/>
      <c r="D8" s="4"/>
    </row>
    <row r="9" customFormat="false" ht="15" hidden="false" customHeight="true" outlineLevel="0" collapsed="false">
      <c r="A9" s="4" t="s">
        <v>6</v>
      </c>
      <c r="B9" s="4"/>
      <c r="C9" s="4"/>
      <c r="D9" s="4"/>
    </row>
    <row r="10" customFormat="false" ht="15" hidden="false" customHeight="true" outlineLevel="0" collapsed="false">
      <c r="A10" s="4"/>
      <c r="B10" s="4"/>
      <c r="C10" s="4"/>
      <c r="D10" s="4"/>
    </row>
    <row r="11" customFormat="false" ht="15" hidden="false" customHeight="true" outlineLevel="0" collapsed="false">
      <c r="A11" s="5" t="s">
        <v>7</v>
      </c>
      <c r="B11" s="5"/>
      <c r="C11" s="5"/>
      <c r="D11" s="5"/>
    </row>
    <row r="12" customFormat="false" ht="15" hidden="false" customHeight="true" outlineLevel="0" collapsed="false">
      <c r="A12" s="4" t="s">
        <v>8</v>
      </c>
      <c r="B12" s="4"/>
      <c r="C12" s="4"/>
      <c r="D12" s="4"/>
    </row>
    <row r="13" customFormat="false" ht="15" hidden="false" customHeight="true" outlineLevel="0" collapsed="false">
      <c r="A13" s="4" t="s">
        <v>9</v>
      </c>
      <c r="B13" s="4"/>
      <c r="C13" s="4"/>
      <c r="D13" s="4"/>
    </row>
    <row r="14" customFormat="false" ht="15" hidden="false" customHeight="true" outlineLevel="0" collapsed="false">
      <c r="A14" s="4" t="s">
        <v>10</v>
      </c>
      <c r="B14" s="4"/>
      <c r="C14" s="4"/>
      <c r="D14" s="4"/>
    </row>
    <row r="15" customFormat="false" ht="15" hidden="false" customHeight="true" outlineLevel="0" collapsed="false">
      <c r="A15" s="4" t="s">
        <v>11</v>
      </c>
      <c r="B15" s="4"/>
      <c r="C15" s="4"/>
      <c r="D15" s="4"/>
    </row>
    <row r="16" customFormat="false" ht="15" hidden="false" customHeight="true" outlineLevel="0" collapsed="false">
      <c r="A16" s="4"/>
      <c r="B16" s="4"/>
      <c r="C16" s="4"/>
      <c r="D16" s="4"/>
    </row>
    <row r="17" customFormat="false" ht="15" hidden="false" customHeight="true" outlineLevel="0" collapsed="false">
      <c r="A17" s="4" t="s">
        <v>12</v>
      </c>
      <c r="B17" s="4"/>
      <c r="C17" s="4"/>
      <c r="D17" s="4"/>
    </row>
    <row r="18" customFormat="false" ht="15" hidden="false" customHeight="true" outlineLevel="0" collapsed="false">
      <c r="A18" s="4"/>
      <c r="B18" s="4"/>
      <c r="C18" s="4"/>
      <c r="D18" s="4"/>
    </row>
    <row r="19" customFormat="false" ht="15" hidden="false" customHeight="true" outlineLevel="0" collapsed="false">
      <c r="A19" s="4" t="s">
        <v>13</v>
      </c>
      <c r="B19" s="4"/>
      <c r="C19" s="4"/>
      <c r="D19" s="4"/>
    </row>
    <row r="22" customFormat="false" ht="17.25" hidden="false" customHeight="true" outlineLevel="0" collapsed="false">
      <c r="A22" s="6" t="s">
        <v>14</v>
      </c>
      <c r="B22" s="6"/>
      <c r="C22" s="6"/>
      <c r="D22" s="6"/>
    </row>
    <row r="23" customFormat="false" ht="15" hidden="false" customHeight="true" outlineLevel="0" collapsed="false">
      <c r="A23" s="4"/>
      <c r="B23" s="4"/>
      <c r="C23" s="4"/>
      <c r="D23" s="4"/>
    </row>
    <row r="24" customFormat="false" ht="15" hidden="false" customHeight="true" outlineLevel="0" collapsed="false">
      <c r="A24" s="4" t="s">
        <v>15</v>
      </c>
      <c r="B24" s="4"/>
      <c r="C24" s="4"/>
      <c r="D24" s="4"/>
    </row>
    <row r="25" customFormat="false" ht="15" hidden="false" customHeight="true" outlineLevel="0" collapsed="false">
      <c r="A25" s="4" t="s">
        <v>16</v>
      </c>
      <c r="B25" s="4"/>
      <c r="C25" s="4"/>
      <c r="D25" s="4"/>
    </row>
    <row r="26" customFormat="false" ht="15" hidden="false" customHeight="true" outlineLevel="0" collapsed="false">
      <c r="A26" s="4" t="s">
        <v>17</v>
      </c>
      <c r="B26" s="4"/>
      <c r="C26" s="4"/>
      <c r="D26" s="4"/>
    </row>
    <row r="27" customFormat="false" ht="15" hidden="false" customHeight="true" outlineLevel="0" collapsed="false">
      <c r="A27" s="4" t="s">
        <v>18</v>
      </c>
      <c r="B27" s="4"/>
      <c r="C27" s="4"/>
      <c r="D27" s="4"/>
    </row>
    <row r="28" customFormat="false" ht="15" hidden="false" customHeight="true" outlineLevel="0" collapsed="false">
      <c r="A28" s="4" t="s">
        <v>19</v>
      </c>
      <c r="B28" s="4"/>
      <c r="C28" s="4"/>
      <c r="D28" s="4"/>
    </row>
    <row r="29" customFormat="false" ht="15" hidden="false" customHeight="true" outlineLevel="0" collapsed="false">
      <c r="A29" s="4" t="s">
        <v>20</v>
      </c>
      <c r="B29" s="4"/>
      <c r="C29" s="4"/>
      <c r="D29" s="4"/>
    </row>
    <row r="30" customFormat="false" ht="15" hidden="false" customHeight="true" outlineLevel="0" collapsed="false">
      <c r="A30" s="4"/>
      <c r="B30" s="4"/>
      <c r="C30" s="4"/>
      <c r="D30" s="4"/>
    </row>
    <row r="31" customFormat="false" ht="15" hidden="false" customHeight="true" outlineLevel="0" collapsed="false">
      <c r="A31" s="4" t="s">
        <v>21</v>
      </c>
      <c r="B31" s="4"/>
      <c r="C31" s="4"/>
      <c r="D31" s="4"/>
    </row>
    <row r="33" customFormat="false" ht="17.25" hidden="false" customHeight="true" outlineLevel="0" collapsed="false">
      <c r="A33" s="6" t="s">
        <v>22</v>
      </c>
      <c r="B33" s="6"/>
      <c r="C33" s="6"/>
      <c r="D33" s="6"/>
    </row>
    <row r="34" customFormat="false" ht="15" hidden="false" customHeight="true" outlineLevel="0" collapsed="false">
      <c r="A34" s="7" t="s">
        <v>23</v>
      </c>
      <c r="B34" s="7" t="s">
        <v>24</v>
      </c>
      <c r="C34" s="7" t="s">
        <v>25</v>
      </c>
    </row>
    <row r="35" customFormat="false" ht="15" hidden="false" customHeight="true" outlineLevel="0" collapsed="false">
      <c r="A35" s="8" t="s">
        <v>26</v>
      </c>
      <c r="B35" s="8" t="s">
        <v>27</v>
      </c>
      <c r="C35" s="8" t="s">
        <v>28</v>
      </c>
    </row>
    <row r="36" customFormat="false" ht="15" hidden="false" customHeight="true" outlineLevel="0" collapsed="false">
      <c r="A36" s="8" t="s">
        <v>29</v>
      </c>
      <c r="B36" s="8" t="s">
        <v>30</v>
      </c>
      <c r="C36" s="8" t="s">
        <v>31</v>
      </c>
    </row>
    <row r="37" customFormat="false" ht="15" hidden="false" customHeight="true" outlineLevel="0" collapsed="false">
      <c r="A37" s="8" t="s">
        <v>32</v>
      </c>
      <c r="B37" s="8" t="s">
        <v>33</v>
      </c>
      <c r="C37" s="8" t="s">
        <v>34</v>
      </c>
    </row>
    <row r="38" customFormat="false" ht="15" hidden="false" customHeight="true" outlineLevel="0" collapsed="false">
      <c r="A38" s="8" t="s">
        <v>35</v>
      </c>
      <c r="B38" s="8" t="s">
        <v>36</v>
      </c>
      <c r="C38" s="8" t="s">
        <v>37</v>
      </c>
    </row>
    <row r="39" customFormat="false" ht="15" hidden="false" customHeight="true" outlineLevel="0" collapsed="false">
      <c r="A39" s="8" t="s">
        <v>38</v>
      </c>
      <c r="B39" s="8" t="s">
        <v>39</v>
      </c>
      <c r="C39" s="8" t="s">
        <v>40</v>
      </c>
    </row>
    <row r="40" customFormat="false" ht="15" hidden="false" customHeight="true" outlineLevel="0" collapsed="false">
      <c r="A40" s="8" t="s">
        <v>41</v>
      </c>
      <c r="B40" s="8" t="s">
        <v>42</v>
      </c>
      <c r="C40" s="8" t="s">
        <v>43</v>
      </c>
    </row>
    <row r="41" customFormat="false" ht="15" hidden="false" customHeight="true" outlineLevel="0" collapsed="false">
      <c r="A41" s="8" t="s">
        <v>44</v>
      </c>
      <c r="B41" s="8" t="s">
        <v>45</v>
      </c>
      <c r="C41" s="8" t="s">
        <v>46</v>
      </c>
    </row>
    <row r="42" customFormat="false" ht="15" hidden="false" customHeight="true" outlineLevel="0" collapsed="false">
      <c r="A42" s="8" t="s">
        <v>47</v>
      </c>
      <c r="B42" s="8" t="s">
        <v>48</v>
      </c>
      <c r="C42" s="8" t="s">
        <v>49</v>
      </c>
    </row>
    <row r="45" customFormat="false" ht="17.25" hidden="false" customHeight="true" outlineLevel="0" collapsed="false">
      <c r="A45" s="6" t="s">
        <v>50</v>
      </c>
      <c r="B45" s="6"/>
      <c r="C45" s="6"/>
      <c r="D45" s="6"/>
    </row>
    <row r="46" customFormat="false" ht="15" hidden="false" customHeight="true" outlineLevel="0" collapsed="false">
      <c r="A46" s="4" t="s">
        <v>51</v>
      </c>
      <c r="B46" s="4"/>
      <c r="C46" s="4"/>
      <c r="D46" s="4"/>
    </row>
    <row r="47" customFormat="false" ht="15" hidden="false" customHeight="true" outlineLevel="0" collapsed="false">
      <c r="A47" s="4" t="s">
        <v>52</v>
      </c>
      <c r="B47" s="4"/>
      <c r="C47" s="4"/>
      <c r="D47" s="4"/>
    </row>
    <row r="48" customFormat="false" ht="15" hidden="false" customHeight="true" outlineLevel="0" collapsed="false">
      <c r="A48" s="4" t="s">
        <v>53</v>
      </c>
      <c r="B48" s="4"/>
      <c r="C48" s="4"/>
      <c r="D48" s="4"/>
    </row>
    <row r="49" customFormat="false" ht="15" hidden="false" customHeight="true" outlineLevel="0" collapsed="false">
      <c r="A49" s="4" t="s">
        <v>54</v>
      </c>
      <c r="B49" s="4"/>
      <c r="C49" s="4"/>
      <c r="D49" s="4"/>
    </row>
    <row r="50" customFormat="false" ht="15" hidden="false" customHeight="true" outlineLevel="0" collapsed="false">
      <c r="A50" s="4" t="s">
        <v>55</v>
      </c>
      <c r="B50" s="4"/>
      <c r="C50" s="4"/>
      <c r="D50" s="4"/>
    </row>
    <row r="51" customFormat="false" ht="15" hidden="false" customHeight="true" outlineLevel="0" collapsed="false">
      <c r="A51" s="4" t="s">
        <v>56</v>
      </c>
      <c r="B51" s="4"/>
      <c r="C51" s="4"/>
      <c r="D51" s="4"/>
    </row>
    <row r="52" customFormat="false" ht="15" hidden="false" customHeight="true" outlineLevel="0" collapsed="false">
      <c r="A52" s="4" t="s">
        <v>57</v>
      </c>
      <c r="B52" s="4"/>
      <c r="C52" s="4"/>
      <c r="D52" s="4"/>
    </row>
  </sheetData>
  <mergeCells count="37">
    <mergeCell ref="A1:D1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3:D33"/>
    <mergeCell ref="A45:D45"/>
    <mergeCell ref="A46:D46"/>
    <mergeCell ref="A47:D47"/>
    <mergeCell ref="A48:D48"/>
    <mergeCell ref="A49:D49"/>
    <mergeCell ref="A50:D50"/>
    <mergeCell ref="A51:D51"/>
    <mergeCell ref="A52:D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7" min="4" style="1" width="12"/>
  </cols>
  <sheetData>
    <row r="1" customFormat="false" ht="39.75" hidden="false" customHeight="true" outlineLevel="0" collapsed="false">
      <c r="A1" s="9" t="s">
        <v>58</v>
      </c>
      <c r="B1" s="9"/>
      <c r="C1" s="9"/>
      <c r="D1" s="9"/>
      <c r="E1" s="9"/>
      <c r="F1" s="9"/>
      <c r="G1" s="9"/>
    </row>
    <row r="2" customFormat="false" ht="19.5" hidden="false" customHeight="true" outlineLevel="0" collapsed="false">
      <c r="A2" s="10" t="s">
        <v>59</v>
      </c>
      <c r="B2" s="11" t="n">
        <f aca="true">COUNTIFS(Database!$F:$F,"&lt;="&amp;TODAY(),Database!$A:$A,"&lt;&gt;""")+(COUNTIF(Database!$D:$D,"")-COUNTBLANK(Database!$A:$A))</f>
        <v>3</v>
      </c>
    </row>
    <row r="3" customFormat="false" ht="24.75" hidden="false" customHeight="true" outlineLevel="0" collapsed="false">
      <c r="A3" s="12" t="s">
        <v>60</v>
      </c>
      <c r="B3" s="12"/>
      <c r="C3" s="12"/>
      <c r="D3" s="12"/>
      <c r="E3" s="12"/>
      <c r="F3" s="12"/>
      <c r="G3" s="12"/>
    </row>
    <row r="4" customFormat="false" ht="34.5" hidden="false" customHeight="true" outlineLevel="0" collapsed="false">
      <c r="A4" s="13" t="s">
        <v>61</v>
      </c>
      <c r="B4" s="13" t="s">
        <v>62</v>
      </c>
      <c r="C4" s="13" t="s">
        <v>63</v>
      </c>
      <c r="D4" s="13" t="s">
        <v>64</v>
      </c>
      <c r="E4" s="13" t="s">
        <v>65</v>
      </c>
      <c r="F4" s="13" t="s">
        <v>66</v>
      </c>
      <c r="G4" s="13" t="s">
        <v>67</v>
      </c>
    </row>
    <row r="5" customFormat="false" ht="15" hidden="false" customHeight="true" outlineLevel="0" collapsed="false">
      <c r="A5" s="14" t="str">
        <f aca="true">IF(AND(Database!A4&lt;&gt;"",OR(Database!F4&lt;=TODAY(),Database!D4="")),Database!A4&amp;" - "&amp;Database!B4,"")</f>
        <v/>
      </c>
      <c r="B5" s="15" t="str">
        <f aca="false">IF(A5&lt;&gt;"","Level "&amp;Database!C4,"")</f>
        <v/>
      </c>
      <c r="C5" s="15" t="str">
        <f aca="true">IF(A5="","",IF(Database!F4="","START NOW",IF(Database!F4&lt;TODAY(),"OVERDUE "&amp;ABS(Database!F4-TODAY())&amp;"d",Database!F4-TODAY()&amp;" days")))</f>
        <v/>
      </c>
      <c r="E5" s="16" t="str">
        <f aca="false">IF(D5="✅ DONE",MIN(Database!C4+1,7),"")</f>
        <v/>
      </c>
      <c r="F5" s="16" t="str">
        <f aca="true">IF(D5="✅ DONE",TEXT(TODAY(),"DD/MM/YY"),"")</f>
        <v/>
      </c>
      <c r="G5" s="15" t="str">
        <f aca="false">IF(A5="","",IF(D5="✅ DONE","✅ Done","⏳ Pending"))</f>
        <v/>
      </c>
    </row>
    <row r="6" customFormat="false" ht="15" hidden="false" customHeight="true" outlineLevel="0" collapsed="false">
      <c r="A6" s="14" t="str">
        <f aca="true">IF(AND(Database!A5&lt;&gt;"",OR(Database!F5&lt;=TODAY(),Database!D5="")),Database!A5&amp;" - "&amp;Database!B5,"")</f>
        <v>Microbio - Viral replication</v>
      </c>
      <c r="B6" s="15" t="str">
        <f aca="false">IF(A6&lt;&gt;"","Level "&amp;Database!C5,"")</f>
        <v>Level 0</v>
      </c>
      <c r="C6" s="15" t="str">
        <f aca="true">IF(A6="","",IF(Database!F5="","START NOW",IF(Database!F5&lt;TODAY(),"OVERDUE "&amp;ABS(Database!F5-TODAY())&amp;"d",Database!F5-TODAY()&amp;" days")))</f>
        <v>START NOW</v>
      </c>
      <c r="E6" s="16" t="str">
        <f aca="false">IF(D6="✅ DONE",MIN(Database!C5+1,7),"")</f>
        <v/>
      </c>
      <c r="F6" s="16" t="str">
        <f aca="true">IF(D6="✅ DONE",TEXT(TODAY(),"DD/MM/YY"),"")</f>
        <v/>
      </c>
      <c r="G6" s="15" t="str">
        <f aca="false">IF(A6="","",IF(D6="✅ DONE","✅ Done","⏳ Pending"))</f>
        <v>⏳ Pending</v>
      </c>
    </row>
    <row r="7" customFormat="false" ht="15" hidden="false" customHeight="true" outlineLevel="0" collapsed="false">
      <c r="A7" s="14" t="str">
        <f aca="true">IF(AND(Database!A6&lt;&gt;"",OR(Database!F6&lt;=TODAY(),Database!D6="")),Database!A6&amp;" - "&amp;Database!B6,"")</f>
        <v/>
      </c>
      <c r="B7" s="15" t="str">
        <f aca="false">IF(A7&lt;&gt;"","Level "&amp;Database!C6,"")</f>
        <v/>
      </c>
      <c r="C7" s="15" t="str">
        <f aca="true">IF(A7="","",IF(Database!F6="","START NOW",IF(Database!F6&lt;TODAY(),"OVERDUE "&amp;ABS(Database!F6-TODAY())&amp;"d",Database!F6-TODAY()&amp;" days")))</f>
        <v/>
      </c>
      <c r="E7" s="16" t="str">
        <f aca="false">IF(D7="✅ DONE",MIN(Database!C6+1,7),"")</f>
        <v/>
      </c>
      <c r="F7" s="16" t="str">
        <f aca="true">IF(D7="✅ DONE",TEXT(TODAY(),"DD/MM/YY"),"")</f>
        <v/>
      </c>
      <c r="G7" s="15" t="str">
        <f aca="false">IF(A7="","",IF(D7="✅ DONE","✅ Done","⏳ Pending"))</f>
        <v/>
      </c>
    </row>
    <row r="8" customFormat="false" ht="15" hidden="false" customHeight="true" outlineLevel="0" collapsed="false">
      <c r="A8" s="14" t="str">
        <f aca="true">IF(AND(Database!A7&lt;&gt;"",OR(Database!F7&lt;=TODAY(),Database!D7="")),Database!A7&amp;" - "&amp;Database!B7,"")</f>
        <v/>
      </c>
      <c r="B8" s="15" t="str">
        <f aca="false">IF(A8&lt;&gt;"","Level "&amp;Database!C7,"")</f>
        <v/>
      </c>
      <c r="C8" s="15" t="str">
        <f aca="true">IF(A8="","",IF(Database!F7="","START NOW",IF(Database!F7&lt;TODAY(),"OVERDUE "&amp;ABS(Database!F7-TODAY())&amp;"d",Database!F7-TODAY()&amp;" days")))</f>
        <v/>
      </c>
      <c r="E8" s="16" t="str">
        <f aca="false">IF(D8="✅ DONE",MIN(Database!C7+1,7),"")</f>
        <v/>
      </c>
      <c r="F8" s="16" t="str">
        <f aca="true">IF(D8="✅ DONE",TEXT(TODAY(),"DD/MM/YY"),"")</f>
        <v/>
      </c>
      <c r="G8" s="15" t="str">
        <f aca="false">IF(A8="","",IF(D8="✅ DONE","✅ Done","⏳ Pending"))</f>
        <v/>
      </c>
    </row>
    <row r="9" customFormat="false" ht="15" hidden="false" customHeight="true" outlineLevel="0" collapsed="false">
      <c r="A9" s="14" t="str">
        <f aca="true">IF(AND(Database!A8&lt;&gt;"",OR(Database!F8&lt;=TODAY(),Database!D8="")),Database!A8&amp;" - "&amp;Database!B8,"")</f>
        <v/>
      </c>
      <c r="B9" s="15" t="str">
        <f aca="false">IF(A9&lt;&gt;"","Level "&amp;Database!C8,"")</f>
        <v/>
      </c>
      <c r="C9" s="15" t="str">
        <f aca="true">IF(A9="","",IF(Database!F8="","START NOW",IF(Database!F8&lt;TODAY(),"OVERDUE "&amp;ABS(Database!F8-TODAY())&amp;"d",Database!F8-TODAY()&amp;" days")))</f>
        <v/>
      </c>
      <c r="E9" s="16" t="str">
        <f aca="false">IF(D9="✅ DONE",MIN(Database!C8+1,7),"")</f>
        <v/>
      </c>
      <c r="F9" s="16" t="str">
        <f aca="true">IF(D9="✅ DONE",TEXT(TODAY(),"DD/MM/YY"),"")</f>
        <v/>
      </c>
      <c r="G9" s="15" t="str">
        <f aca="false">IF(A9="","",IF(D9="✅ DONE","✅ Done","⏳ Pending"))</f>
        <v/>
      </c>
    </row>
    <row r="10" customFormat="false" ht="15" hidden="false" customHeight="true" outlineLevel="0" collapsed="false">
      <c r="A10" s="14" t="str">
        <f aca="true">IF(AND(Database!A9&lt;&gt;"",OR(Database!F9&lt;=TODAY(),Database!D9="")),Database!A9&amp;" - "&amp;Database!B9,"")</f>
        <v/>
      </c>
      <c r="B10" s="15" t="str">
        <f aca="false">IF(A10&lt;&gt;"","Level "&amp;Database!C9,"")</f>
        <v/>
      </c>
      <c r="C10" s="15" t="str">
        <f aca="true">IF(A10="","",IF(Database!F9="","START NOW",IF(Database!F9&lt;TODAY(),"OVERDUE "&amp;ABS(Database!F9-TODAY())&amp;"d",Database!F9-TODAY()&amp;" days")))</f>
        <v/>
      </c>
      <c r="E10" s="16" t="str">
        <f aca="false">IF(D10="✅ DONE",MIN(Database!C9+1,7),"")</f>
        <v/>
      </c>
      <c r="F10" s="16" t="str">
        <f aca="true">IF(D10="✅ DONE",TEXT(TODAY(),"DD/MM/YY"),"")</f>
        <v/>
      </c>
      <c r="G10" s="15" t="str">
        <f aca="false">IF(A10="","",IF(D10="✅ DONE","✅ Done","⏳ Pending"))</f>
        <v/>
      </c>
    </row>
    <row r="11" customFormat="false" ht="15" hidden="false" customHeight="true" outlineLevel="0" collapsed="false">
      <c r="A11" s="14" t="str">
        <f aca="true">IF(AND(Database!A10&lt;&gt;"",OR(Database!F10&lt;=TODAY(),Database!D10="")),Database!A10&amp;" - "&amp;Database!B10,"")</f>
        <v/>
      </c>
      <c r="B11" s="15" t="str">
        <f aca="false">IF(A11&lt;&gt;"","Level "&amp;Database!C10,"")</f>
        <v/>
      </c>
      <c r="C11" s="15" t="str">
        <f aca="true">IF(A11="","",IF(Database!F10="","START NOW",IF(Database!F10&lt;TODAY(),"OVERDUE "&amp;ABS(Database!F10-TODAY())&amp;"d",Database!F10-TODAY()&amp;" days")))</f>
        <v/>
      </c>
      <c r="E11" s="16" t="str">
        <f aca="false">IF(D11="✅ DONE",MIN(Database!C10+1,7),"")</f>
        <v/>
      </c>
      <c r="F11" s="16" t="str">
        <f aca="true">IF(D11="✅ DONE",TEXT(TODAY(),"DD/MM/YY"),"")</f>
        <v/>
      </c>
      <c r="G11" s="15" t="str">
        <f aca="false">IF(A11="","",IF(D11="✅ DONE","✅ Done","⏳ Pending"))</f>
        <v/>
      </c>
    </row>
    <row r="12" customFormat="false" ht="15" hidden="false" customHeight="true" outlineLevel="0" collapsed="false">
      <c r="A12" s="14" t="str">
        <f aca="true">IF(AND(Database!A11&lt;&gt;"",OR(Database!F11&lt;=TODAY(),Database!D11="")),Database!A11&amp;" - "&amp;Database!B11,"")</f>
        <v/>
      </c>
      <c r="B12" s="15" t="str">
        <f aca="false">IF(A12&lt;&gt;"","Level "&amp;Database!C11,"")</f>
        <v/>
      </c>
      <c r="C12" s="15" t="str">
        <f aca="true">IF(A12="","",IF(Database!F11="","START NOW",IF(Database!F11&lt;TODAY(),"OVERDUE "&amp;ABS(Database!F11-TODAY())&amp;"d",Database!F11-TODAY()&amp;" days")))</f>
        <v/>
      </c>
      <c r="E12" s="16" t="str">
        <f aca="false">IF(D12="✅ DONE",MIN(Database!C11+1,7),"")</f>
        <v/>
      </c>
      <c r="F12" s="16" t="str">
        <f aca="true">IF(D12="✅ DONE",TEXT(TODAY(),"DD/MM/YY"),"")</f>
        <v/>
      </c>
      <c r="G12" s="15" t="str">
        <f aca="false">IF(A12="","",IF(D12="✅ DONE","✅ Done","⏳ Pending"))</f>
        <v/>
      </c>
    </row>
    <row r="13" customFormat="false" ht="15" hidden="false" customHeight="true" outlineLevel="0" collapsed="false">
      <c r="A13" s="14" t="str">
        <f aca="true">IF(AND(Database!A12&lt;&gt;"",OR(Database!F12&lt;=TODAY(),Database!D12="")),Database!A12&amp;" - "&amp;Database!B12,"")</f>
        <v/>
      </c>
      <c r="B13" s="15" t="str">
        <f aca="false">IF(A13&lt;&gt;"","Level "&amp;Database!C12,"")</f>
        <v/>
      </c>
      <c r="C13" s="15" t="str">
        <f aca="true">IF(A13="","",IF(Database!F12="","START NOW",IF(Database!F12&lt;TODAY(),"OVERDUE "&amp;ABS(Database!F12-TODAY())&amp;"d",Database!F12-TODAY()&amp;" days")))</f>
        <v/>
      </c>
      <c r="E13" s="16" t="str">
        <f aca="false">IF(D13="✅ DONE",MIN(Database!C12+1,7),"")</f>
        <v/>
      </c>
      <c r="F13" s="16" t="str">
        <f aca="true">IF(D13="✅ DONE",TEXT(TODAY(),"DD/MM/YY"),"")</f>
        <v/>
      </c>
      <c r="G13" s="15" t="str">
        <f aca="false">IF(A13="","",IF(D13="✅ DONE","✅ Done","⏳ Pending"))</f>
        <v/>
      </c>
    </row>
    <row r="14" customFormat="false" ht="15" hidden="false" customHeight="true" outlineLevel="0" collapsed="false">
      <c r="A14" s="14" t="str">
        <f aca="true">IF(AND(Database!A13&lt;&gt;"",OR(Database!F13&lt;=TODAY(),Database!D13="")),Database!A13&amp;" - "&amp;Database!B13,"")</f>
        <v/>
      </c>
      <c r="B14" s="15" t="str">
        <f aca="false">IF(A14&lt;&gt;"","Level "&amp;Database!C13,"")</f>
        <v/>
      </c>
      <c r="C14" s="15" t="str">
        <f aca="true">IF(A14="","",IF(Database!F13="","START NOW",IF(Database!F13&lt;TODAY(),"OVERDUE "&amp;ABS(Database!F13-TODAY())&amp;"d",Database!F13-TODAY()&amp;" days")))</f>
        <v/>
      </c>
      <c r="E14" s="16" t="str">
        <f aca="false">IF(D14="✅ DONE",MIN(Database!C13+1,7),"")</f>
        <v/>
      </c>
      <c r="F14" s="16" t="str">
        <f aca="true">IF(D14="✅ DONE",TEXT(TODAY(),"DD/MM/YY"),"")</f>
        <v/>
      </c>
      <c r="G14" s="15" t="str">
        <f aca="false">IF(A14="","",IF(D14="✅ DONE","✅ Done","⏳ Pending"))</f>
        <v/>
      </c>
    </row>
    <row r="15" customFormat="false" ht="15" hidden="false" customHeight="true" outlineLevel="0" collapsed="false">
      <c r="A15" s="14" t="str">
        <f aca="true">IF(AND(Database!A14&lt;&gt;"",OR(Database!F14&lt;=TODAY(),Database!D14="")),Database!A14&amp;" - "&amp;Database!B14,"")</f>
        <v/>
      </c>
      <c r="B15" s="15" t="str">
        <f aca="false">IF(A15&lt;&gt;"","Level "&amp;Database!C14,"")</f>
        <v/>
      </c>
      <c r="C15" s="15" t="str">
        <f aca="true">IF(A15="","",IF(Database!F14="","START NOW",IF(Database!F14&lt;TODAY(),"OVERDUE "&amp;ABS(Database!F14-TODAY())&amp;"d",Database!F14-TODAY()&amp;" days")))</f>
        <v/>
      </c>
      <c r="E15" s="16" t="str">
        <f aca="false">IF(D15="✅ DONE",MIN(Database!C14+1,7),"")</f>
        <v/>
      </c>
      <c r="F15" s="16" t="str">
        <f aca="true">IF(D15="✅ DONE",TEXT(TODAY(),"DD/MM/YY"),"")</f>
        <v/>
      </c>
      <c r="G15" s="15" t="str">
        <f aca="false">IF(A15="","",IF(D15="✅ DONE","✅ Done","⏳ Pending"))</f>
        <v/>
      </c>
    </row>
    <row r="16" customFormat="false" ht="15" hidden="false" customHeight="true" outlineLevel="0" collapsed="false">
      <c r="A16" s="14" t="str">
        <f aca="true">IF(AND(Database!A15&lt;&gt;"",OR(Database!F15&lt;=TODAY(),Database!D15="")),Database!A15&amp;" - "&amp;Database!B15,"")</f>
        <v/>
      </c>
      <c r="B16" s="15" t="str">
        <f aca="false">IF(A16&lt;&gt;"","Level "&amp;Database!C15,"")</f>
        <v/>
      </c>
      <c r="C16" s="15" t="str">
        <f aca="true">IF(A16="","",IF(Database!F15="","START NOW",IF(Database!F15&lt;TODAY(),"OVERDUE "&amp;ABS(Database!F15-TODAY())&amp;"d",Database!F15-TODAY()&amp;" days")))</f>
        <v/>
      </c>
      <c r="E16" s="16" t="str">
        <f aca="false">IF(D16="✅ DONE",MIN(Database!C15+1,7),"")</f>
        <v/>
      </c>
      <c r="F16" s="16" t="str">
        <f aca="true">IF(D16="✅ DONE",TEXT(TODAY(),"DD/MM/YY"),"")</f>
        <v/>
      </c>
      <c r="G16" s="15" t="str">
        <f aca="false">IF(A16="","",IF(D16="✅ DONE","✅ Done","⏳ Pending"))</f>
        <v/>
      </c>
    </row>
    <row r="17" customFormat="false" ht="15" hidden="false" customHeight="true" outlineLevel="0" collapsed="false">
      <c r="A17" s="14" t="str">
        <f aca="true">IF(AND(Database!A16&lt;&gt;"",OR(Database!F16&lt;=TODAY(),Database!D16="")),Database!A16&amp;" - "&amp;Database!B16,"")</f>
        <v/>
      </c>
      <c r="B17" s="15" t="str">
        <f aca="false">IF(A17&lt;&gt;"","Level "&amp;Database!C16,"")</f>
        <v/>
      </c>
      <c r="C17" s="15" t="str">
        <f aca="true">IF(A17="","",IF(Database!F16="","START NOW",IF(Database!F16&lt;TODAY(),"OVERDUE "&amp;ABS(Database!F16-TODAY())&amp;"d",Database!F16-TODAY()&amp;" days")))</f>
        <v/>
      </c>
      <c r="E17" s="16" t="str">
        <f aca="false">IF(D17="✅ DONE",MIN(Database!C16+1,7),"")</f>
        <v/>
      </c>
      <c r="F17" s="16" t="str">
        <f aca="true">IF(D17="✅ DONE",TEXT(TODAY(),"DD/MM/YY"),"")</f>
        <v/>
      </c>
      <c r="G17" s="15" t="str">
        <f aca="false">IF(A17="","",IF(D17="✅ DONE","✅ Done","⏳ Pending"))</f>
        <v/>
      </c>
    </row>
    <row r="18" customFormat="false" ht="15" hidden="false" customHeight="true" outlineLevel="0" collapsed="false">
      <c r="A18" s="14" t="str">
        <f aca="true">IF(AND(Database!A17&lt;&gt;"",OR(Database!F17&lt;=TODAY(),Database!D17="")),Database!A17&amp;" - "&amp;Database!B17,"")</f>
        <v/>
      </c>
      <c r="B18" s="15" t="str">
        <f aca="false">IF(A18&lt;&gt;"","Level "&amp;Database!C17,"")</f>
        <v/>
      </c>
      <c r="C18" s="15" t="str">
        <f aca="true">IF(A18="","",IF(Database!F17="","START NOW",IF(Database!F17&lt;TODAY(),"OVERDUE "&amp;ABS(Database!F17-TODAY())&amp;"d",Database!F17-TODAY()&amp;" days")))</f>
        <v/>
      </c>
      <c r="E18" s="16" t="str">
        <f aca="false">IF(D18="✅ DONE",MIN(Database!C17+1,7),"")</f>
        <v/>
      </c>
      <c r="F18" s="16" t="str">
        <f aca="true">IF(D18="✅ DONE",TEXT(TODAY(),"DD/MM/YY"),"")</f>
        <v/>
      </c>
      <c r="G18" s="15" t="str">
        <f aca="false">IF(A18="","",IF(D18="✅ DONE","✅ Done","⏳ Pending"))</f>
        <v/>
      </c>
    </row>
    <row r="19" customFormat="false" ht="15" hidden="false" customHeight="true" outlineLevel="0" collapsed="false">
      <c r="A19" s="14" t="str">
        <f aca="true">IF(AND(Database!A18&lt;&gt;"",OR(Database!F18&lt;=TODAY(),Database!D18="")),Database!A18&amp;" - "&amp;Database!B18,"")</f>
        <v/>
      </c>
      <c r="B19" s="15" t="str">
        <f aca="false">IF(A19&lt;&gt;"","Level "&amp;Database!C18,"")</f>
        <v/>
      </c>
      <c r="C19" s="15" t="str">
        <f aca="true">IF(A19="","",IF(Database!F18="","START NOW",IF(Database!F18&lt;TODAY(),"OVERDUE "&amp;ABS(Database!F18-TODAY())&amp;"d",Database!F18-TODAY()&amp;" days")))</f>
        <v/>
      </c>
      <c r="E19" s="16" t="str">
        <f aca="false">IF(D19="✅ DONE",MIN(Database!C18+1,7),"")</f>
        <v/>
      </c>
      <c r="F19" s="16" t="str">
        <f aca="true">IF(D19="✅ DONE",TEXT(TODAY(),"DD/MM/YY"),"")</f>
        <v/>
      </c>
      <c r="G19" s="15" t="str">
        <f aca="false">IF(A19="","",IF(D19="✅ DONE","✅ Done","⏳ Pending"))</f>
        <v/>
      </c>
    </row>
    <row r="20" customFormat="false" ht="15" hidden="false" customHeight="true" outlineLevel="0" collapsed="false">
      <c r="A20" s="14" t="str">
        <f aca="true">IF(AND(Database!A19&lt;&gt;"",OR(Database!F19&lt;=TODAY(),Database!D19="")),Database!A19&amp;" - "&amp;Database!B19,"")</f>
        <v/>
      </c>
      <c r="B20" s="15" t="str">
        <f aca="false">IF(A20&lt;&gt;"","Level "&amp;Database!C19,"")</f>
        <v/>
      </c>
      <c r="C20" s="15" t="str">
        <f aca="true">IF(A20="","",IF(Database!F19="","START NOW",IF(Database!F19&lt;TODAY(),"OVERDUE "&amp;ABS(Database!F19-TODAY())&amp;"d",Database!F19-TODAY()&amp;" days")))</f>
        <v/>
      </c>
      <c r="E20" s="16" t="str">
        <f aca="false">IF(D20="✅ DONE",MIN(Database!C19+1,7),"")</f>
        <v/>
      </c>
      <c r="F20" s="16" t="str">
        <f aca="true">IF(D20="✅ DONE",TEXT(TODAY(),"DD/MM/YY"),"")</f>
        <v/>
      </c>
      <c r="G20" s="15" t="str">
        <f aca="false">IF(A20="","",IF(D20="✅ DONE","✅ Done","⏳ Pending"))</f>
        <v/>
      </c>
    </row>
    <row r="21" customFormat="false" ht="15" hidden="false" customHeight="true" outlineLevel="0" collapsed="false">
      <c r="A21" s="14" t="str">
        <f aca="true">IF(AND(Database!A20&lt;&gt;"",OR(Database!F20&lt;=TODAY(),Database!D20="")),Database!A20&amp;" - "&amp;Database!B20,"")</f>
        <v/>
      </c>
      <c r="B21" s="15" t="str">
        <f aca="false">IF(A21&lt;&gt;"","Level "&amp;Database!C20,"")</f>
        <v/>
      </c>
      <c r="C21" s="15" t="str">
        <f aca="true">IF(A21="","",IF(Database!F20="","START NOW",IF(Database!F20&lt;TODAY(),"OVERDUE "&amp;ABS(Database!F20-TODAY())&amp;"d",Database!F20-TODAY()&amp;" days")))</f>
        <v/>
      </c>
      <c r="E21" s="16" t="str">
        <f aca="false">IF(D21="✅ DONE",MIN(Database!C20+1,7),"")</f>
        <v/>
      </c>
      <c r="F21" s="16" t="str">
        <f aca="true">IF(D21="✅ DONE",TEXT(TODAY(),"DD/MM/YY"),"")</f>
        <v/>
      </c>
      <c r="G21" s="15" t="str">
        <f aca="false">IF(A21="","",IF(D21="✅ DONE","✅ Done","⏳ Pending"))</f>
        <v/>
      </c>
    </row>
    <row r="22" customFormat="false" ht="15" hidden="false" customHeight="true" outlineLevel="0" collapsed="false">
      <c r="A22" s="14" t="str">
        <f aca="true">IF(AND(Database!A21&lt;&gt;"",OR(Database!F21&lt;=TODAY(),Database!D21="")),Database!A21&amp;" - "&amp;Database!B21,"")</f>
        <v/>
      </c>
      <c r="B22" s="15" t="str">
        <f aca="false">IF(A22&lt;&gt;"","Level "&amp;Database!C21,"")</f>
        <v/>
      </c>
      <c r="C22" s="15" t="str">
        <f aca="true">IF(A22="","",IF(Database!F21="","START NOW",IF(Database!F21&lt;TODAY(),"OVERDUE "&amp;ABS(Database!F21-TODAY())&amp;"d",Database!F21-TODAY()&amp;" days")))</f>
        <v/>
      </c>
      <c r="E22" s="16" t="str">
        <f aca="false">IF(D22="✅ DONE",MIN(Database!C21+1,7),"")</f>
        <v/>
      </c>
      <c r="F22" s="16" t="str">
        <f aca="true">IF(D22="✅ DONE",TEXT(TODAY(),"DD/MM/YY"),"")</f>
        <v/>
      </c>
      <c r="G22" s="15" t="str">
        <f aca="false">IF(A22="","",IF(D22="✅ DONE","✅ Done","⏳ Pending"))</f>
        <v/>
      </c>
    </row>
    <row r="23" customFormat="false" ht="15" hidden="false" customHeight="true" outlineLevel="0" collapsed="false">
      <c r="A23" s="14" t="str">
        <f aca="true">IF(AND(Database!A22&lt;&gt;"",OR(Database!F22&lt;=TODAY(),Database!D22="")),Database!A22&amp;" - "&amp;Database!B22,"")</f>
        <v/>
      </c>
      <c r="B23" s="15" t="str">
        <f aca="false">IF(A23&lt;&gt;"","Level "&amp;Database!C22,"")</f>
        <v/>
      </c>
      <c r="C23" s="15" t="str">
        <f aca="true">IF(A23="","",IF(Database!F22="","START NOW",IF(Database!F22&lt;TODAY(),"OVERDUE "&amp;ABS(Database!F22-TODAY())&amp;"d",Database!F22-TODAY()&amp;" days")))</f>
        <v/>
      </c>
      <c r="E23" s="16" t="str">
        <f aca="false">IF(D23="✅ DONE",MIN(Database!C22+1,7),"")</f>
        <v/>
      </c>
      <c r="F23" s="16" t="str">
        <f aca="true">IF(D23="✅ DONE",TEXT(TODAY(),"DD/MM/YY"),"")</f>
        <v/>
      </c>
      <c r="G23" s="15" t="str">
        <f aca="false">IF(A23="","",IF(D23="✅ DONE","✅ Done","⏳ Pending"))</f>
        <v/>
      </c>
    </row>
    <row r="24" customFormat="false" ht="15" hidden="false" customHeight="true" outlineLevel="0" collapsed="false">
      <c r="A24" s="14" t="str">
        <f aca="true">IF(AND(Database!A23&lt;&gt;"",OR(Database!F23&lt;=TODAY(),Database!D23="")),Database!A23&amp;" - "&amp;Database!B23,"")</f>
        <v/>
      </c>
      <c r="B24" s="15" t="str">
        <f aca="false">IF(A24&lt;&gt;"","Level "&amp;Database!C23,"")</f>
        <v/>
      </c>
      <c r="C24" s="15" t="str">
        <f aca="true">IF(A24="","",IF(Database!F23="","START NOW",IF(Database!F23&lt;TODAY(),"OVERDUE "&amp;ABS(Database!F23-TODAY())&amp;"d",Database!F23-TODAY()&amp;" days")))</f>
        <v/>
      </c>
      <c r="E24" s="16" t="str">
        <f aca="false">IF(D24="✅ DONE",MIN(Database!C23+1,7),"")</f>
        <v/>
      </c>
      <c r="F24" s="16" t="str">
        <f aca="true">IF(D24="✅ DONE",TEXT(TODAY(),"DD/MM/YY"),"")</f>
        <v/>
      </c>
      <c r="G24" s="15" t="str">
        <f aca="false">IF(A24="","",IF(D24="✅ DONE","✅ Done","⏳ Pending"))</f>
        <v/>
      </c>
    </row>
    <row r="25" customFormat="false" ht="15" hidden="false" customHeight="true" outlineLevel="0" collapsed="false">
      <c r="A25" s="14" t="str">
        <f aca="true">IF(AND(Database!A24&lt;&gt;"",OR(Database!F24&lt;=TODAY(),Database!D24="")),Database!A24&amp;" - "&amp;Database!B24,"")</f>
        <v/>
      </c>
      <c r="B25" s="15" t="str">
        <f aca="false">IF(A25&lt;&gt;"","Level "&amp;Database!C24,"")</f>
        <v/>
      </c>
      <c r="C25" s="15" t="str">
        <f aca="true">IF(A25="","",IF(Database!F24="","START NOW",IF(Database!F24&lt;TODAY(),"OVERDUE "&amp;ABS(Database!F24-TODAY())&amp;"d",Database!F24-TODAY()&amp;" days")))</f>
        <v/>
      </c>
      <c r="E25" s="16" t="str">
        <f aca="false">IF(D25="✅ DONE",MIN(Database!C24+1,7),"")</f>
        <v/>
      </c>
      <c r="F25" s="16" t="str">
        <f aca="true">IF(D25="✅ DONE",TEXT(TODAY(),"DD/MM/YY"),"")</f>
        <v/>
      </c>
      <c r="G25" s="15" t="str">
        <f aca="false">IF(A25="","",IF(D25="✅ DONE","✅ Done","⏳ Pending"))</f>
        <v/>
      </c>
    </row>
    <row r="26" customFormat="false" ht="15" hidden="false" customHeight="true" outlineLevel="0" collapsed="false">
      <c r="A26" s="14" t="str">
        <f aca="true">IF(AND(Database!A25&lt;&gt;"",OR(Database!F25&lt;=TODAY(),Database!D25="")),Database!A25&amp;" - "&amp;Database!B25,"")</f>
        <v/>
      </c>
      <c r="B26" s="15" t="str">
        <f aca="false">IF(A26&lt;&gt;"","Level "&amp;Database!C25,"")</f>
        <v/>
      </c>
      <c r="C26" s="15" t="str">
        <f aca="true">IF(A26="","",IF(Database!F25="","START NOW",IF(Database!F25&lt;TODAY(),"OVERDUE "&amp;ABS(Database!F25-TODAY())&amp;"d",Database!F25-TODAY()&amp;" days")))</f>
        <v/>
      </c>
      <c r="E26" s="16" t="str">
        <f aca="false">IF(D26="✅ DONE",MIN(Database!C25+1,7),"")</f>
        <v/>
      </c>
      <c r="F26" s="16" t="str">
        <f aca="true">IF(D26="✅ DONE",TEXT(TODAY(),"DD/MM/YY"),"")</f>
        <v/>
      </c>
      <c r="G26" s="15" t="str">
        <f aca="false">IF(A26="","",IF(D26="✅ DONE","✅ Done","⏳ Pending"))</f>
        <v/>
      </c>
    </row>
    <row r="27" customFormat="false" ht="15" hidden="false" customHeight="true" outlineLevel="0" collapsed="false">
      <c r="A27" s="14" t="str">
        <f aca="true">IF(AND(Database!A26&lt;&gt;"",OR(Database!F26&lt;=TODAY(),Database!D26="")),Database!A26&amp;" - "&amp;Database!B26,"")</f>
        <v/>
      </c>
      <c r="B27" s="15" t="str">
        <f aca="false">IF(A27&lt;&gt;"","Level "&amp;Database!C26,"")</f>
        <v/>
      </c>
      <c r="C27" s="15" t="str">
        <f aca="true">IF(A27="","",IF(Database!F26="","START NOW",IF(Database!F26&lt;TODAY(),"OVERDUE "&amp;ABS(Database!F26-TODAY())&amp;"d",Database!F26-TODAY()&amp;" days")))</f>
        <v/>
      </c>
      <c r="E27" s="16" t="str">
        <f aca="false">IF(D27="✅ DONE",MIN(Database!C26+1,7),"")</f>
        <v/>
      </c>
      <c r="F27" s="16" t="str">
        <f aca="true">IF(D27="✅ DONE",TEXT(TODAY(),"DD/MM/YY"),"")</f>
        <v/>
      </c>
      <c r="G27" s="15" t="str">
        <f aca="false">IF(A27="","",IF(D27="✅ DONE","✅ Done","⏳ Pending"))</f>
        <v/>
      </c>
    </row>
    <row r="28" customFormat="false" ht="15" hidden="false" customHeight="true" outlineLevel="0" collapsed="false">
      <c r="A28" s="14" t="str">
        <f aca="true">IF(AND(Database!A27&lt;&gt;"",OR(Database!F27&lt;=TODAY(),Database!D27="")),Database!A27&amp;" - "&amp;Database!B27,"")</f>
        <v/>
      </c>
      <c r="B28" s="15" t="str">
        <f aca="false">IF(A28&lt;&gt;"","Level "&amp;Database!C27,"")</f>
        <v/>
      </c>
      <c r="C28" s="15" t="str">
        <f aca="true">IF(A28="","",IF(Database!F27="","START NOW",IF(Database!F27&lt;TODAY(),"OVERDUE "&amp;ABS(Database!F27-TODAY())&amp;"d",Database!F27-TODAY()&amp;" days")))</f>
        <v/>
      </c>
      <c r="E28" s="16" t="str">
        <f aca="false">IF(D28="✅ DONE",MIN(Database!C27+1,7),"")</f>
        <v/>
      </c>
      <c r="F28" s="16" t="str">
        <f aca="true">IF(D28="✅ DONE",TEXT(TODAY(),"DD/MM/YY"),"")</f>
        <v/>
      </c>
      <c r="G28" s="15" t="str">
        <f aca="false">IF(A28="","",IF(D28="✅ DONE","✅ Done","⏳ Pending"))</f>
        <v/>
      </c>
    </row>
    <row r="29" customFormat="false" ht="15" hidden="false" customHeight="true" outlineLevel="0" collapsed="false">
      <c r="A29" s="14" t="str">
        <f aca="true">IF(AND(Database!A28&lt;&gt;"",OR(Database!F28&lt;=TODAY(),Database!D28="")),Database!A28&amp;" - "&amp;Database!B28,"")</f>
        <v/>
      </c>
      <c r="B29" s="15" t="str">
        <f aca="false">IF(A29&lt;&gt;"","Level "&amp;Database!C28,"")</f>
        <v/>
      </c>
      <c r="C29" s="15" t="str">
        <f aca="true">IF(A29="","",IF(Database!F28="","START NOW",IF(Database!F28&lt;TODAY(),"OVERDUE "&amp;ABS(Database!F28-TODAY())&amp;"d",Database!F28-TODAY()&amp;" days")))</f>
        <v/>
      </c>
      <c r="E29" s="16" t="str">
        <f aca="false">IF(D29="✅ DONE",MIN(Database!C28+1,7),"")</f>
        <v/>
      </c>
      <c r="F29" s="16" t="str">
        <f aca="true">IF(D29="✅ DONE",TEXT(TODAY(),"DD/MM/YY"),"")</f>
        <v/>
      </c>
      <c r="G29" s="15" t="str">
        <f aca="false">IF(A29="","",IF(D29="✅ DONE","✅ Done","⏳ Pending"))</f>
        <v/>
      </c>
    </row>
    <row r="30" customFormat="false" ht="15" hidden="false" customHeight="true" outlineLevel="0" collapsed="false">
      <c r="A30" s="14" t="str">
        <f aca="true">IF(AND(Database!A29&lt;&gt;"",OR(Database!F29&lt;=TODAY(),Database!D29="")),Database!A29&amp;" - "&amp;Database!B29,"")</f>
        <v/>
      </c>
      <c r="B30" s="15" t="str">
        <f aca="false">IF(A30&lt;&gt;"","Level "&amp;Database!C29,"")</f>
        <v/>
      </c>
      <c r="C30" s="15" t="str">
        <f aca="true">IF(A30="","",IF(Database!F29="","START NOW",IF(Database!F29&lt;TODAY(),"OVERDUE "&amp;ABS(Database!F29-TODAY())&amp;"d",Database!F29-TODAY()&amp;" days")))</f>
        <v/>
      </c>
      <c r="E30" s="16" t="str">
        <f aca="false">IF(D30="✅ DONE",MIN(Database!C29+1,7),"")</f>
        <v/>
      </c>
      <c r="F30" s="16" t="str">
        <f aca="true">IF(D30="✅ DONE",TEXT(TODAY(),"DD/MM/YY"),"")</f>
        <v/>
      </c>
      <c r="G30" s="15" t="str">
        <f aca="false">IF(A30="","",IF(D30="✅ DONE","✅ Done","⏳ Pending"))</f>
        <v/>
      </c>
    </row>
    <row r="31" customFormat="false" ht="15" hidden="false" customHeight="true" outlineLevel="0" collapsed="false">
      <c r="A31" s="14" t="str">
        <f aca="true">IF(AND(Database!A30&lt;&gt;"",OR(Database!F30&lt;=TODAY(),Database!D30="")),Database!A30&amp;" - "&amp;Database!B30,"")</f>
        <v/>
      </c>
      <c r="B31" s="15" t="str">
        <f aca="false">IF(A31&lt;&gt;"","Level "&amp;Database!C30,"")</f>
        <v/>
      </c>
      <c r="C31" s="15" t="str">
        <f aca="true">IF(A31="","",IF(Database!F30="","START NOW",IF(Database!F30&lt;TODAY(),"OVERDUE "&amp;ABS(Database!F30-TODAY())&amp;"d",Database!F30-TODAY()&amp;" days")))</f>
        <v/>
      </c>
      <c r="E31" s="16" t="str">
        <f aca="false">IF(D31="✅ DONE",MIN(Database!C30+1,7),"")</f>
        <v/>
      </c>
      <c r="F31" s="16" t="str">
        <f aca="true">IF(D31="✅ DONE",TEXT(TODAY(),"DD/MM/YY"),"")</f>
        <v/>
      </c>
      <c r="G31" s="15" t="str">
        <f aca="false">IF(A31="","",IF(D31="✅ DONE","✅ Done","⏳ Pending"))</f>
        <v/>
      </c>
    </row>
    <row r="32" customFormat="false" ht="15" hidden="false" customHeight="true" outlineLevel="0" collapsed="false">
      <c r="A32" s="14" t="str">
        <f aca="true">IF(AND(Database!A31&lt;&gt;"",OR(Database!F31&lt;=TODAY(),Database!D31="")),Database!A31&amp;" - "&amp;Database!B31,"")</f>
        <v/>
      </c>
      <c r="B32" s="15" t="str">
        <f aca="false">IF(A32&lt;&gt;"","Level "&amp;Database!C31,"")</f>
        <v/>
      </c>
      <c r="C32" s="15" t="str">
        <f aca="true">IF(A32="","",IF(Database!F31="","START NOW",IF(Database!F31&lt;TODAY(),"OVERDUE "&amp;ABS(Database!F31-TODAY())&amp;"d",Database!F31-TODAY()&amp;" days")))</f>
        <v/>
      </c>
      <c r="E32" s="16" t="str">
        <f aca="false">IF(D32="✅ DONE",MIN(Database!C31+1,7),"")</f>
        <v/>
      </c>
      <c r="F32" s="16" t="str">
        <f aca="true">IF(D32="✅ DONE",TEXT(TODAY(),"DD/MM/YY"),"")</f>
        <v/>
      </c>
      <c r="G32" s="15" t="str">
        <f aca="false">IF(A32="","",IF(D32="✅ DONE","✅ Done","⏳ Pending"))</f>
        <v/>
      </c>
    </row>
    <row r="33" customFormat="false" ht="15" hidden="false" customHeight="true" outlineLevel="0" collapsed="false">
      <c r="A33" s="14" t="str">
        <f aca="true">IF(AND(Database!A32&lt;&gt;"",OR(Database!F32&lt;=TODAY(),Database!D32="")),Database!A32&amp;" - "&amp;Database!B32,"")</f>
        <v/>
      </c>
      <c r="B33" s="15" t="str">
        <f aca="false">IF(A33&lt;&gt;"","Level "&amp;Database!C32,"")</f>
        <v/>
      </c>
      <c r="C33" s="15" t="str">
        <f aca="true">IF(A33="","",IF(Database!F32="","START NOW",IF(Database!F32&lt;TODAY(),"OVERDUE "&amp;ABS(Database!F32-TODAY())&amp;"d",Database!F32-TODAY()&amp;" days")))</f>
        <v/>
      </c>
      <c r="E33" s="16" t="str">
        <f aca="false">IF(D33="✅ DONE",MIN(Database!C32+1,7),"")</f>
        <v/>
      </c>
      <c r="F33" s="16" t="str">
        <f aca="true">IF(D33="✅ DONE",TEXT(TODAY(),"DD/MM/YY"),"")</f>
        <v/>
      </c>
      <c r="G33" s="15" t="str">
        <f aca="false">IF(A33="","",IF(D33="✅ DONE","✅ Done","⏳ Pending"))</f>
        <v/>
      </c>
    </row>
    <row r="34" customFormat="false" ht="15" hidden="false" customHeight="true" outlineLevel="0" collapsed="false">
      <c r="A34" s="14" t="str">
        <f aca="true">IF(AND(Database!A33&lt;&gt;"",OR(Database!F33&lt;=TODAY(),Database!D33="")),Database!A33&amp;" - "&amp;Database!B33,"")</f>
        <v/>
      </c>
      <c r="B34" s="15" t="str">
        <f aca="false">IF(A34&lt;&gt;"","Level "&amp;Database!C33,"")</f>
        <v/>
      </c>
      <c r="C34" s="15" t="str">
        <f aca="true">IF(A34="","",IF(Database!F33="","START NOW",IF(Database!F33&lt;TODAY(),"OVERDUE "&amp;ABS(Database!F33-TODAY())&amp;"d",Database!F33-TODAY()&amp;" days")))</f>
        <v/>
      </c>
      <c r="E34" s="16" t="str">
        <f aca="false">IF(D34="✅ DONE",MIN(Database!C33+1,7),"")</f>
        <v/>
      </c>
      <c r="F34" s="16" t="str">
        <f aca="true">IF(D34="✅ DONE",TEXT(TODAY(),"DD/MM/YY"),"")</f>
        <v/>
      </c>
      <c r="G34" s="15" t="str">
        <f aca="false">IF(A34="","",IF(D34="✅ DONE","✅ Done","⏳ Pending"))</f>
        <v/>
      </c>
    </row>
    <row r="35" customFormat="false" ht="15" hidden="false" customHeight="true" outlineLevel="0" collapsed="false">
      <c r="A35" s="14" t="str">
        <f aca="true">IF(AND(Database!A34&lt;&gt;"",OR(Database!F34&lt;=TODAY(),Database!D34="")),Database!A34&amp;" - "&amp;Database!B34,"")</f>
        <v/>
      </c>
      <c r="B35" s="15" t="str">
        <f aca="false">IF(A35&lt;&gt;"","Level "&amp;Database!C34,"")</f>
        <v/>
      </c>
      <c r="C35" s="15" t="str">
        <f aca="true">IF(A35="","",IF(Database!F34="","START NOW",IF(Database!F34&lt;TODAY(),"OVERDUE "&amp;ABS(Database!F34-TODAY())&amp;"d",Database!F34-TODAY()&amp;" days")))</f>
        <v/>
      </c>
      <c r="E35" s="16" t="str">
        <f aca="false">IF(D35="✅ DONE",MIN(Database!C34+1,7),"")</f>
        <v/>
      </c>
      <c r="F35" s="16" t="str">
        <f aca="true">IF(D35="✅ DONE",TEXT(TODAY(),"DD/MM/YY"),"")</f>
        <v/>
      </c>
      <c r="G35" s="15" t="str">
        <f aca="false">IF(A35="","",IF(D35="✅ DONE","✅ Done","⏳ Pending"))</f>
        <v/>
      </c>
    </row>
    <row r="36" customFormat="false" ht="15" hidden="false" customHeight="true" outlineLevel="0" collapsed="false">
      <c r="A36" s="14" t="str">
        <f aca="true">IF(AND(Database!A35&lt;&gt;"",OR(Database!F35&lt;=TODAY(),Database!D35="")),Database!A35&amp;" - "&amp;Database!B35,"")</f>
        <v/>
      </c>
      <c r="B36" s="15" t="str">
        <f aca="false">IF(A36&lt;&gt;"","Level "&amp;Database!C35,"")</f>
        <v/>
      </c>
      <c r="C36" s="15" t="str">
        <f aca="true">IF(A36="","",IF(Database!F35="","START NOW",IF(Database!F35&lt;TODAY(),"OVERDUE "&amp;ABS(Database!F35-TODAY())&amp;"d",Database!F35-TODAY()&amp;" days")))</f>
        <v/>
      </c>
      <c r="E36" s="16" t="str">
        <f aca="false">IF(D36="✅ DONE",MIN(Database!C35+1,7),"")</f>
        <v/>
      </c>
      <c r="F36" s="16" t="str">
        <f aca="true">IF(D36="✅ DONE",TEXT(TODAY(),"DD/MM/YY"),"")</f>
        <v/>
      </c>
      <c r="G36" s="15" t="str">
        <f aca="false">IF(A36="","",IF(D36="✅ DONE","✅ Done","⏳ Pending"))</f>
        <v/>
      </c>
    </row>
    <row r="37" customFormat="false" ht="15" hidden="false" customHeight="true" outlineLevel="0" collapsed="false">
      <c r="A37" s="14" t="str">
        <f aca="true">IF(AND(Database!A36&lt;&gt;"",OR(Database!F36&lt;=TODAY(),Database!D36="")),Database!A36&amp;" - "&amp;Database!B36,"")</f>
        <v/>
      </c>
      <c r="B37" s="15" t="str">
        <f aca="false">IF(A37&lt;&gt;"","Level "&amp;Database!C36,"")</f>
        <v/>
      </c>
      <c r="C37" s="15" t="str">
        <f aca="true">IF(A37="","",IF(Database!F36="","START NOW",IF(Database!F36&lt;TODAY(),"OVERDUE "&amp;ABS(Database!F36-TODAY())&amp;"d",Database!F36-TODAY()&amp;" days")))</f>
        <v/>
      </c>
      <c r="E37" s="16" t="str">
        <f aca="false">IF(D37="✅ DONE",MIN(Database!C36+1,7),"")</f>
        <v/>
      </c>
      <c r="F37" s="16" t="str">
        <f aca="true">IF(D37="✅ DONE",TEXT(TODAY(),"DD/MM/YY"),"")</f>
        <v/>
      </c>
      <c r="G37" s="15" t="str">
        <f aca="false">IF(A37="","",IF(D37="✅ DONE","✅ Done","⏳ Pending"))</f>
        <v/>
      </c>
    </row>
    <row r="38" customFormat="false" ht="15" hidden="false" customHeight="true" outlineLevel="0" collapsed="false">
      <c r="A38" s="14" t="str">
        <f aca="true">IF(AND(Database!A37&lt;&gt;"",OR(Database!F37&lt;=TODAY(),Database!D37="")),Database!A37&amp;" - "&amp;Database!B37,"")</f>
        <v/>
      </c>
      <c r="B38" s="15" t="str">
        <f aca="false">IF(A38&lt;&gt;"","Level "&amp;Database!C37,"")</f>
        <v/>
      </c>
      <c r="C38" s="15" t="str">
        <f aca="true">IF(A38="","",IF(Database!F37="","START NOW",IF(Database!F37&lt;TODAY(),"OVERDUE "&amp;ABS(Database!F37-TODAY())&amp;"d",Database!F37-TODAY()&amp;" days")))</f>
        <v/>
      </c>
      <c r="E38" s="16" t="str">
        <f aca="false">IF(D38="✅ DONE",MIN(Database!C37+1,7),"")</f>
        <v/>
      </c>
      <c r="F38" s="16" t="str">
        <f aca="true">IF(D38="✅ DONE",TEXT(TODAY(),"DD/MM/YY"),"")</f>
        <v/>
      </c>
      <c r="G38" s="15" t="str">
        <f aca="false">IF(A38="","",IF(D38="✅ DONE","✅ Done","⏳ Pending"))</f>
        <v/>
      </c>
    </row>
    <row r="39" customFormat="false" ht="15" hidden="false" customHeight="true" outlineLevel="0" collapsed="false">
      <c r="A39" s="14" t="str">
        <f aca="true">IF(AND(Database!A38&lt;&gt;"",OR(Database!F38&lt;=TODAY(),Database!D38="")),Database!A38&amp;" - "&amp;Database!B38,"")</f>
        <v/>
      </c>
      <c r="B39" s="15" t="str">
        <f aca="false">IF(A39&lt;&gt;"","Level "&amp;Database!C38,"")</f>
        <v/>
      </c>
      <c r="C39" s="15" t="str">
        <f aca="true">IF(A39="","",IF(Database!F38="","START NOW",IF(Database!F38&lt;TODAY(),"OVERDUE "&amp;ABS(Database!F38-TODAY())&amp;"d",Database!F38-TODAY()&amp;" days")))</f>
        <v/>
      </c>
      <c r="E39" s="16" t="str">
        <f aca="false">IF(D39="✅ DONE",MIN(Database!C38+1,7),"")</f>
        <v/>
      </c>
      <c r="F39" s="16" t="str">
        <f aca="true">IF(D39="✅ DONE",TEXT(TODAY(),"DD/MM/YY"),"")</f>
        <v/>
      </c>
      <c r="G39" s="15" t="str">
        <f aca="false">IF(A39="","",IF(D39="✅ DONE","✅ Done","⏳ Pending"))</f>
        <v/>
      </c>
    </row>
    <row r="40" customFormat="false" ht="15" hidden="false" customHeight="true" outlineLevel="0" collapsed="false">
      <c r="A40" s="14" t="str">
        <f aca="true">IF(AND(Database!A39&lt;&gt;"",OR(Database!F39&lt;=TODAY(),Database!D39="")),Database!A39&amp;" - "&amp;Database!B39,"")</f>
        <v/>
      </c>
      <c r="B40" s="15" t="str">
        <f aca="false">IF(A40&lt;&gt;"","Level "&amp;Database!C39,"")</f>
        <v/>
      </c>
      <c r="C40" s="15" t="str">
        <f aca="true">IF(A40="","",IF(Database!F39="","START NOW",IF(Database!F39&lt;TODAY(),"OVERDUE "&amp;ABS(Database!F39-TODAY())&amp;"d",Database!F39-TODAY()&amp;" days")))</f>
        <v/>
      </c>
      <c r="E40" s="16" t="str">
        <f aca="false">IF(D40="✅ DONE",MIN(Database!C39+1,7),"")</f>
        <v/>
      </c>
      <c r="F40" s="16" t="str">
        <f aca="true">IF(D40="✅ DONE",TEXT(TODAY(),"DD/MM/YY"),"")</f>
        <v/>
      </c>
      <c r="G40" s="15" t="str">
        <f aca="false">IF(A40="","",IF(D40="✅ DONE","✅ Done","⏳ Pending"))</f>
        <v/>
      </c>
    </row>
    <row r="41" customFormat="false" ht="15" hidden="false" customHeight="true" outlineLevel="0" collapsed="false">
      <c r="A41" s="14" t="str">
        <f aca="true">IF(AND(Database!A40&lt;&gt;"",OR(Database!F40&lt;=TODAY(),Database!D40="")),Database!A40&amp;" - "&amp;Database!B40,"")</f>
        <v/>
      </c>
      <c r="B41" s="15" t="str">
        <f aca="false">IF(A41&lt;&gt;"","Level "&amp;Database!C40,"")</f>
        <v/>
      </c>
      <c r="C41" s="15" t="str">
        <f aca="true">IF(A41="","",IF(Database!F40="","START NOW",IF(Database!F40&lt;TODAY(),"OVERDUE "&amp;ABS(Database!F40-TODAY())&amp;"d",Database!F40-TODAY()&amp;" days")))</f>
        <v/>
      </c>
      <c r="E41" s="16" t="str">
        <f aca="false">IF(D41="✅ DONE",MIN(Database!C40+1,7),"")</f>
        <v/>
      </c>
      <c r="F41" s="16" t="str">
        <f aca="true">IF(D41="✅ DONE",TEXT(TODAY(),"DD/MM/YY"),"")</f>
        <v/>
      </c>
      <c r="G41" s="15" t="str">
        <f aca="false">IF(A41="","",IF(D41="✅ DONE","✅ Done","⏳ Pending"))</f>
        <v/>
      </c>
    </row>
    <row r="42" customFormat="false" ht="15" hidden="false" customHeight="true" outlineLevel="0" collapsed="false">
      <c r="A42" s="14" t="str">
        <f aca="true">IF(AND(Database!A41&lt;&gt;"",OR(Database!F41&lt;=TODAY(),Database!D41="")),Database!A41&amp;" - "&amp;Database!B41,"")</f>
        <v/>
      </c>
      <c r="B42" s="15" t="str">
        <f aca="false">IF(A42&lt;&gt;"","Level "&amp;Database!C41,"")</f>
        <v/>
      </c>
      <c r="C42" s="15" t="str">
        <f aca="true">IF(A42="","",IF(Database!F41="","START NOW",IF(Database!F41&lt;TODAY(),"OVERDUE "&amp;ABS(Database!F41-TODAY())&amp;"d",Database!F41-TODAY()&amp;" days")))</f>
        <v/>
      </c>
      <c r="E42" s="16" t="str">
        <f aca="false">IF(D42="✅ DONE",MIN(Database!C41+1,7),"")</f>
        <v/>
      </c>
      <c r="F42" s="16" t="str">
        <f aca="true">IF(D42="✅ DONE",TEXT(TODAY(),"DD/MM/YY"),"")</f>
        <v/>
      </c>
      <c r="G42" s="15" t="str">
        <f aca="false">IF(A42="","",IF(D42="✅ DONE","✅ Done","⏳ Pending"))</f>
        <v/>
      </c>
    </row>
    <row r="43" customFormat="false" ht="15" hidden="false" customHeight="true" outlineLevel="0" collapsed="false">
      <c r="A43" s="14" t="str">
        <f aca="true">IF(AND(Database!A42&lt;&gt;"",OR(Database!F42&lt;=TODAY(),Database!D42="")),Database!A42&amp;" - "&amp;Database!B42,"")</f>
        <v/>
      </c>
      <c r="B43" s="15" t="str">
        <f aca="false">IF(A43&lt;&gt;"","Level "&amp;Database!C42,"")</f>
        <v/>
      </c>
      <c r="C43" s="15" t="str">
        <f aca="true">IF(A43="","",IF(Database!F42="","START NOW",IF(Database!F42&lt;TODAY(),"OVERDUE "&amp;ABS(Database!F42-TODAY())&amp;"d",Database!F42-TODAY()&amp;" days")))</f>
        <v/>
      </c>
      <c r="E43" s="16" t="str">
        <f aca="false">IF(D43="✅ DONE",MIN(Database!C42+1,7),"")</f>
        <v/>
      </c>
      <c r="F43" s="16" t="str">
        <f aca="true">IF(D43="✅ DONE",TEXT(TODAY(),"DD/MM/YY"),"")</f>
        <v/>
      </c>
      <c r="G43" s="15" t="str">
        <f aca="false">IF(A43="","",IF(D43="✅ DONE","✅ Done","⏳ Pending"))</f>
        <v/>
      </c>
    </row>
    <row r="44" customFormat="false" ht="15" hidden="false" customHeight="true" outlineLevel="0" collapsed="false">
      <c r="A44" s="14" t="str">
        <f aca="true">IF(AND(Database!A43&lt;&gt;"",OR(Database!F43&lt;=TODAY(),Database!D43="")),Database!A43&amp;" - "&amp;Database!B43,"")</f>
        <v/>
      </c>
      <c r="B44" s="15" t="str">
        <f aca="false">IF(A44&lt;&gt;"","Level "&amp;Database!C43,"")</f>
        <v/>
      </c>
      <c r="C44" s="15" t="str">
        <f aca="true">IF(A44="","",IF(Database!F43="","START NOW",IF(Database!F43&lt;TODAY(),"OVERDUE "&amp;ABS(Database!F43-TODAY())&amp;"d",Database!F43-TODAY()&amp;" days")))</f>
        <v/>
      </c>
      <c r="E44" s="16" t="str">
        <f aca="false">IF(D44="✅ DONE",MIN(Database!C43+1,7),"")</f>
        <v/>
      </c>
      <c r="F44" s="16" t="str">
        <f aca="true">IF(D44="✅ DONE",TEXT(TODAY(),"DD/MM/YY"),"")</f>
        <v/>
      </c>
      <c r="G44" s="15" t="str">
        <f aca="false">IF(A44="","",IF(D44="✅ DONE","✅ Done","⏳ Pending"))</f>
        <v/>
      </c>
    </row>
    <row r="45" customFormat="false" ht="15" hidden="false" customHeight="true" outlineLevel="0" collapsed="false">
      <c r="A45" s="14" t="str">
        <f aca="true">IF(AND(Database!A44&lt;&gt;"",OR(Database!F44&lt;=TODAY(),Database!D44="")),Database!A44&amp;" - "&amp;Database!B44,"")</f>
        <v/>
      </c>
      <c r="B45" s="15" t="str">
        <f aca="false">IF(A45&lt;&gt;"","Level "&amp;Database!C44,"")</f>
        <v/>
      </c>
      <c r="C45" s="15" t="str">
        <f aca="true">IF(A45="","",IF(Database!F44="","START NOW",IF(Database!F44&lt;TODAY(),"OVERDUE "&amp;ABS(Database!F44-TODAY())&amp;"d",Database!F44-TODAY()&amp;" days")))</f>
        <v/>
      </c>
      <c r="E45" s="16" t="str">
        <f aca="false">IF(D45="✅ DONE",MIN(Database!C44+1,7),"")</f>
        <v/>
      </c>
      <c r="F45" s="16" t="str">
        <f aca="true">IF(D45="✅ DONE",TEXT(TODAY(),"DD/MM/YY"),"")</f>
        <v/>
      </c>
      <c r="G45" s="15" t="str">
        <f aca="false">IF(A45="","",IF(D45="✅ DONE","✅ Done","⏳ Pending"))</f>
        <v/>
      </c>
    </row>
    <row r="46" customFormat="false" ht="15" hidden="false" customHeight="true" outlineLevel="0" collapsed="false">
      <c r="A46" s="14" t="str">
        <f aca="true">IF(AND(Database!A45&lt;&gt;"",OR(Database!F45&lt;=TODAY(),Database!D45="")),Database!A45&amp;" - "&amp;Database!B45,"")</f>
        <v/>
      </c>
      <c r="B46" s="15" t="str">
        <f aca="false">IF(A46&lt;&gt;"","Level "&amp;Database!C45,"")</f>
        <v/>
      </c>
      <c r="C46" s="15" t="str">
        <f aca="true">IF(A46="","",IF(Database!F45="","START NOW",IF(Database!F45&lt;TODAY(),"OVERDUE "&amp;ABS(Database!F45-TODAY())&amp;"d",Database!F45-TODAY()&amp;" days")))</f>
        <v/>
      </c>
      <c r="E46" s="16" t="str">
        <f aca="false">IF(D46="✅ DONE",MIN(Database!C45+1,7),"")</f>
        <v/>
      </c>
      <c r="F46" s="16" t="str">
        <f aca="true">IF(D46="✅ DONE",TEXT(TODAY(),"DD/MM/YY"),"")</f>
        <v/>
      </c>
      <c r="G46" s="15" t="str">
        <f aca="false">IF(A46="","",IF(D46="✅ DONE","✅ Done","⏳ Pending"))</f>
        <v/>
      </c>
    </row>
    <row r="47" customFormat="false" ht="15" hidden="false" customHeight="true" outlineLevel="0" collapsed="false">
      <c r="A47" s="14" t="str">
        <f aca="true">IF(AND(Database!A46&lt;&gt;"",OR(Database!F46&lt;=TODAY(),Database!D46="")),Database!A46&amp;" - "&amp;Database!B46,"")</f>
        <v/>
      </c>
      <c r="B47" s="15" t="str">
        <f aca="false">IF(A47&lt;&gt;"","Level "&amp;Database!C46,"")</f>
        <v/>
      </c>
      <c r="C47" s="15" t="str">
        <f aca="true">IF(A47="","",IF(Database!F46="","START NOW",IF(Database!F46&lt;TODAY(),"OVERDUE "&amp;ABS(Database!F46-TODAY())&amp;"d",Database!F46-TODAY()&amp;" days")))</f>
        <v/>
      </c>
      <c r="E47" s="16" t="str">
        <f aca="false">IF(D47="✅ DONE",MIN(Database!C46+1,7),"")</f>
        <v/>
      </c>
      <c r="F47" s="16" t="str">
        <f aca="true">IF(D47="✅ DONE",TEXT(TODAY(),"DD/MM/YY"),"")</f>
        <v/>
      </c>
      <c r="G47" s="15" t="str">
        <f aca="false">IF(A47="","",IF(D47="✅ DONE","✅ Done","⏳ Pending"))</f>
        <v/>
      </c>
    </row>
    <row r="48" customFormat="false" ht="15" hidden="false" customHeight="true" outlineLevel="0" collapsed="false">
      <c r="A48" s="14" t="str">
        <f aca="true">IF(AND(Database!A47&lt;&gt;"",OR(Database!F47&lt;=TODAY(),Database!D47="")),Database!A47&amp;" - "&amp;Database!B47,"")</f>
        <v/>
      </c>
      <c r="B48" s="15" t="str">
        <f aca="false">IF(A48&lt;&gt;"","Level "&amp;Database!C47,"")</f>
        <v/>
      </c>
      <c r="C48" s="15" t="str">
        <f aca="true">IF(A48="","",IF(Database!F47="","START NOW",IF(Database!F47&lt;TODAY(),"OVERDUE "&amp;ABS(Database!F47-TODAY())&amp;"d",Database!F47-TODAY()&amp;" days")))</f>
        <v/>
      </c>
      <c r="E48" s="16" t="str">
        <f aca="false">IF(D48="✅ DONE",MIN(Database!C47+1,7),"")</f>
        <v/>
      </c>
      <c r="F48" s="16" t="str">
        <f aca="true">IF(D48="✅ DONE",TEXT(TODAY(),"DD/MM/YY"),"")</f>
        <v/>
      </c>
      <c r="G48" s="15" t="str">
        <f aca="false">IF(A48="","",IF(D48="✅ DONE","✅ Done","⏳ Pending"))</f>
        <v/>
      </c>
    </row>
    <row r="49" customFormat="false" ht="15" hidden="false" customHeight="true" outlineLevel="0" collapsed="false">
      <c r="A49" s="14" t="str">
        <f aca="true">IF(AND(Database!A48&lt;&gt;"",OR(Database!F48&lt;=TODAY(),Database!D48="")),Database!A48&amp;" - "&amp;Database!B48,"")</f>
        <v/>
      </c>
      <c r="B49" s="15" t="str">
        <f aca="false">IF(A49&lt;&gt;"","Level "&amp;Database!C48,"")</f>
        <v/>
      </c>
      <c r="C49" s="15" t="str">
        <f aca="true">IF(A49="","",IF(Database!F48="","START NOW",IF(Database!F48&lt;TODAY(),"OVERDUE "&amp;ABS(Database!F48-TODAY())&amp;"d",Database!F48-TODAY()&amp;" days")))</f>
        <v/>
      </c>
      <c r="E49" s="16" t="str">
        <f aca="false">IF(D49="✅ DONE",MIN(Database!C48+1,7),"")</f>
        <v/>
      </c>
      <c r="F49" s="16" t="str">
        <f aca="true">IF(D49="✅ DONE",TEXT(TODAY(),"DD/MM/YY"),"")</f>
        <v/>
      </c>
      <c r="G49" s="15" t="str">
        <f aca="false">IF(A49="","",IF(D49="✅ DONE","✅ Done","⏳ Pending"))</f>
        <v/>
      </c>
    </row>
    <row r="50" customFormat="false" ht="15" hidden="false" customHeight="true" outlineLevel="0" collapsed="false">
      <c r="A50" s="14" t="str">
        <f aca="true">IF(AND(Database!A49&lt;&gt;"",OR(Database!F49&lt;=TODAY(),Database!D49="")),Database!A49&amp;" - "&amp;Database!B49,"")</f>
        <v/>
      </c>
      <c r="B50" s="15" t="str">
        <f aca="false">IF(A50&lt;&gt;"","Level "&amp;Database!C49,"")</f>
        <v/>
      </c>
      <c r="C50" s="15" t="str">
        <f aca="true">IF(A50="","",IF(Database!F49="","START NOW",IF(Database!F49&lt;TODAY(),"OVERDUE "&amp;ABS(Database!F49-TODAY())&amp;"d",Database!F49-TODAY()&amp;" days")))</f>
        <v/>
      </c>
      <c r="E50" s="16" t="str">
        <f aca="false">IF(D50="✅ DONE",MIN(Database!C49+1,7),"")</f>
        <v/>
      </c>
      <c r="F50" s="16" t="str">
        <f aca="true">IF(D50="✅ DONE",TEXT(TODAY(),"DD/MM/YY"),"")</f>
        <v/>
      </c>
      <c r="G50" s="15" t="str">
        <f aca="false">IF(A50="","",IF(D50="✅ DONE","✅ Done","⏳ Pending"))</f>
        <v/>
      </c>
    </row>
    <row r="51" customFormat="false" ht="15" hidden="false" customHeight="true" outlineLevel="0" collapsed="false">
      <c r="A51" s="14" t="str">
        <f aca="true">IF(AND(Database!A50&lt;&gt;"",OR(Database!F50&lt;=TODAY(),Database!D50="")),Database!A50&amp;" - "&amp;Database!B50,"")</f>
        <v/>
      </c>
      <c r="B51" s="15" t="str">
        <f aca="false">IF(A51&lt;&gt;"","Level "&amp;Database!C50,"")</f>
        <v/>
      </c>
      <c r="C51" s="15" t="str">
        <f aca="true">IF(A51="","",IF(Database!F50="","START NOW",IF(Database!F50&lt;TODAY(),"OVERDUE "&amp;ABS(Database!F50-TODAY())&amp;"d",Database!F50-TODAY()&amp;" days")))</f>
        <v/>
      </c>
      <c r="E51" s="16" t="str">
        <f aca="false">IF(D51="✅ DONE",MIN(Database!C50+1,7),"")</f>
        <v/>
      </c>
      <c r="F51" s="16" t="str">
        <f aca="true">IF(D51="✅ DONE",TEXT(TODAY(),"DD/MM/YY"),"")</f>
        <v/>
      </c>
      <c r="G51" s="15" t="str">
        <f aca="false">IF(A51="","",IF(D51="✅ DONE","✅ Done","⏳ Pending"))</f>
        <v/>
      </c>
    </row>
    <row r="52" customFormat="false" ht="15" hidden="false" customHeight="true" outlineLevel="0" collapsed="false">
      <c r="A52" s="14" t="str">
        <f aca="true">IF(AND(Database!A51&lt;&gt;"",OR(Database!F51&lt;=TODAY(),Database!D51="")),Database!A51&amp;" - "&amp;Database!B51,"")</f>
        <v/>
      </c>
      <c r="B52" s="15" t="str">
        <f aca="false">IF(A52&lt;&gt;"","Level "&amp;Database!C51,"")</f>
        <v/>
      </c>
      <c r="C52" s="15" t="str">
        <f aca="true">IF(A52="","",IF(Database!F51="","START NOW",IF(Database!F51&lt;TODAY(),"OVERDUE "&amp;ABS(Database!F51-TODAY())&amp;"d",Database!F51-TODAY()&amp;" days")))</f>
        <v/>
      </c>
      <c r="E52" s="16" t="str">
        <f aca="false">IF(D52="✅ DONE",MIN(Database!C51+1,7),"")</f>
        <v/>
      </c>
      <c r="F52" s="16" t="str">
        <f aca="true">IF(D52="✅ DONE",TEXT(TODAY(),"DD/MM/YY"),"")</f>
        <v/>
      </c>
      <c r="G52" s="15" t="str">
        <f aca="false">IF(A52="","",IF(D52="✅ DONE","✅ Done","⏳ Pending"))</f>
        <v/>
      </c>
    </row>
    <row r="53" customFormat="false" ht="15" hidden="false" customHeight="true" outlineLevel="0" collapsed="false">
      <c r="A53" s="14" t="str">
        <f aca="true">IF(AND(Database!A52&lt;&gt;"",OR(Database!F52&lt;=TODAY(),Database!D52="")),Database!A52&amp;" - "&amp;Database!B52,"")</f>
        <v/>
      </c>
      <c r="B53" s="15" t="str">
        <f aca="false">IF(A53&lt;&gt;"","Level "&amp;Database!C52,"")</f>
        <v/>
      </c>
      <c r="C53" s="15" t="str">
        <f aca="true">IF(A53="","",IF(Database!F52="","START NOW",IF(Database!F52&lt;TODAY(),"OVERDUE "&amp;ABS(Database!F52-TODAY())&amp;"d",Database!F52-TODAY()&amp;" days")))</f>
        <v/>
      </c>
      <c r="E53" s="16" t="str">
        <f aca="false">IF(D53="✅ DONE",MIN(Database!C52+1,7),"")</f>
        <v/>
      </c>
      <c r="F53" s="16" t="str">
        <f aca="true">IF(D53="✅ DONE",TEXT(TODAY(),"DD/MM/YY"),"")</f>
        <v/>
      </c>
      <c r="G53" s="15" t="str">
        <f aca="false">IF(A53="","",IF(D53="✅ DONE","✅ Done","⏳ Pending"))</f>
        <v/>
      </c>
    </row>
    <row r="54" customFormat="false" ht="15" hidden="false" customHeight="true" outlineLevel="0" collapsed="false">
      <c r="A54" s="14" t="str">
        <f aca="true">IF(AND(Database!A53&lt;&gt;"",OR(Database!F53&lt;=TODAY(),Database!D53="")),Database!A53&amp;" - "&amp;Database!B53,"")</f>
        <v/>
      </c>
      <c r="B54" s="15" t="str">
        <f aca="false">IF(A54&lt;&gt;"","Level "&amp;Database!C53,"")</f>
        <v/>
      </c>
      <c r="C54" s="15" t="str">
        <f aca="true">IF(A54="","",IF(Database!F53="","START NOW",IF(Database!F53&lt;TODAY(),"OVERDUE "&amp;ABS(Database!F53-TODAY())&amp;"d",Database!F53-TODAY()&amp;" days")))</f>
        <v/>
      </c>
      <c r="E54" s="16" t="str">
        <f aca="false">IF(D54="✅ DONE",MIN(Database!C53+1,7),"")</f>
        <v/>
      </c>
      <c r="F54" s="16" t="str">
        <f aca="true">IF(D54="✅ DONE",TEXT(TODAY(),"DD/MM/YY"),"")</f>
        <v/>
      </c>
      <c r="G54" s="15" t="str">
        <f aca="false">IF(A54="","",IF(D54="✅ DONE","✅ Done","⏳ Pending"))</f>
        <v/>
      </c>
    </row>
    <row r="56" customFormat="false" ht="30" hidden="false" customHeight="true" outlineLevel="0" collapsed="false">
      <c r="A56" s="17" t="s">
        <v>68</v>
      </c>
      <c r="B56" s="17"/>
      <c r="C56" s="17"/>
      <c r="D56" s="17"/>
      <c r="E56" s="17"/>
      <c r="F56" s="17"/>
      <c r="G56" s="17"/>
    </row>
  </sheetData>
  <mergeCells count="3">
    <mergeCell ref="A1:G1"/>
    <mergeCell ref="A3:G3"/>
    <mergeCell ref="A56:G56"/>
  </mergeCells>
  <conditionalFormatting sqref="A5:A54">
    <cfRule type="expression" priority="2" aboveAverage="0" equalAverage="0" bottom="0" percent="0" rank="0" text="" dxfId="0">
      <formula>$D5="✅ DONE"</formula>
    </cfRule>
    <cfRule type="expression" priority="3" aboveAverage="0" equalAverage="0" bottom="0" percent="0" rank="0" text="" dxfId="1">
      <formula>LEFT($C5,7)="OVERDUE"</formula>
    </cfRule>
  </conditionalFormatting>
  <conditionalFormatting sqref="B5:B54">
    <cfRule type="expression" priority="4" aboveAverage="0" equalAverage="0" bottom="0" percent="0" rank="0" text="" dxfId="0">
      <formula>$D5="✅ DONE"</formula>
    </cfRule>
    <cfRule type="expression" priority="5" aboveAverage="0" equalAverage="0" bottom="0" percent="0" rank="0" text="" dxfId="1">
      <formula>LEFT($C5,7)="OVERDUE"</formula>
    </cfRule>
  </conditionalFormatting>
  <conditionalFormatting sqref="C5:C54">
    <cfRule type="expression" priority="6" aboveAverage="0" equalAverage="0" bottom="0" percent="0" rank="0" text="" dxfId="0">
      <formula>$D5="✅ DONE"</formula>
    </cfRule>
    <cfRule type="expression" priority="7" aboveAverage="0" equalAverage="0" bottom="0" percent="0" rank="0" text="" dxfId="1">
      <formula>LEFT($C5,7)="OVERDUE"</formula>
    </cfRule>
  </conditionalFormatting>
  <conditionalFormatting sqref="D5:D54">
    <cfRule type="expression" priority="8" aboveAverage="0" equalAverage="0" bottom="0" percent="0" rank="0" text="" dxfId="0">
      <formula>$D5="✅ DONE"</formula>
    </cfRule>
    <cfRule type="expression" priority="9" aboveAverage="0" equalAverage="0" bottom="0" percent="0" rank="0" text="" dxfId="1">
      <formula>LEFT($C5,7)="OVERDUE"</formula>
    </cfRule>
  </conditionalFormatting>
  <conditionalFormatting sqref="E5:E54">
    <cfRule type="expression" priority="10" aboveAverage="0" equalAverage="0" bottom="0" percent="0" rank="0" text="" dxfId="0">
      <formula>$D5="✅ DONE"</formula>
    </cfRule>
    <cfRule type="expression" priority="11" aboveAverage="0" equalAverage="0" bottom="0" percent="0" rank="0" text="" dxfId="1">
      <formula>LEFT($C5,7)="OVERDUE"</formula>
    </cfRule>
  </conditionalFormatting>
  <conditionalFormatting sqref="F5:F54">
    <cfRule type="expression" priority="12" aboveAverage="0" equalAverage="0" bottom="0" percent="0" rank="0" text="" dxfId="0">
      <formula>$D5="✅ DONE"</formula>
    </cfRule>
    <cfRule type="expression" priority="13" aboveAverage="0" equalAverage="0" bottom="0" percent="0" rank="0" text="" dxfId="1">
      <formula>LEFT($C5,7)="OVERDUE"</formula>
    </cfRule>
  </conditionalFormatting>
  <conditionalFormatting sqref="G5:G54">
    <cfRule type="expression" priority="14" aboveAverage="0" equalAverage="0" bottom="0" percent="0" rank="0" text="" dxfId="0">
      <formula>$D5="✅ DONE"</formula>
    </cfRule>
    <cfRule type="expression" priority="15" aboveAverage="0" equalAverage="0" bottom="0" percent="0" rank="0" text="" dxfId="1">
      <formula>LEFT($C5,7)="OVERDUE"</formula>
    </cfRule>
  </conditionalFormatting>
  <dataValidations count="1">
    <dataValidation allowBlank="true" errorStyle="stop" operator="between" showDropDown="false" showErrorMessage="false" showInputMessage="false" sqref="D5:D54" type="list">
      <formula1>"—,✅ 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5"/>
    <col collapsed="false" customWidth="true" hidden="false" outlineLevel="0" max="3" min="3" style="1" width="8"/>
    <col collapsed="false" customWidth="true" hidden="false" outlineLevel="0" max="4" min="4" style="1" width="13"/>
    <col collapsed="false" customWidth="true" hidden="false" outlineLevel="0" max="5" min="5" style="1" width="12"/>
    <col collapsed="false" customWidth="true" hidden="false" outlineLevel="0" max="6" min="6" style="1" width="13"/>
  </cols>
  <sheetData>
    <row r="1" customFormat="false" ht="24.75" hidden="false" customHeight="true" outlineLevel="0" collapsed="false">
      <c r="A1" s="18" t="s">
        <v>69</v>
      </c>
      <c r="B1" s="18"/>
      <c r="C1" s="18"/>
      <c r="D1" s="18"/>
      <c r="E1" s="18"/>
      <c r="F1" s="18"/>
    </row>
    <row r="2" customFormat="false" ht="15" hidden="false" customHeight="true" outlineLevel="0" collapsed="false">
      <c r="A2" s="19" t="s">
        <v>70</v>
      </c>
      <c r="B2" s="19"/>
      <c r="C2" s="19"/>
      <c r="D2" s="19"/>
      <c r="E2" s="19"/>
      <c r="F2" s="19"/>
    </row>
    <row r="3" customFormat="false" ht="15" hidden="false" customHeight="true" outlineLevel="0" collapsed="false">
      <c r="A3" s="20" t="s">
        <v>71</v>
      </c>
      <c r="B3" s="20" t="s">
        <v>61</v>
      </c>
      <c r="C3" s="20" t="s">
        <v>72</v>
      </c>
      <c r="D3" s="20" t="s">
        <v>73</v>
      </c>
      <c r="E3" s="20" t="s">
        <v>74</v>
      </c>
      <c r="F3" s="20" t="s">
        <v>24</v>
      </c>
    </row>
    <row r="4" customFormat="false" ht="15" hidden="false" customHeight="true" outlineLevel="0" collapsed="false">
      <c r="A4" s="1" t="s">
        <v>75</v>
      </c>
      <c r="B4" s="1" t="s">
        <v>76</v>
      </c>
      <c r="C4" s="1" t="n">
        <v>2</v>
      </c>
      <c r="D4" s="21" t="n">
        <v>46054</v>
      </c>
      <c r="E4" s="1" t="n">
        <f aca="false">IF(C4="","",CHOOSE(MIN(C4+1,8),0,1,3,7,15,30,60,90))</f>
        <v>3</v>
      </c>
      <c r="F4" s="21" t="n">
        <f aca="true">IF(D4="","",MAX(D4,TODAY())+E4)</f>
        <v>46066</v>
      </c>
    </row>
    <row r="5" customFormat="false" ht="15" hidden="false" customHeight="true" outlineLevel="0" collapsed="false">
      <c r="A5" s="1" t="s">
        <v>77</v>
      </c>
      <c r="B5" s="1" t="s">
        <v>78</v>
      </c>
      <c r="C5" s="1" t="n">
        <v>0</v>
      </c>
      <c r="D5" s="21"/>
      <c r="E5" s="1" t="n">
        <f aca="false">IF(C5="","",CHOOSE(MIN(C5+1,8),0,1,3,7,15,30,60,90))</f>
        <v>0</v>
      </c>
      <c r="F5" s="21" t="str">
        <f aca="true">IF(D5="","",MAX(D5,TODAY())+E5)</f>
        <v/>
      </c>
    </row>
    <row r="6" customFormat="false" ht="15" hidden="false" customHeight="true" outlineLevel="0" collapsed="false">
      <c r="A6" s="1" t="s">
        <v>79</v>
      </c>
      <c r="B6" s="1" t="s">
        <v>80</v>
      </c>
      <c r="C6" s="1" t="n">
        <v>1</v>
      </c>
      <c r="D6" s="21" t="n">
        <v>46062</v>
      </c>
      <c r="E6" s="1" t="n">
        <f aca="false">IF(C6="","",CHOOSE(MIN(C6+1,8),0,1,3,7,15,30,60,90))</f>
        <v>1</v>
      </c>
      <c r="F6" s="21" t="n">
        <f aca="true">IF(D6="","",MAX(D6,TODAY())+E6)</f>
        <v>46064</v>
      </c>
    </row>
    <row r="7" customFormat="false" ht="15" hidden="false" customHeight="true" outlineLevel="0" collapsed="false">
      <c r="A7" s="1" t="s">
        <v>81</v>
      </c>
      <c r="B7" s="1" t="s">
        <v>82</v>
      </c>
      <c r="C7" s="1" t="n">
        <v>3</v>
      </c>
      <c r="D7" s="21" t="n">
        <v>46050</v>
      </c>
      <c r="E7" s="1" t="n">
        <f aca="false">IF(C7="","",CHOOSE(MIN(C7+1,8),0,1,3,7,15,30,60,90))</f>
        <v>7</v>
      </c>
      <c r="F7" s="21" t="n">
        <f aca="true">IF(D7="","",MAX(D7,TODAY())+E7)</f>
        <v>46070</v>
      </c>
    </row>
    <row r="8" customFormat="false" ht="15" hidden="false" customHeight="true" outlineLevel="0" collapsed="false">
      <c r="D8" s="21"/>
      <c r="E8" s="1" t="str">
        <f aca="false">IF(C8="","",CHOOSE(MIN(C8+1,8),0,1,3,7,15,30,60,90))</f>
        <v/>
      </c>
      <c r="F8" s="21" t="str">
        <f aca="true">IF(D8="","",MAX(D8,TODAY())+E8)</f>
        <v/>
      </c>
    </row>
    <row r="9" customFormat="false" ht="15" hidden="false" customHeight="true" outlineLevel="0" collapsed="false">
      <c r="D9" s="21"/>
      <c r="E9" s="1" t="str">
        <f aca="false">IF(C9="","",CHOOSE(MIN(C9+1,8),0,1,3,7,15,30,60,90))</f>
        <v/>
      </c>
      <c r="F9" s="21" t="str">
        <f aca="true">IF(D9="","",MAX(D9,TODAY())+E9)</f>
        <v/>
      </c>
    </row>
    <row r="10" customFormat="false" ht="15" hidden="false" customHeight="true" outlineLevel="0" collapsed="false">
      <c r="D10" s="21"/>
      <c r="E10" s="1" t="str">
        <f aca="false">IF(C10="","",CHOOSE(MIN(C10+1,8),0,1,3,7,15,30,60,90))</f>
        <v/>
      </c>
      <c r="F10" s="21" t="str">
        <f aca="true">IF(D10="","",MAX(D10,TODAY())+E10)</f>
        <v/>
      </c>
    </row>
    <row r="11" customFormat="false" ht="15" hidden="false" customHeight="true" outlineLevel="0" collapsed="false">
      <c r="D11" s="21"/>
      <c r="E11" s="1" t="str">
        <f aca="false">IF(C11="","",CHOOSE(MIN(C11+1,8),0,1,3,7,15,30,60,90))</f>
        <v/>
      </c>
      <c r="F11" s="21" t="str">
        <f aca="true">IF(D11="","",MAX(D11,TODAY())+E11)</f>
        <v/>
      </c>
    </row>
    <row r="12" customFormat="false" ht="15" hidden="false" customHeight="true" outlineLevel="0" collapsed="false">
      <c r="D12" s="21"/>
      <c r="E12" s="1" t="str">
        <f aca="false">IF(C12="","",CHOOSE(MIN(C12+1,8),0,1,3,7,15,30,60,90))</f>
        <v/>
      </c>
      <c r="F12" s="21" t="str">
        <f aca="true">IF(D12="","",MAX(D12,TODAY())+E12)</f>
        <v/>
      </c>
    </row>
    <row r="13" customFormat="false" ht="15" hidden="false" customHeight="true" outlineLevel="0" collapsed="false">
      <c r="D13" s="21"/>
      <c r="E13" s="1" t="str">
        <f aca="false">IF(C13="","",CHOOSE(MIN(C13+1,8),0,1,3,7,15,30,60,90))</f>
        <v/>
      </c>
      <c r="F13" s="21" t="str">
        <f aca="true">IF(D13="","",MAX(D13,TODAY())+E13)</f>
        <v/>
      </c>
    </row>
    <row r="14" customFormat="false" ht="15" hidden="false" customHeight="true" outlineLevel="0" collapsed="false">
      <c r="D14" s="21"/>
      <c r="E14" s="1" t="str">
        <f aca="false">IF(C14="","",CHOOSE(MIN(C14+1,8),0,1,3,7,15,30,60,90))</f>
        <v/>
      </c>
      <c r="F14" s="21" t="str">
        <f aca="true">IF(D14="","",MAX(D14,TODAY())+E14)</f>
        <v/>
      </c>
    </row>
    <row r="15" customFormat="false" ht="15" hidden="false" customHeight="true" outlineLevel="0" collapsed="false">
      <c r="D15" s="21"/>
      <c r="E15" s="1" t="str">
        <f aca="false">IF(C15="","",CHOOSE(MIN(C15+1,8),0,1,3,7,15,30,60,90))</f>
        <v/>
      </c>
      <c r="F15" s="21" t="str">
        <f aca="true">IF(D15="","",MAX(D15,TODAY())+E15)</f>
        <v/>
      </c>
    </row>
    <row r="16" customFormat="false" ht="15" hidden="false" customHeight="true" outlineLevel="0" collapsed="false">
      <c r="D16" s="21"/>
      <c r="E16" s="1" t="str">
        <f aca="false">IF(C16="","",CHOOSE(MIN(C16+1,8),0,1,3,7,15,30,60,90))</f>
        <v/>
      </c>
      <c r="F16" s="21" t="str">
        <f aca="true">IF(D16="","",MAX(D16,TODAY())+E16)</f>
        <v/>
      </c>
    </row>
    <row r="17" customFormat="false" ht="15" hidden="false" customHeight="true" outlineLevel="0" collapsed="false">
      <c r="D17" s="21"/>
      <c r="E17" s="1" t="str">
        <f aca="false">IF(C17="","",CHOOSE(MIN(C17+1,8),0,1,3,7,15,30,60,90))</f>
        <v/>
      </c>
      <c r="F17" s="21" t="str">
        <f aca="true">IF(D17="","",MAX(D17,TODAY())+E17)</f>
        <v/>
      </c>
    </row>
    <row r="18" customFormat="false" ht="15" hidden="false" customHeight="true" outlineLevel="0" collapsed="false">
      <c r="D18" s="21"/>
      <c r="E18" s="1" t="str">
        <f aca="false">IF(C18="","",CHOOSE(MIN(C18+1,8),0,1,3,7,15,30,60,90))</f>
        <v/>
      </c>
      <c r="F18" s="21" t="str">
        <f aca="true">IF(D18="","",MAX(D18,TODAY())+E18)</f>
        <v/>
      </c>
    </row>
    <row r="19" customFormat="false" ht="15" hidden="false" customHeight="true" outlineLevel="0" collapsed="false">
      <c r="D19" s="21"/>
      <c r="E19" s="1" t="str">
        <f aca="false">IF(C19="","",CHOOSE(MIN(C19+1,8),0,1,3,7,15,30,60,90))</f>
        <v/>
      </c>
      <c r="F19" s="21" t="str">
        <f aca="true">IF(D19="","",MAX(D19,TODAY())+E19)</f>
        <v/>
      </c>
    </row>
    <row r="20" customFormat="false" ht="15" hidden="false" customHeight="true" outlineLevel="0" collapsed="false">
      <c r="D20" s="21"/>
      <c r="E20" s="1" t="str">
        <f aca="false">IF(C20="","",CHOOSE(MIN(C20+1,8),0,1,3,7,15,30,60,90))</f>
        <v/>
      </c>
      <c r="F20" s="21" t="str">
        <f aca="true">IF(D20="","",MAX(D20,TODAY())+E20)</f>
        <v/>
      </c>
    </row>
    <row r="21" customFormat="false" ht="15" hidden="false" customHeight="true" outlineLevel="0" collapsed="false">
      <c r="D21" s="21"/>
      <c r="E21" s="1" t="str">
        <f aca="false">IF(C21="","",CHOOSE(MIN(C21+1,8),0,1,3,7,15,30,60,90))</f>
        <v/>
      </c>
      <c r="F21" s="21" t="str">
        <f aca="true">IF(D21="","",MAX(D21,TODAY())+E21)</f>
        <v/>
      </c>
    </row>
    <row r="22" customFormat="false" ht="15" hidden="false" customHeight="true" outlineLevel="0" collapsed="false">
      <c r="D22" s="21"/>
      <c r="E22" s="1" t="str">
        <f aca="false">IF(C22="","",CHOOSE(MIN(C22+1,8),0,1,3,7,15,30,60,90))</f>
        <v/>
      </c>
      <c r="F22" s="21" t="str">
        <f aca="true">IF(D22="","",MAX(D22,TODAY())+E22)</f>
        <v/>
      </c>
    </row>
    <row r="23" customFormat="false" ht="15" hidden="false" customHeight="true" outlineLevel="0" collapsed="false">
      <c r="D23" s="21"/>
      <c r="E23" s="1" t="str">
        <f aca="false">IF(C23="","",CHOOSE(MIN(C23+1,8),0,1,3,7,15,30,60,90))</f>
        <v/>
      </c>
      <c r="F23" s="21" t="str">
        <f aca="true">IF(D23="","",MAX(D23,TODAY())+E23)</f>
        <v/>
      </c>
    </row>
    <row r="24" customFormat="false" ht="15" hidden="false" customHeight="true" outlineLevel="0" collapsed="false">
      <c r="D24" s="21"/>
      <c r="E24" s="1" t="str">
        <f aca="false">IF(C24="","",CHOOSE(MIN(C24+1,8),0,1,3,7,15,30,60,90))</f>
        <v/>
      </c>
      <c r="F24" s="21" t="str">
        <f aca="true">IF(D24="","",MAX(D24,TODAY())+E24)</f>
        <v/>
      </c>
    </row>
    <row r="25" customFormat="false" ht="15" hidden="false" customHeight="true" outlineLevel="0" collapsed="false">
      <c r="D25" s="21"/>
      <c r="E25" s="1" t="str">
        <f aca="false">IF(C25="","",CHOOSE(MIN(C25+1,8),0,1,3,7,15,30,60,90))</f>
        <v/>
      </c>
      <c r="F25" s="21" t="str">
        <f aca="true">IF(D25="","",MAX(D25,TODAY())+E25)</f>
        <v/>
      </c>
    </row>
    <row r="26" customFormat="false" ht="15" hidden="false" customHeight="true" outlineLevel="0" collapsed="false">
      <c r="D26" s="21"/>
      <c r="E26" s="1" t="str">
        <f aca="false">IF(C26="","",CHOOSE(MIN(C26+1,8),0,1,3,7,15,30,60,90))</f>
        <v/>
      </c>
      <c r="F26" s="21" t="str">
        <f aca="true">IF(D26="","",MAX(D26,TODAY())+E26)</f>
        <v/>
      </c>
    </row>
    <row r="27" customFormat="false" ht="15" hidden="false" customHeight="true" outlineLevel="0" collapsed="false">
      <c r="D27" s="21"/>
      <c r="E27" s="1" t="str">
        <f aca="false">IF(C27="","",CHOOSE(MIN(C27+1,8),0,1,3,7,15,30,60,90))</f>
        <v/>
      </c>
      <c r="F27" s="21" t="str">
        <f aca="true">IF(D27="","",MAX(D27,TODAY())+E27)</f>
        <v/>
      </c>
    </row>
    <row r="28" customFormat="false" ht="15" hidden="false" customHeight="true" outlineLevel="0" collapsed="false">
      <c r="D28" s="21"/>
      <c r="E28" s="1" t="str">
        <f aca="false">IF(C28="","",CHOOSE(MIN(C28+1,8),0,1,3,7,15,30,60,90))</f>
        <v/>
      </c>
      <c r="F28" s="21" t="str">
        <f aca="true">IF(D28="","",MAX(D28,TODAY())+E28)</f>
        <v/>
      </c>
    </row>
    <row r="29" customFormat="false" ht="15" hidden="false" customHeight="true" outlineLevel="0" collapsed="false">
      <c r="D29" s="21"/>
      <c r="E29" s="1" t="str">
        <f aca="false">IF(C29="","",CHOOSE(MIN(C29+1,8),0,1,3,7,15,30,60,90))</f>
        <v/>
      </c>
      <c r="F29" s="21" t="str">
        <f aca="true">IF(D29="","",MAX(D29,TODAY())+E29)</f>
        <v/>
      </c>
    </row>
    <row r="30" customFormat="false" ht="15" hidden="false" customHeight="true" outlineLevel="0" collapsed="false">
      <c r="D30" s="21"/>
      <c r="E30" s="1" t="str">
        <f aca="false">IF(C30="","",CHOOSE(MIN(C30+1,8),0,1,3,7,15,30,60,90))</f>
        <v/>
      </c>
      <c r="F30" s="21" t="str">
        <f aca="true">IF(D30="","",MAX(D30,TODAY())+E30)</f>
        <v/>
      </c>
    </row>
    <row r="31" customFormat="false" ht="15" hidden="false" customHeight="true" outlineLevel="0" collapsed="false">
      <c r="D31" s="21"/>
      <c r="E31" s="1" t="str">
        <f aca="false">IF(C31="","",CHOOSE(MIN(C31+1,8),0,1,3,7,15,30,60,90))</f>
        <v/>
      </c>
      <c r="F31" s="21" t="str">
        <f aca="true">IF(D31="","",MAX(D31,TODAY())+E31)</f>
        <v/>
      </c>
    </row>
    <row r="32" customFormat="false" ht="15" hidden="false" customHeight="true" outlineLevel="0" collapsed="false">
      <c r="D32" s="21"/>
      <c r="E32" s="1" t="str">
        <f aca="false">IF(C32="","",CHOOSE(MIN(C32+1,8),0,1,3,7,15,30,60,90))</f>
        <v/>
      </c>
      <c r="F32" s="21" t="str">
        <f aca="true">IF(D32="","",MAX(D32,TODAY())+E32)</f>
        <v/>
      </c>
    </row>
    <row r="33" customFormat="false" ht="15" hidden="false" customHeight="true" outlineLevel="0" collapsed="false">
      <c r="D33" s="21"/>
      <c r="E33" s="1" t="str">
        <f aca="false">IF(C33="","",CHOOSE(MIN(C33+1,8),0,1,3,7,15,30,60,90))</f>
        <v/>
      </c>
      <c r="F33" s="21" t="str">
        <f aca="true">IF(D33="","",MAX(D33,TODAY())+E33)</f>
        <v/>
      </c>
    </row>
    <row r="34" customFormat="false" ht="15" hidden="false" customHeight="true" outlineLevel="0" collapsed="false">
      <c r="D34" s="21"/>
      <c r="E34" s="1" t="str">
        <f aca="false">IF(C34="","",CHOOSE(MIN(C34+1,8),0,1,3,7,15,30,60,90))</f>
        <v/>
      </c>
      <c r="F34" s="21" t="str">
        <f aca="true">IF(D34="","",MAX(D34,TODAY())+E34)</f>
        <v/>
      </c>
    </row>
    <row r="35" customFormat="false" ht="15" hidden="false" customHeight="true" outlineLevel="0" collapsed="false">
      <c r="D35" s="21"/>
      <c r="E35" s="1" t="str">
        <f aca="false">IF(C35="","",CHOOSE(MIN(C35+1,8),0,1,3,7,15,30,60,90))</f>
        <v/>
      </c>
      <c r="F35" s="21" t="str">
        <f aca="true">IF(D35="","",MAX(D35,TODAY())+E35)</f>
        <v/>
      </c>
    </row>
    <row r="36" customFormat="false" ht="15" hidden="false" customHeight="true" outlineLevel="0" collapsed="false">
      <c r="D36" s="21"/>
      <c r="E36" s="1" t="str">
        <f aca="false">IF(C36="","",CHOOSE(MIN(C36+1,8),0,1,3,7,15,30,60,90))</f>
        <v/>
      </c>
      <c r="F36" s="21" t="str">
        <f aca="true">IF(D36="","",MAX(D36,TODAY())+E36)</f>
        <v/>
      </c>
    </row>
    <row r="37" customFormat="false" ht="15" hidden="false" customHeight="true" outlineLevel="0" collapsed="false">
      <c r="D37" s="21"/>
      <c r="E37" s="1" t="str">
        <f aca="false">IF(C37="","",CHOOSE(MIN(C37+1,8),0,1,3,7,15,30,60,90))</f>
        <v/>
      </c>
      <c r="F37" s="21" t="str">
        <f aca="true">IF(D37="","",MAX(D37,TODAY())+E37)</f>
        <v/>
      </c>
    </row>
    <row r="38" customFormat="false" ht="15" hidden="false" customHeight="true" outlineLevel="0" collapsed="false">
      <c r="D38" s="21"/>
      <c r="E38" s="1" t="str">
        <f aca="false">IF(C38="","",CHOOSE(MIN(C38+1,8),0,1,3,7,15,30,60,90))</f>
        <v/>
      </c>
      <c r="F38" s="21" t="str">
        <f aca="true">IF(D38="","",MAX(D38,TODAY())+E38)</f>
        <v/>
      </c>
    </row>
    <row r="39" customFormat="false" ht="15" hidden="false" customHeight="true" outlineLevel="0" collapsed="false">
      <c r="D39" s="21"/>
      <c r="E39" s="1" t="str">
        <f aca="false">IF(C39="","",CHOOSE(MIN(C39+1,8),0,1,3,7,15,30,60,90))</f>
        <v/>
      </c>
      <c r="F39" s="21" t="str">
        <f aca="true">IF(D39="","",MAX(D39,TODAY())+E39)</f>
        <v/>
      </c>
    </row>
    <row r="40" customFormat="false" ht="15" hidden="false" customHeight="true" outlineLevel="0" collapsed="false">
      <c r="D40" s="21"/>
      <c r="E40" s="1" t="str">
        <f aca="false">IF(C40="","",CHOOSE(MIN(C40+1,8),0,1,3,7,15,30,60,90))</f>
        <v/>
      </c>
      <c r="F40" s="21" t="str">
        <f aca="true">IF(D40="","",MAX(D40,TODAY())+E40)</f>
        <v/>
      </c>
    </row>
    <row r="41" customFormat="false" ht="15" hidden="false" customHeight="true" outlineLevel="0" collapsed="false">
      <c r="D41" s="21"/>
      <c r="E41" s="1" t="str">
        <f aca="false">IF(C41="","",CHOOSE(MIN(C41+1,8),0,1,3,7,15,30,60,90))</f>
        <v/>
      </c>
      <c r="F41" s="21" t="str">
        <f aca="true">IF(D41="","",MAX(D41,TODAY())+E41)</f>
        <v/>
      </c>
    </row>
    <row r="42" customFormat="false" ht="15" hidden="false" customHeight="true" outlineLevel="0" collapsed="false">
      <c r="D42" s="21"/>
      <c r="E42" s="1" t="str">
        <f aca="false">IF(C42="","",CHOOSE(MIN(C42+1,8),0,1,3,7,15,30,60,90))</f>
        <v/>
      </c>
      <c r="F42" s="21" t="str">
        <f aca="true">IF(D42="","",MAX(D42,TODAY())+E42)</f>
        <v/>
      </c>
    </row>
    <row r="43" customFormat="false" ht="15" hidden="false" customHeight="true" outlineLevel="0" collapsed="false">
      <c r="D43" s="21"/>
      <c r="E43" s="1" t="str">
        <f aca="false">IF(C43="","",CHOOSE(MIN(C43+1,8),0,1,3,7,15,30,60,90))</f>
        <v/>
      </c>
      <c r="F43" s="21" t="str">
        <f aca="true">IF(D43="","",MAX(D43,TODAY())+E43)</f>
        <v/>
      </c>
    </row>
    <row r="44" customFormat="false" ht="15" hidden="false" customHeight="true" outlineLevel="0" collapsed="false">
      <c r="D44" s="21"/>
      <c r="E44" s="1" t="str">
        <f aca="false">IF(C44="","",CHOOSE(MIN(C44+1,8),0,1,3,7,15,30,60,90))</f>
        <v/>
      </c>
      <c r="F44" s="21" t="str">
        <f aca="true">IF(D44="","",MAX(D44,TODAY())+E44)</f>
        <v/>
      </c>
    </row>
    <row r="45" customFormat="false" ht="15" hidden="false" customHeight="true" outlineLevel="0" collapsed="false">
      <c r="D45" s="21"/>
      <c r="E45" s="1" t="str">
        <f aca="false">IF(C45="","",CHOOSE(MIN(C45+1,8),0,1,3,7,15,30,60,90))</f>
        <v/>
      </c>
      <c r="F45" s="21" t="str">
        <f aca="true">IF(D45="","",MAX(D45,TODAY())+E45)</f>
        <v/>
      </c>
    </row>
    <row r="46" customFormat="false" ht="15" hidden="false" customHeight="true" outlineLevel="0" collapsed="false">
      <c r="D46" s="21"/>
      <c r="E46" s="1" t="str">
        <f aca="false">IF(C46="","",CHOOSE(MIN(C46+1,8),0,1,3,7,15,30,60,90))</f>
        <v/>
      </c>
      <c r="F46" s="21" t="str">
        <f aca="true">IF(D46="","",MAX(D46,TODAY())+E46)</f>
        <v/>
      </c>
    </row>
    <row r="47" customFormat="false" ht="15" hidden="false" customHeight="true" outlineLevel="0" collapsed="false">
      <c r="D47" s="21"/>
      <c r="E47" s="1" t="str">
        <f aca="false">IF(C47="","",CHOOSE(MIN(C47+1,8),0,1,3,7,15,30,60,90))</f>
        <v/>
      </c>
      <c r="F47" s="21" t="str">
        <f aca="true">IF(D47="","",MAX(D47,TODAY())+E47)</f>
        <v/>
      </c>
    </row>
    <row r="48" customFormat="false" ht="15" hidden="false" customHeight="true" outlineLevel="0" collapsed="false">
      <c r="D48" s="21"/>
      <c r="E48" s="1" t="str">
        <f aca="false">IF(C48="","",CHOOSE(MIN(C48+1,8),0,1,3,7,15,30,60,90))</f>
        <v/>
      </c>
      <c r="F48" s="21" t="str">
        <f aca="true">IF(D48="","",MAX(D48,TODAY())+E48)</f>
        <v/>
      </c>
    </row>
    <row r="49" customFormat="false" ht="15" hidden="false" customHeight="true" outlineLevel="0" collapsed="false">
      <c r="D49" s="21"/>
      <c r="E49" s="1" t="str">
        <f aca="false">IF(C49="","",CHOOSE(MIN(C49+1,8),0,1,3,7,15,30,60,90))</f>
        <v/>
      </c>
      <c r="F49" s="21" t="str">
        <f aca="true">IF(D49="","",MAX(D49,TODAY())+E49)</f>
        <v/>
      </c>
    </row>
    <row r="50" customFormat="false" ht="15" hidden="false" customHeight="true" outlineLevel="0" collapsed="false">
      <c r="D50" s="21"/>
      <c r="E50" s="1" t="str">
        <f aca="false">IF(C50="","",CHOOSE(MIN(C50+1,8),0,1,3,7,15,30,60,90))</f>
        <v/>
      </c>
      <c r="F50" s="21" t="str">
        <f aca="true">IF(D50="","",MAX(D50,TODAY())+E50)</f>
        <v/>
      </c>
    </row>
    <row r="51" customFormat="false" ht="15" hidden="false" customHeight="true" outlineLevel="0" collapsed="false">
      <c r="D51" s="21"/>
      <c r="E51" s="1" t="str">
        <f aca="false">IF(C51="","",CHOOSE(MIN(C51+1,8),0,1,3,7,15,30,60,90))</f>
        <v/>
      </c>
      <c r="F51" s="21" t="str">
        <f aca="true">IF(D51="","",MAX(D51,TODAY())+E51)</f>
        <v/>
      </c>
    </row>
    <row r="52" customFormat="false" ht="15" hidden="false" customHeight="true" outlineLevel="0" collapsed="false">
      <c r="D52" s="21"/>
      <c r="E52" s="1" t="str">
        <f aca="false">IF(C52="","",CHOOSE(MIN(C52+1,8),0,1,3,7,15,30,60,90))</f>
        <v/>
      </c>
      <c r="F52" s="21" t="str">
        <f aca="true">IF(D52="","",MAX(D52,TODAY())+E52)</f>
        <v/>
      </c>
    </row>
    <row r="53" customFormat="false" ht="15" hidden="false" customHeight="true" outlineLevel="0" collapsed="false">
      <c r="D53" s="21"/>
      <c r="E53" s="1" t="str">
        <f aca="false">IF(C53="","",CHOOSE(MIN(C53+1,8),0,1,3,7,15,30,60,90))</f>
        <v/>
      </c>
      <c r="F53" s="21" t="str">
        <f aca="true">IF(D53="","",MAX(D53,TODAY())+E53)</f>
        <v/>
      </c>
    </row>
    <row r="54" customFormat="false" ht="15" hidden="false" customHeight="true" outlineLevel="0" collapsed="false">
      <c r="D54" s="21"/>
      <c r="E54" s="1" t="str">
        <f aca="false">IF(C54="","",CHOOSE(MIN(C54+1,8),0,1,3,7,15,30,60,90))</f>
        <v/>
      </c>
      <c r="F54" s="21" t="str">
        <f aca="true">IF(D54="","",MAX(D54,TODAY())+E54)</f>
        <v/>
      </c>
    </row>
    <row r="55" customFormat="false" ht="15" hidden="false" customHeight="true" outlineLevel="0" collapsed="false">
      <c r="D55" s="21"/>
      <c r="E55" s="1" t="str">
        <f aca="false">IF(C55="","",CHOOSE(MIN(C55+1,8),0,1,3,7,15,30,60,90))</f>
        <v/>
      </c>
      <c r="F55" s="21" t="str">
        <f aca="true">IF(D55="","",MAX(D55,TODAY())+E55)</f>
        <v/>
      </c>
    </row>
    <row r="56" customFormat="false" ht="15" hidden="false" customHeight="true" outlineLevel="0" collapsed="false">
      <c r="D56" s="21"/>
      <c r="E56" s="1" t="str">
        <f aca="false">IF(C56="","",CHOOSE(MIN(C56+1,8),0,1,3,7,15,30,60,90))</f>
        <v/>
      </c>
      <c r="F56" s="21" t="str">
        <f aca="true">IF(D56="","",MAX(D56,TODAY())+E56)</f>
        <v/>
      </c>
    </row>
    <row r="57" customFormat="false" ht="15" hidden="false" customHeight="true" outlineLevel="0" collapsed="false">
      <c r="D57" s="21"/>
      <c r="E57" s="1" t="str">
        <f aca="false">IF(C57="","",CHOOSE(MIN(C57+1,8),0,1,3,7,15,30,60,90))</f>
        <v/>
      </c>
      <c r="F57" s="21" t="str">
        <f aca="true">IF(D57="","",MAX(D57,TODAY())+E57)</f>
        <v/>
      </c>
    </row>
    <row r="58" customFormat="false" ht="15" hidden="false" customHeight="true" outlineLevel="0" collapsed="false">
      <c r="D58" s="21"/>
      <c r="E58" s="1" t="str">
        <f aca="false">IF(C58="","",CHOOSE(MIN(C58+1,8),0,1,3,7,15,30,60,90))</f>
        <v/>
      </c>
      <c r="F58" s="21" t="str">
        <f aca="true">IF(D58="","",MAX(D58,TODAY())+E58)</f>
        <v/>
      </c>
    </row>
    <row r="59" customFormat="false" ht="15" hidden="false" customHeight="true" outlineLevel="0" collapsed="false">
      <c r="D59" s="21"/>
      <c r="E59" s="1" t="str">
        <f aca="false">IF(C59="","",CHOOSE(MIN(C59+1,8),0,1,3,7,15,30,60,90))</f>
        <v/>
      </c>
      <c r="F59" s="21" t="str">
        <f aca="true">IF(D59="","",MAX(D59,TODAY())+E59)</f>
        <v/>
      </c>
    </row>
    <row r="60" customFormat="false" ht="15" hidden="false" customHeight="true" outlineLevel="0" collapsed="false">
      <c r="D60" s="21"/>
      <c r="E60" s="1" t="str">
        <f aca="false">IF(C60="","",CHOOSE(MIN(C60+1,8),0,1,3,7,15,30,60,90))</f>
        <v/>
      </c>
      <c r="F60" s="21" t="str">
        <f aca="true">IF(D60="","",MAX(D60,TODAY())+E60)</f>
        <v/>
      </c>
    </row>
    <row r="61" customFormat="false" ht="15" hidden="false" customHeight="true" outlineLevel="0" collapsed="false">
      <c r="D61" s="21"/>
      <c r="E61" s="1" t="str">
        <f aca="false">IF(C61="","",CHOOSE(MIN(C61+1,8),0,1,3,7,15,30,60,90))</f>
        <v/>
      </c>
      <c r="F61" s="21" t="str">
        <f aca="true">IF(D61="","",MAX(D61,TODAY())+E61)</f>
        <v/>
      </c>
    </row>
    <row r="62" customFormat="false" ht="15" hidden="false" customHeight="true" outlineLevel="0" collapsed="false">
      <c r="D62" s="21"/>
      <c r="E62" s="1" t="str">
        <f aca="false">IF(C62="","",CHOOSE(MIN(C62+1,8),0,1,3,7,15,30,60,90))</f>
        <v/>
      </c>
      <c r="F62" s="21" t="str">
        <f aca="true">IF(D62="","",MAX(D62,TODAY())+E62)</f>
        <v/>
      </c>
    </row>
    <row r="63" customFormat="false" ht="15" hidden="false" customHeight="true" outlineLevel="0" collapsed="false">
      <c r="D63" s="21"/>
      <c r="E63" s="1" t="str">
        <f aca="false">IF(C63="","",CHOOSE(MIN(C63+1,8),0,1,3,7,15,30,60,90))</f>
        <v/>
      </c>
      <c r="F63" s="21" t="str">
        <f aca="true">IF(D63="","",MAX(D63,TODAY())+E63)</f>
        <v/>
      </c>
    </row>
    <row r="64" customFormat="false" ht="15" hidden="false" customHeight="true" outlineLevel="0" collapsed="false">
      <c r="D64" s="21"/>
      <c r="E64" s="1" t="str">
        <f aca="false">IF(C64="","",CHOOSE(MIN(C64+1,8),0,1,3,7,15,30,60,90))</f>
        <v/>
      </c>
      <c r="F64" s="21" t="str">
        <f aca="true">IF(D64="","",MAX(D64,TODAY())+E64)</f>
        <v/>
      </c>
    </row>
    <row r="65" customFormat="false" ht="15" hidden="false" customHeight="true" outlineLevel="0" collapsed="false">
      <c r="D65" s="21"/>
      <c r="E65" s="1" t="str">
        <f aca="false">IF(C65="","",CHOOSE(MIN(C65+1,8),0,1,3,7,15,30,60,90))</f>
        <v/>
      </c>
      <c r="F65" s="21" t="str">
        <f aca="true">IF(D65="","",MAX(D65,TODAY())+E65)</f>
        <v/>
      </c>
    </row>
    <row r="66" customFormat="false" ht="15" hidden="false" customHeight="true" outlineLevel="0" collapsed="false">
      <c r="D66" s="21"/>
      <c r="E66" s="1" t="str">
        <f aca="false">IF(C66="","",CHOOSE(MIN(C66+1,8),0,1,3,7,15,30,60,90))</f>
        <v/>
      </c>
      <c r="F66" s="21" t="str">
        <f aca="true">IF(D66="","",MAX(D66,TODAY())+E66)</f>
        <v/>
      </c>
    </row>
    <row r="67" customFormat="false" ht="15" hidden="false" customHeight="true" outlineLevel="0" collapsed="false">
      <c r="D67" s="21"/>
      <c r="E67" s="1" t="str">
        <f aca="false">IF(C67="","",CHOOSE(MIN(C67+1,8),0,1,3,7,15,30,60,90))</f>
        <v/>
      </c>
      <c r="F67" s="21" t="str">
        <f aca="true">IF(D67="","",MAX(D67,TODAY())+E67)</f>
        <v/>
      </c>
    </row>
    <row r="68" customFormat="false" ht="15" hidden="false" customHeight="true" outlineLevel="0" collapsed="false">
      <c r="D68" s="21"/>
      <c r="E68" s="1" t="str">
        <f aca="false">IF(C68="","",CHOOSE(MIN(C68+1,8),0,1,3,7,15,30,60,90))</f>
        <v/>
      </c>
      <c r="F68" s="21" t="str">
        <f aca="true">IF(D68="","",MAX(D68,TODAY())+E68)</f>
        <v/>
      </c>
    </row>
    <row r="69" customFormat="false" ht="15" hidden="false" customHeight="true" outlineLevel="0" collapsed="false">
      <c r="D69" s="21"/>
      <c r="E69" s="1" t="str">
        <f aca="false">IF(C69="","",CHOOSE(MIN(C69+1,8),0,1,3,7,15,30,60,90))</f>
        <v/>
      </c>
      <c r="F69" s="21" t="str">
        <f aca="true">IF(D69="","",MAX(D69,TODAY())+E69)</f>
        <v/>
      </c>
    </row>
    <row r="70" customFormat="false" ht="15" hidden="false" customHeight="true" outlineLevel="0" collapsed="false">
      <c r="D70" s="21"/>
      <c r="E70" s="1" t="str">
        <f aca="false">IF(C70="","",CHOOSE(MIN(C70+1,8),0,1,3,7,15,30,60,90))</f>
        <v/>
      </c>
      <c r="F70" s="21" t="str">
        <f aca="true">IF(D70="","",MAX(D70,TODAY())+E70)</f>
        <v/>
      </c>
    </row>
    <row r="71" customFormat="false" ht="15" hidden="false" customHeight="true" outlineLevel="0" collapsed="false">
      <c r="D71" s="21"/>
      <c r="E71" s="1" t="str">
        <f aca="false">IF(C71="","",CHOOSE(MIN(C71+1,8),0,1,3,7,15,30,60,90))</f>
        <v/>
      </c>
      <c r="F71" s="21" t="str">
        <f aca="true">IF(D71="","",MAX(D71,TODAY())+E71)</f>
        <v/>
      </c>
    </row>
    <row r="72" customFormat="false" ht="15" hidden="false" customHeight="true" outlineLevel="0" collapsed="false">
      <c r="D72" s="21"/>
      <c r="E72" s="1" t="str">
        <f aca="false">IF(C72="","",CHOOSE(MIN(C72+1,8),0,1,3,7,15,30,60,90))</f>
        <v/>
      </c>
      <c r="F72" s="21" t="str">
        <f aca="true">IF(D72="","",MAX(D72,TODAY())+E72)</f>
        <v/>
      </c>
    </row>
    <row r="73" customFormat="false" ht="15" hidden="false" customHeight="true" outlineLevel="0" collapsed="false">
      <c r="D73" s="21"/>
      <c r="E73" s="1" t="str">
        <f aca="false">IF(C73="","",CHOOSE(MIN(C73+1,8),0,1,3,7,15,30,60,90))</f>
        <v/>
      </c>
      <c r="F73" s="21" t="str">
        <f aca="true">IF(D73="","",MAX(D73,TODAY())+E73)</f>
        <v/>
      </c>
    </row>
    <row r="74" customFormat="false" ht="15" hidden="false" customHeight="true" outlineLevel="0" collapsed="false">
      <c r="D74" s="21"/>
      <c r="E74" s="1" t="str">
        <f aca="false">IF(C74="","",CHOOSE(MIN(C74+1,8),0,1,3,7,15,30,60,90))</f>
        <v/>
      </c>
      <c r="F74" s="21" t="str">
        <f aca="true">IF(D74="","",MAX(D74,TODAY())+E74)</f>
        <v/>
      </c>
    </row>
    <row r="75" customFormat="false" ht="15" hidden="false" customHeight="true" outlineLevel="0" collapsed="false">
      <c r="D75" s="21"/>
      <c r="E75" s="1" t="str">
        <f aca="false">IF(C75="","",CHOOSE(MIN(C75+1,8),0,1,3,7,15,30,60,90))</f>
        <v/>
      </c>
      <c r="F75" s="21" t="str">
        <f aca="true">IF(D75="","",MAX(D75,TODAY())+E75)</f>
        <v/>
      </c>
    </row>
    <row r="76" customFormat="false" ht="15" hidden="false" customHeight="true" outlineLevel="0" collapsed="false">
      <c r="D76" s="21"/>
      <c r="E76" s="1" t="str">
        <f aca="false">IF(C76="","",CHOOSE(MIN(C76+1,8),0,1,3,7,15,30,60,90))</f>
        <v/>
      </c>
      <c r="F76" s="21" t="str">
        <f aca="true">IF(D76="","",MAX(D76,TODAY())+E76)</f>
        <v/>
      </c>
    </row>
    <row r="77" customFormat="false" ht="15" hidden="false" customHeight="true" outlineLevel="0" collapsed="false">
      <c r="D77" s="21"/>
      <c r="E77" s="1" t="str">
        <f aca="false">IF(C77="","",CHOOSE(MIN(C77+1,8),0,1,3,7,15,30,60,90))</f>
        <v/>
      </c>
      <c r="F77" s="21" t="str">
        <f aca="true">IF(D77="","",MAX(D77,TODAY())+E77)</f>
        <v/>
      </c>
    </row>
    <row r="78" customFormat="false" ht="15" hidden="false" customHeight="true" outlineLevel="0" collapsed="false">
      <c r="D78" s="21"/>
      <c r="E78" s="1" t="str">
        <f aca="false">IF(C78="","",CHOOSE(MIN(C78+1,8),0,1,3,7,15,30,60,90))</f>
        <v/>
      </c>
      <c r="F78" s="21" t="str">
        <f aca="true">IF(D78="","",MAX(D78,TODAY())+E78)</f>
        <v/>
      </c>
    </row>
    <row r="79" customFormat="false" ht="15" hidden="false" customHeight="true" outlineLevel="0" collapsed="false">
      <c r="D79" s="21"/>
      <c r="E79" s="1" t="str">
        <f aca="false">IF(C79="","",CHOOSE(MIN(C79+1,8),0,1,3,7,15,30,60,90))</f>
        <v/>
      </c>
      <c r="F79" s="21" t="str">
        <f aca="true">IF(D79="","",MAX(D79,TODAY())+E79)</f>
        <v/>
      </c>
    </row>
    <row r="80" customFormat="false" ht="15" hidden="false" customHeight="true" outlineLevel="0" collapsed="false">
      <c r="D80" s="21"/>
      <c r="E80" s="1" t="str">
        <f aca="false">IF(C80="","",CHOOSE(MIN(C80+1,8),0,1,3,7,15,30,60,90))</f>
        <v/>
      </c>
      <c r="F80" s="21" t="str">
        <f aca="true">IF(D80="","",MAX(D80,TODAY())+E80)</f>
        <v/>
      </c>
    </row>
    <row r="81" customFormat="false" ht="15" hidden="false" customHeight="true" outlineLevel="0" collapsed="false">
      <c r="D81" s="21"/>
      <c r="E81" s="1" t="str">
        <f aca="false">IF(C81="","",CHOOSE(MIN(C81+1,8),0,1,3,7,15,30,60,90))</f>
        <v/>
      </c>
      <c r="F81" s="21" t="str">
        <f aca="true">IF(D81="","",MAX(D81,TODAY())+E81)</f>
        <v/>
      </c>
    </row>
    <row r="82" customFormat="false" ht="15" hidden="false" customHeight="true" outlineLevel="0" collapsed="false">
      <c r="D82" s="21"/>
      <c r="E82" s="1" t="str">
        <f aca="false">IF(C82="","",CHOOSE(MIN(C82+1,8),0,1,3,7,15,30,60,90))</f>
        <v/>
      </c>
      <c r="F82" s="21" t="str">
        <f aca="true">IF(D82="","",MAX(D82,TODAY())+E82)</f>
        <v/>
      </c>
    </row>
    <row r="83" customFormat="false" ht="15" hidden="false" customHeight="true" outlineLevel="0" collapsed="false">
      <c r="D83" s="21"/>
      <c r="E83" s="1" t="str">
        <f aca="false">IF(C83="","",CHOOSE(MIN(C83+1,8),0,1,3,7,15,30,60,90))</f>
        <v/>
      </c>
      <c r="F83" s="21" t="str">
        <f aca="true">IF(D83="","",MAX(D83,TODAY())+E83)</f>
        <v/>
      </c>
    </row>
    <row r="84" customFormat="false" ht="15" hidden="false" customHeight="true" outlineLevel="0" collapsed="false">
      <c r="D84" s="21"/>
      <c r="E84" s="1" t="str">
        <f aca="false">IF(C84="","",CHOOSE(MIN(C84+1,8),0,1,3,7,15,30,60,90))</f>
        <v/>
      </c>
      <c r="F84" s="21" t="str">
        <f aca="true">IF(D84="","",MAX(D84,TODAY())+E84)</f>
        <v/>
      </c>
    </row>
    <row r="85" customFormat="false" ht="15" hidden="false" customHeight="true" outlineLevel="0" collapsed="false">
      <c r="D85" s="21"/>
      <c r="E85" s="1" t="str">
        <f aca="false">IF(C85="","",CHOOSE(MIN(C85+1,8),0,1,3,7,15,30,60,90))</f>
        <v/>
      </c>
      <c r="F85" s="21" t="str">
        <f aca="true">IF(D85="","",MAX(D85,TODAY())+E85)</f>
        <v/>
      </c>
    </row>
    <row r="86" customFormat="false" ht="15" hidden="false" customHeight="true" outlineLevel="0" collapsed="false">
      <c r="D86" s="21"/>
      <c r="E86" s="1" t="str">
        <f aca="false">IF(C86="","",CHOOSE(MIN(C86+1,8),0,1,3,7,15,30,60,90))</f>
        <v/>
      </c>
      <c r="F86" s="21" t="str">
        <f aca="true">IF(D86="","",MAX(D86,TODAY())+E86)</f>
        <v/>
      </c>
    </row>
    <row r="87" customFormat="false" ht="15" hidden="false" customHeight="true" outlineLevel="0" collapsed="false">
      <c r="D87" s="21"/>
      <c r="E87" s="1" t="str">
        <f aca="false">IF(C87="","",CHOOSE(MIN(C87+1,8),0,1,3,7,15,30,60,90))</f>
        <v/>
      </c>
      <c r="F87" s="21" t="str">
        <f aca="true">IF(D87="","",MAX(D87,TODAY())+E87)</f>
        <v/>
      </c>
    </row>
    <row r="88" customFormat="false" ht="15" hidden="false" customHeight="true" outlineLevel="0" collapsed="false">
      <c r="D88" s="21"/>
      <c r="E88" s="1" t="str">
        <f aca="false">IF(C88="","",CHOOSE(MIN(C88+1,8),0,1,3,7,15,30,60,90))</f>
        <v/>
      </c>
      <c r="F88" s="21" t="str">
        <f aca="true">IF(D88="","",MAX(D88,TODAY())+E88)</f>
        <v/>
      </c>
    </row>
    <row r="89" customFormat="false" ht="15" hidden="false" customHeight="true" outlineLevel="0" collapsed="false">
      <c r="D89" s="21"/>
      <c r="E89" s="1" t="str">
        <f aca="false">IF(C89="","",CHOOSE(MIN(C89+1,8),0,1,3,7,15,30,60,90))</f>
        <v/>
      </c>
      <c r="F89" s="21" t="str">
        <f aca="true">IF(D89="","",MAX(D89,TODAY())+E89)</f>
        <v/>
      </c>
    </row>
    <row r="90" customFormat="false" ht="15" hidden="false" customHeight="true" outlineLevel="0" collapsed="false">
      <c r="D90" s="21"/>
      <c r="E90" s="1" t="str">
        <f aca="false">IF(C90="","",CHOOSE(MIN(C90+1,8),0,1,3,7,15,30,60,90))</f>
        <v/>
      </c>
      <c r="F90" s="21" t="str">
        <f aca="true">IF(D90="","",MAX(D90,TODAY())+E90)</f>
        <v/>
      </c>
    </row>
    <row r="91" customFormat="false" ht="15" hidden="false" customHeight="true" outlineLevel="0" collapsed="false">
      <c r="D91" s="21"/>
      <c r="E91" s="1" t="str">
        <f aca="false">IF(C91="","",CHOOSE(MIN(C91+1,8),0,1,3,7,15,30,60,90))</f>
        <v/>
      </c>
      <c r="F91" s="21" t="str">
        <f aca="true">IF(D91="","",MAX(D91,TODAY())+E91)</f>
        <v/>
      </c>
    </row>
    <row r="92" customFormat="false" ht="15" hidden="false" customHeight="true" outlineLevel="0" collapsed="false">
      <c r="D92" s="21"/>
      <c r="E92" s="1" t="str">
        <f aca="false">IF(C92="","",CHOOSE(MIN(C92+1,8),0,1,3,7,15,30,60,90))</f>
        <v/>
      </c>
      <c r="F92" s="21" t="str">
        <f aca="true">IF(D92="","",MAX(D92,TODAY())+E92)</f>
        <v/>
      </c>
    </row>
    <row r="93" customFormat="false" ht="15" hidden="false" customHeight="true" outlineLevel="0" collapsed="false">
      <c r="D93" s="21"/>
      <c r="E93" s="1" t="str">
        <f aca="false">IF(C93="","",CHOOSE(MIN(C93+1,8),0,1,3,7,15,30,60,90))</f>
        <v/>
      </c>
      <c r="F93" s="21" t="str">
        <f aca="true">IF(D93="","",MAX(D93,TODAY())+E93)</f>
        <v/>
      </c>
    </row>
    <row r="94" customFormat="false" ht="15" hidden="false" customHeight="true" outlineLevel="0" collapsed="false">
      <c r="D94" s="21"/>
      <c r="E94" s="1" t="str">
        <f aca="false">IF(C94="","",CHOOSE(MIN(C94+1,8),0,1,3,7,15,30,60,90))</f>
        <v/>
      </c>
      <c r="F94" s="21" t="str">
        <f aca="true">IF(D94="","",MAX(D94,TODAY())+E94)</f>
        <v/>
      </c>
    </row>
    <row r="95" customFormat="false" ht="15" hidden="false" customHeight="true" outlineLevel="0" collapsed="false">
      <c r="D95" s="21"/>
      <c r="E95" s="1" t="str">
        <f aca="false">IF(C95="","",CHOOSE(MIN(C95+1,8),0,1,3,7,15,30,60,90))</f>
        <v/>
      </c>
      <c r="F95" s="21" t="str">
        <f aca="true">IF(D95="","",MAX(D95,TODAY())+E95)</f>
        <v/>
      </c>
    </row>
    <row r="96" customFormat="false" ht="15" hidden="false" customHeight="true" outlineLevel="0" collapsed="false">
      <c r="D96" s="21"/>
      <c r="E96" s="1" t="str">
        <f aca="false">IF(C96="","",CHOOSE(MIN(C96+1,8),0,1,3,7,15,30,60,90))</f>
        <v/>
      </c>
      <c r="F96" s="21" t="str">
        <f aca="true">IF(D96="","",MAX(D96,TODAY())+E96)</f>
        <v/>
      </c>
    </row>
    <row r="97" customFormat="false" ht="15" hidden="false" customHeight="true" outlineLevel="0" collapsed="false">
      <c r="D97" s="21"/>
      <c r="E97" s="1" t="str">
        <f aca="false">IF(C97="","",CHOOSE(MIN(C97+1,8),0,1,3,7,15,30,60,90))</f>
        <v/>
      </c>
      <c r="F97" s="21" t="str">
        <f aca="true">IF(D97="","",MAX(D97,TODAY())+E97)</f>
        <v/>
      </c>
    </row>
    <row r="98" customFormat="false" ht="15" hidden="false" customHeight="true" outlineLevel="0" collapsed="false">
      <c r="D98" s="21"/>
      <c r="E98" s="1" t="str">
        <f aca="false">IF(C98="","",CHOOSE(MIN(C98+1,8),0,1,3,7,15,30,60,90))</f>
        <v/>
      </c>
      <c r="F98" s="21" t="str">
        <f aca="true">IF(D98="","",MAX(D98,TODAY())+E98)</f>
        <v/>
      </c>
    </row>
    <row r="99" customFormat="false" ht="15" hidden="false" customHeight="true" outlineLevel="0" collapsed="false">
      <c r="D99" s="21"/>
      <c r="E99" s="1" t="str">
        <f aca="false">IF(C99="","",CHOOSE(MIN(C99+1,8),0,1,3,7,15,30,60,90))</f>
        <v/>
      </c>
      <c r="F99" s="21" t="str">
        <f aca="true">IF(D99="","",MAX(D99,TODAY())+E99)</f>
        <v/>
      </c>
    </row>
    <row r="100" customFormat="false" ht="15" hidden="false" customHeight="true" outlineLevel="0" collapsed="false">
      <c r="D100" s="21"/>
      <c r="E100" s="1" t="str">
        <f aca="false">IF(C100="","",CHOOSE(MIN(C100+1,8),0,1,3,7,15,30,60,90))</f>
        <v/>
      </c>
      <c r="F100" s="21" t="str">
        <f aca="true">IF(D100="","",MAX(D100,TODAY())+E100)</f>
        <v/>
      </c>
    </row>
    <row r="101" customFormat="false" ht="15" hidden="false" customHeight="true" outlineLevel="0" collapsed="false">
      <c r="D101" s="21"/>
      <c r="E101" s="1" t="str">
        <f aca="false">IF(C101="","",CHOOSE(MIN(C101+1,8),0,1,3,7,15,30,60,90))</f>
        <v/>
      </c>
      <c r="F101" s="21" t="str">
        <f aca="true">IF(D101="","",MAX(D101,TODAY())+E101)</f>
        <v/>
      </c>
    </row>
    <row r="102" customFormat="false" ht="15" hidden="false" customHeight="true" outlineLevel="0" collapsed="false">
      <c r="D102" s="21"/>
      <c r="E102" s="1" t="str">
        <f aca="false">IF(C102="","",CHOOSE(MIN(C102+1,8),0,1,3,7,15,30,60,90))</f>
        <v/>
      </c>
      <c r="F102" s="21" t="str">
        <f aca="true">IF(D102="","",MAX(D102,TODAY())+E102)</f>
        <v/>
      </c>
    </row>
    <row r="103" customFormat="false" ht="15" hidden="false" customHeight="true" outlineLevel="0" collapsed="false">
      <c r="D103" s="21"/>
      <c r="E103" s="1" t="str">
        <f aca="false">IF(C103="","",CHOOSE(MIN(C103+1,8),0,1,3,7,15,30,60,90))</f>
        <v/>
      </c>
      <c r="F103" s="21" t="str">
        <f aca="true">IF(D103="","",MAX(D103,TODAY())+E103)</f>
        <v/>
      </c>
    </row>
    <row r="104" customFormat="false" ht="15" hidden="false" customHeight="true" outlineLevel="0" collapsed="false">
      <c r="D104" s="21"/>
      <c r="E104" s="1" t="str">
        <f aca="false">IF(C104="","",CHOOSE(MIN(C104+1,8),0,1,3,7,15,30,60,90))</f>
        <v/>
      </c>
      <c r="F104" s="21" t="str">
        <f aca="true">IF(D104="","",MAX(D104,TODAY())+E104)</f>
        <v/>
      </c>
    </row>
    <row r="105" customFormat="false" ht="15" hidden="false" customHeight="true" outlineLevel="0" collapsed="false">
      <c r="D105" s="21"/>
      <c r="E105" s="1" t="str">
        <f aca="false">IF(C105="","",CHOOSE(MIN(C105+1,8),0,1,3,7,15,30,60,90))</f>
        <v/>
      </c>
      <c r="F105" s="21" t="str">
        <f aca="true">IF(D105="","",MAX(D105,TODAY())+E105)</f>
        <v/>
      </c>
    </row>
    <row r="106" customFormat="false" ht="15" hidden="false" customHeight="true" outlineLevel="0" collapsed="false">
      <c r="D106" s="21"/>
      <c r="E106" s="1" t="str">
        <f aca="false">IF(C106="","",CHOOSE(MIN(C106+1,8),0,1,3,7,15,30,60,90))</f>
        <v/>
      </c>
      <c r="F106" s="21" t="str">
        <f aca="true">IF(D106="","",MAX(D106,TODAY())+E106)</f>
        <v/>
      </c>
    </row>
    <row r="107" customFormat="false" ht="15" hidden="false" customHeight="true" outlineLevel="0" collapsed="false">
      <c r="D107" s="21"/>
      <c r="E107" s="1" t="str">
        <f aca="false">IF(C107="","",CHOOSE(MIN(C107+1,8),0,1,3,7,15,30,60,90))</f>
        <v/>
      </c>
      <c r="F107" s="21" t="str">
        <f aca="true">IF(D107="","",MAX(D107,TODAY())+E107)</f>
        <v/>
      </c>
    </row>
    <row r="108" customFormat="false" ht="15" hidden="false" customHeight="true" outlineLevel="0" collapsed="false">
      <c r="D108" s="21"/>
      <c r="E108" s="1" t="str">
        <f aca="false">IF(C108="","",CHOOSE(MIN(C108+1,8),0,1,3,7,15,30,60,90))</f>
        <v/>
      </c>
      <c r="F108" s="21" t="str">
        <f aca="true">IF(D108="","",MAX(D108,TODAY())+E108)</f>
        <v/>
      </c>
    </row>
    <row r="109" customFormat="false" ht="15" hidden="false" customHeight="true" outlineLevel="0" collapsed="false">
      <c r="D109" s="21"/>
      <c r="E109" s="1" t="str">
        <f aca="false">IF(C109="","",CHOOSE(MIN(C109+1,8),0,1,3,7,15,30,60,90))</f>
        <v/>
      </c>
      <c r="F109" s="21" t="str">
        <f aca="true">IF(D109="","",MAX(D109,TODAY())+E109)</f>
        <v/>
      </c>
    </row>
    <row r="110" customFormat="false" ht="15" hidden="false" customHeight="true" outlineLevel="0" collapsed="false">
      <c r="D110" s="21"/>
      <c r="E110" s="1" t="str">
        <f aca="false">IF(C110="","",CHOOSE(MIN(C110+1,8),0,1,3,7,15,30,60,90))</f>
        <v/>
      </c>
      <c r="F110" s="21" t="str">
        <f aca="true">IF(D110="","",MAX(D110,TODAY())+E110)</f>
        <v/>
      </c>
    </row>
    <row r="111" customFormat="false" ht="15" hidden="false" customHeight="true" outlineLevel="0" collapsed="false">
      <c r="D111" s="21"/>
      <c r="E111" s="1" t="str">
        <f aca="false">IF(C111="","",CHOOSE(MIN(C111+1,8),0,1,3,7,15,30,60,90))</f>
        <v/>
      </c>
      <c r="F111" s="21" t="str">
        <f aca="true">IF(D111="","",MAX(D111,TODAY())+E111)</f>
        <v/>
      </c>
    </row>
    <row r="112" customFormat="false" ht="15" hidden="false" customHeight="true" outlineLevel="0" collapsed="false">
      <c r="D112" s="21"/>
      <c r="E112" s="1" t="str">
        <f aca="false">IF(C112="","",CHOOSE(MIN(C112+1,8),0,1,3,7,15,30,60,90))</f>
        <v/>
      </c>
      <c r="F112" s="21" t="str">
        <f aca="true">IF(D112="","",MAX(D112,TODAY())+E112)</f>
        <v/>
      </c>
    </row>
    <row r="113" customFormat="false" ht="15" hidden="false" customHeight="true" outlineLevel="0" collapsed="false">
      <c r="D113" s="21"/>
      <c r="E113" s="1" t="str">
        <f aca="false">IF(C113="","",CHOOSE(MIN(C113+1,8),0,1,3,7,15,30,60,90))</f>
        <v/>
      </c>
      <c r="F113" s="21" t="str">
        <f aca="true">IF(D113="","",MAX(D113,TODAY())+E113)</f>
        <v/>
      </c>
    </row>
    <row r="114" customFormat="false" ht="15" hidden="false" customHeight="true" outlineLevel="0" collapsed="false">
      <c r="D114" s="21"/>
      <c r="E114" s="1" t="str">
        <f aca="false">IF(C114="","",CHOOSE(MIN(C114+1,8),0,1,3,7,15,30,60,90))</f>
        <v/>
      </c>
      <c r="F114" s="21" t="str">
        <f aca="true">IF(D114="","",MAX(D114,TODAY())+E114)</f>
        <v/>
      </c>
    </row>
    <row r="115" customFormat="false" ht="15" hidden="false" customHeight="true" outlineLevel="0" collapsed="false">
      <c r="D115" s="21"/>
      <c r="E115" s="1" t="str">
        <f aca="false">IF(C115="","",CHOOSE(MIN(C115+1,8),0,1,3,7,15,30,60,90))</f>
        <v/>
      </c>
      <c r="F115" s="21" t="str">
        <f aca="true">IF(D115="","",MAX(D115,TODAY())+E115)</f>
        <v/>
      </c>
    </row>
    <row r="116" customFormat="false" ht="15" hidden="false" customHeight="true" outlineLevel="0" collapsed="false">
      <c r="D116" s="21"/>
      <c r="E116" s="1" t="str">
        <f aca="false">IF(C116="","",CHOOSE(MIN(C116+1,8),0,1,3,7,15,30,60,90))</f>
        <v/>
      </c>
      <c r="F116" s="21" t="str">
        <f aca="true">IF(D116="","",MAX(D116,TODAY())+E116)</f>
        <v/>
      </c>
    </row>
    <row r="117" customFormat="false" ht="15" hidden="false" customHeight="true" outlineLevel="0" collapsed="false">
      <c r="D117" s="21"/>
      <c r="E117" s="1" t="str">
        <f aca="false">IF(C117="","",CHOOSE(MIN(C117+1,8),0,1,3,7,15,30,60,90))</f>
        <v/>
      </c>
      <c r="F117" s="21" t="str">
        <f aca="true">IF(D117="","",MAX(D117,TODAY())+E117)</f>
        <v/>
      </c>
    </row>
    <row r="118" customFormat="false" ht="15" hidden="false" customHeight="true" outlineLevel="0" collapsed="false">
      <c r="D118" s="21"/>
      <c r="E118" s="1" t="str">
        <f aca="false">IF(C118="","",CHOOSE(MIN(C118+1,8),0,1,3,7,15,30,60,90))</f>
        <v/>
      </c>
      <c r="F118" s="21" t="str">
        <f aca="true">IF(D118="","",MAX(D118,TODAY())+E118)</f>
        <v/>
      </c>
    </row>
    <row r="119" customFormat="false" ht="15" hidden="false" customHeight="true" outlineLevel="0" collapsed="false">
      <c r="D119" s="21"/>
      <c r="E119" s="1" t="str">
        <f aca="false">IF(C119="","",CHOOSE(MIN(C119+1,8),0,1,3,7,15,30,60,90))</f>
        <v/>
      </c>
      <c r="F119" s="21" t="str">
        <f aca="true">IF(D119="","",MAX(D119,TODAY())+E119)</f>
        <v/>
      </c>
    </row>
    <row r="120" customFormat="false" ht="15" hidden="false" customHeight="true" outlineLevel="0" collapsed="false">
      <c r="D120" s="21"/>
      <c r="E120" s="1" t="str">
        <f aca="false">IF(C120="","",CHOOSE(MIN(C120+1,8),0,1,3,7,15,30,60,90))</f>
        <v/>
      </c>
      <c r="F120" s="21" t="str">
        <f aca="true">IF(D120="","",MAX(D120,TODAY())+E120)</f>
        <v/>
      </c>
    </row>
    <row r="121" customFormat="false" ht="15" hidden="false" customHeight="true" outlineLevel="0" collapsed="false">
      <c r="D121" s="21"/>
      <c r="E121" s="1" t="str">
        <f aca="false">IF(C121="","",CHOOSE(MIN(C121+1,8),0,1,3,7,15,30,60,90))</f>
        <v/>
      </c>
      <c r="F121" s="21" t="str">
        <f aca="true">IF(D121="","",MAX(D121,TODAY())+E121)</f>
        <v/>
      </c>
    </row>
    <row r="122" customFormat="false" ht="15" hidden="false" customHeight="true" outlineLevel="0" collapsed="false">
      <c r="D122" s="21"/>
      <c r="E122" s="1" t="str">
        <f aca="false">IF(C122="","",CHOOSE(MIN(C122+1,8),0,1,3,7,15,30,60,90))</f>
        <v/>
      </c>
      <c r="F122" s="21" t="str">
        <f aca="true">IF(D122="","",MAX(D122,TODAY())+E122)</f>
        <v/>
      </c>
    </row>
    <row r="123" customFormat="false" ht="15" hidden="false" customHeight="true" outlineLevel="0" collapsed="false">
      <c r="D123" s="21"/>
      <c r="E123" s="1" t="str">
        <f aca="false">IF(C123="","",CHOOSE(MIN(C123+1,8),0,1,3,7,15,30,60,90))</f>
        <v/>
      </c>
      <c r="F123" s="21" t="str">
        <f aca="true">IF(D123="","",MAX(D123,TODAY())+E123)</f>
        <v/>
      </c>
    </row>
    <row r="124" customFormat="false" ht="15" hidden="false" customHeight="true" outlineLevel="0" collapsed="false">
      <c r="D124" s="21"/>
      <c r="E124" s="1" t="str">
        <f aca="false">IF(C124="","",CHOOSE(MIN(C124+1,8),0,1,3,7,15,30,60,90))</f>
        <v/>
      </c>
      <c r="F124" s="21" t="str">
        <f aca="true">IF(D124="","",MAX(D124,TODAY())+E124)</f>
        <v/>
      </c>
    </row>
    <row r="125" customFormat="false" ht="15" hidden="false" customHeight="true" outlineLevel="0" collapsed="false">
      <c r="D125" s="21"/>
      <c r="E125" s="1" t="str">
        <f aca="false">IF(C125="","",CHOOSE(MIN(C125+1,8),0,1,3,7,15,30,60,90))</f>
        <v/>
      </c>
      <c r="F125" s="21" t="str">
        <f aca="true">IF(D125="","",MAX(D125,TODAY())+E125)</f>
        <v/>
      </c>
    </row>
    <row r="126" customFormat="false" ht="15" hidden="false" customHeight="true" outlineLevel="0" collapsed="false">
      <c r="D126" s="21"/>
      <c r="E126" s="1" t="str">
        <f aca="false">IF(C126="","",CHOOSE(MIN(C126+1,8),0,1,3,7,15,30,60,90))</f>
        <v/>
      </c>
      <c r="F126" s="21" t="str">
        <f aca="true">IF(D126="","",MAX(D126,TODAY())+E126)</f>
        <v/>
      </c>
    </row>
    <row r="127" customFormat="false" ht="15" hidden="false" customHeight="true" outlineLevel="0" collapsed="false">
      <c r="D127" s="21"/>
      <c r="E127" s="1" t="str">
        <f aca="false">IF(C127="","",CHOOSE(MIN(C127+1,8),0,1,3,7,15,30,60,90))</f>
        <v/>
      </c>
      <c r="F127" s="21" t="str">
        <f aca="true">IF(D127="","",MAX(D127,TODAY())+E127)</f>
        <v/>
      </c>
    </row>
    <row r="128" customFormat="false" ht="15" hidden="false" customHeight="true" outlineLevel="0" collapsed="false">
      <c r="D128" s="21"/>
      <c r="E128" s="1" t="str">
        <f aca="false">IF(C128="","",CHOOSE(MIN(C128+1,8),0,1,3,7,15,30,60,90))</f>
        <v/>
      </c>
      <c r="F128" s="21" t="str">
        <f aca="true">IF(D128="","",MAX(D128,TODAY())+E128)</f>
        <v/>
      </c>
    </row>
    <row r="129" customFormat="false" ht="15" hidden="false" customHeight="true" outlineLevel="0" collapsed="false">
      <c r="D129" s="21"/>
      <c r="E129" s="1" t="str">
        <f aca="false">IF(C129="","",CHOOSE(MIN(C129+1,8),0,1,3,7,15,30,60,90))</f>
        <v/>
      </c>
      <c r="F129" s="21" t="str">
        <f aca="true">IF(D129="","",MAX(D129,TODAY())+E129)</f>
        <v/>
      </c>
    </row>
    <row r="130" customFormat="false" ht="15" hidden="false" customHeight="true" outlineLevel="0" collapsed="false">
      <c r="D130" s="21"/>
      <c r="E130" s="1" t="str">
        <f aca="false">IF(C130="","",CHOOSE(MIN(C130+1,8),0,1,3,7,15,30,60,90))</f>
        <v/>
      </c>
      <c r="F130" s="21" t="str">
        <f aca="true">IF(D130="","",MAX(D130,TODAY())+E130)</f>
        <v/>
      </c>
    </row>
    <row r="131" customFormat="false" ht="15" hidden="false" customHeight="true" outlineLevel="0" collapsed="false">
      <c r="D131" s="21"/>
      <c r="E131" s="1" t="str">
        <f aca="false">IF(C131="","",CHOOSE(MIN(C131+1,8),0,1,3,7,15,30,60,90))</f>
        <v/>
      </c>
      <c r="F131" s="21" t="str">
        <f aca="true">IF(D131="","",MAX(D131,TODAY())+E131)</f>
        <v/>
      </c>
    </row>
    <row r="132" customFormat="false" ht="15" hidden="false" customHeight="true" outlineLevel="0" collapsed="false">
      <c r="D132" s="21"/>
      <c r="E132" s="1" t="str">
        <f aca="false">IF(C132="","",CHOOSE(MIN(C132+1,8),0,1,3,7,15,30,60,90))</f>
        <v/>
      </c>
      <c r="F132" s="21" t="str">
        <f aca="true">IF(D132="","",MAX(D132,TODAY())+E132)</f>
        <v/>
      </c>
    </row>
    <row r="133" customFormat="false" ht="15" hidden="false" customHeight="true" outlineLevel="0" collapsed="false">
      <c r="D133" s="21"/>
      <c r="E133" s="1" t="str">
        <f aca="false">IF(C133="","",CHOOSE(MIN(C133+1,8),0,1,3,7,15,30,60,90))</f>
        <v/>
      </c>
      <c r="F133" s="21" t="str">
        <f aca="true">IF(D133="","",MAX(D133,TODAY())+E133)</f>
        <v/>
      </c>
    </row>
    <row r="134" customFormat="false" ht="15" hidden="false" customHeight="true" outlineLevel="0" collapsed="false">
      <c r="D134" s="21"/>
      <c r="E134" s="1" t="str">
        <f aca="false">IF(C134="","",CHOOSE(MIN(C134+1,8),0,1,3,7,15,30,60,90))</f>
        <v/>
      </c>
      <c r="F134" s="21" t="str">
        <f aca="true">IF(D134="","",MAX(D134,TODAY())+E134)</f>
        <v/>
      </c>
    </row>
    <row r="135" customFormat="false" ht="15" hidden="false" customHeight="true" outlineLevel="0" collapsed="false">
      <c r="D135" s="21"/>
      <c r="E135" s="1" t="str">
        <f aca="false">IF(C135="","",CHOOSE(MIN(C135+1,8),0,1,3,7,15,30,60,90))</f>
        <v/>
      </c>
      <c r="F135" s="21" t="str">
        <f aca="true">IF(D135="","",MAX(D135,TODAY())+E135)</f>
        <v/>
      </c>
    </row>
    <row r="136" customFormat="false" ht="15" hidden="false" customHeight="true" outlineLevel="0" collapsed="false">
      <c r="D136" s="21"/>
      <c r="E136" s="1" t="str">
        <f aca="false">IF(C136="","",CHOOSE(MIN(C136+1,8),0,1,3,7,15,30,60,90))</f>
        <v/>
      </c>
      <c r="F136" s="21" t="str">
        <f aca="true">IF(D136="","",MAX(D136,TODAY())+E136)</f>
        <v/>
      </c>
    </row>
    <row r="137" customFormat="false" ht="15" hidden="false" customHeight="true" outlineLevel="0" collapsed="false">
      <c r="D137" s="21"/>
      <c r="E137" s="1" t="str">
        <f aca="false">IF(C137="","",CHOOSE(MIN(C137+1,8),0,1,3,7,15,30,60,90))</f>
        <v/>
      </c>
      <c r="F137" s="21" t="str">
        <f aca="true">IF(D137="","",MAX(D137,TODAY())+E137)</f>
        <v/>
      </c>
    </row>
    <row r="138" customFormat="false" ht="15" hidden="false" customHeight="true" outlineLevel="0" collapsed="false">
      <c r="D138" s="21"/>
      <c r="E138" s="1" t="str">
        <f aca="false">IF(C138="","",CHOOSE(MIN(C138+1,8),0,1,3,7,15,30,60,90))</f>
        <v/>
      </c>
      <c r="F138" s="21" t="str">
        <f aca="true">IF(D138="","",MAX(D138,TODAY())+E138)</f>
        <v/>
      </c>
    </row>
    <row r="139" customFormat="false" ht="15" hidden="false" customHeight="true" outlineLevel="0" collapsed="false">
      <c r="D139" s="21"/>
      <c r="E139" s="1" t="str">
        <f aca="false">IF(C139="","",CHOOSE(MIN(C139+1,8),0,1,3,7,15,30,60,90))</f>
        <v/>
      </c>
      <c r="F139" s="21" t="str">
        <f aca="true">IF(D139="","",MAX(D139,TODAY())+E139)</f>
        <v/>
      </c>
    </row>
    <row r="140" customFormat="false" ht="15" hidden="false" customHeight="true" outlineLevel="0" collapsed="false">
      <c r="D140" s="21"/>
      <c r="E140" s="1" t="str">
        <f aca="false">IF(C140="","",CHOOSE(MIN(C140+1,8),0,1,3,7,15,30,60,90))</f>
        <v/>
      </c>
      <c r="F140" s="21" t="str">
        <f aca="true">IF(D140="","",MAX(D140,TODAY())+E140)</f>
        <v/>
      </c>
    </row>
    <row r="141" customFormat="false" ht="15" hidden="false" customHeight="true" outlineLevel="0" collapsed="false">
      <c r="D141" s="21"/>
      <c r="E141" s="1" t="str">
        <f aca="false">IF(C141="","",CHOOSE(MIN(C141+1,8),0,1,3,7,15,30,60,90))</f>
        <v/>
      </c>
      <c r="F141" s="21" t="str">
        <f aca="true">IF(D141="","",MAX(D141,TODAY())+E141)</f>
        <v/>
      </c>
    </row>
    <row r="142" customFormat="false" ht="15" hidden="false" customHeight="true" outlineLevel="0" collapsed="false">
      <c r="D142" s="21"/>
      <c r="E142" s="1" t="str">
        <f aca="false">IF(C142="","",CHOOSE(MIN(C142+1,8),0,1,3,7,15,30,60,90))</f>
        <v/>
      </c>
      <c r="F142" s="21" t="str">
        <f aca="true">IF(D142="","",MAX(D142,TODAY())+E142)</f>
        <v/>
      </c>
    </row>
    <row r="143" customFormat="false" ht="15" hidden="false" customHeight="true" outlineLevel="0" collapsed="false">
      <c r="D143" s="21"/>
      <c r="E143" s="1" t="str">
        <f aca="false">IF(C143="","",CHOOSE(MIN(C143+1,8),0,1,3,7,15,30,60,90))</f>
        <v/>
      </c>
      <c r="F143" s="21" t="str">
        <f aca="true">IF(D143="","",MAX(D143,TODAY())+E143)</f>
        <v/>
      </c>
    </row>
    <row r="144" customFormat="false" ht="15" hidden="false" customHeight="true" outlineLevel="0" collapsed="false">
      <c r="D144" s="21"/>
      <c r="E144" s="1" t="str">
        <f aca="false">IF(C144="","",CHOOSE(MIN(C144+1,8),0,1,3,7,15,30,60,90))</f>
        <v/>
      </c>
      <c r="F144" s="21" t="str">
        <f aca="true">IF(D144="","",MAX(D144,TODAY())+E144)</f>
        <v/>
      </c>
    </row>
    <row r="145" customFormat="false" ht="15" hidden="false" customHeight="true" outlineLevel="0" collapsed="false">
      <c r="D145" s="21"/>
      <c r="E145" s="1" t="str">
        <f aca="false">IF(C145="","",CHOOSE(MIN(C145+1,8),0,1,3,7,15,30,60,90))</f>
        <v/>
      </c>
      <c r="F145" s="21" t="str">
        <f aca="true">IF(D145="","",MAX(D145,TODAY())+E145)</f>
        <v/>
      </c>
    </row>
    <row r="146" customFormat="false" ht="15" hidden="false" customHeight="true" outlineLevel="0" collapsed="false">
      <c r="D146" s="21"/>
      <c r="E146" s="1" t="str">
        <f aca="false">IF(C146="","",CHOOSE(MIN(C146+1,8),0,1,3,7,15,30,60,90))</f>
        <v/>
      </c>
      <c r="F146" s="21" t="str">
        <f aca="true">IF(D146="","",MAX(D146,TODAY())+E146)</f>
        <v/>
      </c>
    </row>
    <row r="147" customFormat="false" ht="15" hidden="false" customHeight="true" outlineLevel="0" collapsed="false">
      <c r="D147" s="21"/>
      <c r="E147" s="1" t="str">
        <f aca="false">IF(C147="","",CHOOSE(MIN(C147+1,8),0,1,3,7,15,30,60,90))</f>
        <v/>
      </c>
      <c r="F147" s="21" t="str">
        <f aca="true">IF(D147="","",MAX(D147,TODAY())+E147)</f>
        <v/>
      </c>
    </row>
    <row r="148" customFormat="false" ht="15" hidden="false" customHeight="true" outlineLevel="0" collapsed="false">
      <c r="D148" s="21"/>
      <c r="E148" s="1" t="str">
        <f aca="false">IF(C148="","",CHOOSE(MIN(C148+1,8),0,1,3,7,15,30,60,90))</f>
        <v/>
      </c>
      <c r="F148" s="21" t="str">
        <f aca="true">IF(D148="","",MAX(D148,TODAY())+E148)</f>
        <v/>
      </c>
    </row>
    <row r="149" customFormat="false" ht="15" hidden="false" customHeight="true" outlineLevel="0" collapsed="false">
      <c r="D149" s="21"/>
      <c r="E149" s="1" t="str">
        <f aca="false">IF(C149="","",CHOOSE(MIN(C149+1,8),0,1,3,7,15,30,60,90))</f>
        <v/>
      </c>
      <c r="F149" s="21" t="str">
        <f aca="true">IF(D149="","",MAX(D149,TODAY())+E149)</f>
        <v/>
      </c>
    </row>
    <row r="150" customFormat="false" ht="15" hidden="false" customHeight="true" outlineLevel="0" collapsed="false">
      <c r="D150" s="21"/>
      <c r="E150" s="1" t="str">
        <f aca="false">IF(C150="","",CHOOSE(MIN(C150+1,8),0,1,3,7,15,30,60,90))</f>
        <v/>
      </c>
      <c r="F150" s="21" t="str">
        <f aca="true">IF(D150="","",MAX(D150,TODAY())+E150)</f>
        <v/>
      </c>
    </row>
    <row r="151" customFormat="false" ht="15" hidden="false" customHeight="true" outlineLevel="0" collapsed="false">
      <c r="D151" s="21"/>
      <c r="E151" s="1" t="str">
        <f aca="false">IF(C151="","",CHOOSE(MIN(C151+1,8),0,1,3,7,15,30,60,90))</f>
        <v/>
      </c>
      <c r="F151" s="21" t="str">
        <f aca="true">IF(D151="","",MAX(D151,TODAY())+E151)</f>
        <v/>
      </c>
    </row>
    <row r="152" customFormat="false" ht="15" hidden="false" customHeight="true" outlineLevel="0" collapsed="false">
      <c r="D152" s="21"/>
      <c r="E152" s="1" t="str">
        <f aca="false">IF(C152="","",CHOOSE(MIN(C152+1,8),0,1,3,7,15,30,60,90))</f>
        <v/>
      </c>
      <c r="F152" s="21" t="str">
        <f aca="true">IF(D152="","",MAX(D152,TODAY())+E152)</f>
        <v/>
      </c>
    </row>
    <row r="153" customFormat="false" ht="15" hidden="false" customHeight="true" outlineLevel="0" collapsed="false">
      <c r="D153" s="21"/>
      <c r="E153" s="1" t="str">
        <f aca="false">IF(C153="","",CHOOSE(MIN(C153+1,8),0,1,3,7,15,30,60,90))</f>
        <v/>
      </c>
      <c r="F153" s="21" t="str">
        <f aca="true">IF(D153="","",MAX(D153,TODAY())+E153)</f>
        <v/>
      </c>
    </row>
    <row r="154" customFormat="false" ht="15" hidden="false" customHeight="true" outlineLevel="0" collapsed="false">
      <c r="D154" s="21"/>
      <c r="E154" s="1" t="str">
        <f aca="false">IF(C154="","",CHOOSE(MIN(C154+1,8),0,1,3,7,15,30,60,90))</f>
        <v/>
      </c>
      <c r="F154" s="21" t="str">
        <f aca="true">IF(D154="","",MAX(D154,TODAY())+E154)</f>
        <v/>
      </c>
    </row>
    <row r="155" customFormat="false" ht="15" hidden="false" customHeight="true" outlineLevel="0" collapsed="false">
      <c r="D155" s="21"/>
      <c r="E155" s="1" t="str">
        <f aca="false">IF(C155="","",CHOOSE(MIN(C155+1,8),0,1,3,7,15,30,60,90))</f>
        <v/>
      </c>
      <c r="F155" s="21" t="str">
        <f aca="true">IF(D155="","",MAX(D155,TODAY())+E155)</f>
        <v/>
      </c>
    </row>
    <row r="156" customFormat="false" ht="15" hidden="false" customHeight="true" outlineLevel="0" collapsed="false">
      <c r="D156" s="21"/>
      <c r="E156" s="1" t="str">
        <f aca="false">IF(C156="","",CHOOSE(MIN(C156+1,8),0,1,3,7,15,30,60,90))</f>
        <v/>
      </c>
      <c r="F156" s="21" t="str">
        <f aca="true">IF(D156="","",MAX(D156,TODAY())+E156)</f>
        <v/>
      </c>
    </row>
    <row r="157" customFormat="false" ht="15" hidden="false" customHeight="true" outlineLevel="0" collapsed="false">
      <c r="D157" s="21"/>
      <c r="E157" s="1" t="str">
        <f aca="false">IF(C157="","",CHOOSE(MIN(C157+1,8),0,1,3,7,15,30,60,90))</f>
        <v/>
      </c>
      <c r="F157" s="21" t="str">
        <f aca="true">IF(D157="","",MAX(D157,TODAY())+E157)</f>
        <v/>
      </c>
    </row>
    <row r="158" customFormat="false" ht="15" hidden="false" customHeight="true" outlineLevel="0" collapsed="false">
      <c r="D158" s="21"/>
      <c r="E158" s="1" t="str">
        <f aca="false">IF(C158="","",CHOOSE(MIN(C158+1,8),0,1,3,7,15,30,60,90))</f>
        <v/>
      </c>
      <c r="F158" s="21" t="str">
        <f aca="true">IF(D158="","",MAX(D158,TODAY())+E158)</f>
        <v/>
      </c>
    </row>
    <row r="159" customFormat="false" ht="15" hidden="false" customHeight="true" outlineLevel="0" collapsed="false">
      <c r="D159" s="21"/>
      <c r="E159" s="1" t="str">
        <f aca="false">IF(C159="","",CHOOSE(MIN(C159+1,8),0,1,3,7,15,30,60,90))</f>
        <v/>
      </c>
      <c r="F159" s="21" t="str">
        <f aca="true">IF(D159="","",MAX(D159,TODAY())+E159)</f>
        <v/>
      </c>
    </row>
    <row r="160" customFormat="false" ht="15" hidden="false" customHeight="true" outlineLevel="0" collapsed="false">
      <c r="D160" s="21"/>
      <c r="E160" s="1" t="str">
        <f aca="false">IF(C160="","",CHOOSE(MIN(C160+1,8),0,1,3,7,15,30,60,90))</f>
        <v/>
      </c>
      <c r="F160" s="21" t="str">
        <f aca="true">IF(D160="","",MAX(D160,TODAY())+E160)</f>
        <v/>
      </c>
    </row>
    <row r="161" customFormat="false" ht="15" hidden="false" customHeight="true" outlineLevel="0" collapsed="false">
      <c r="D161" s="21"/>
      <c r="E161" s="1" t="str">
        <f aca="false">IF(C161="","",CHOOSE(MIN(C161+1,8),0,1,3,7,15,30,60,90))</f>
        <v/>
      </c>
      <c r="F161" s="21" t="str">
        <f aca="true">IF(D161="","",MAX(D161,TODAY())+E161)</f>
        <v/>
      </c>
    </row>
    <row r="162" customFormat="false" ht="15" hidden="false" customHeight="true" outlineLevel="0" collapsed="false">
      <c r="D162" s="21"/>
      <c r="E162" s="1" t="str">
        <f aca="false">IF(C162="","",CHOOSE(MIN(C162+1,8),0,1,3,7,15,30,60,90))</f>
        <v/>
      </c>
      <c r="F162" s="21" t="str">
        <f aca="true">IF(D162="","",MAX(D162,TODAY())+E162)</f>
        <v/>
      </c>
    </row>
    <row r="163" customFormat="false" ht="15" hidden="false" customHeight="true" outlineLevel="0" collapsed="false">
      <c r="D163" s="21"/>
      <c r="E163" s="1" t="str">
        <f aca="false">IF(C163="","",CHOOSE(MIN(C163+1,8),0,1,3,7,15,30,60,90))</f>
        <v/>
      </c>
      <c r="F163" s="21" t="str">
        <f aca="true">IF(D163="","",MAX(D163,TODAY())+E163)</f>
        <v/>
      </c>
    </row>
    <row r="164" customFormat="false" ht="15" hidden="false" customHeight="true" outlineLevel="0" collapsed="false">
      <c r="D164" s="21"/>
      <c r="E164" s="1" t="str">
        <f aca="false">IF(C164="","",CHOOSE(MIN(C164+1,8),0,1,3,7,15,30,60,90))</f>
        <v/>
      </c>
      <c r="F164" s="21" t="str">
        <f aca="true">IF(D164="","",MAX(D164,TODAY())+E164)</f>
        <v/>
      </c>
    </row>
    <row r="165" customFormat="false" ht="15" hidden="false" customHeight="true" outlineLevel="0" collapsed="false">
      <c r="D165" s="21"/>
      <c r="E165" s="1" t="str">
        <f aca="false">IF(C165="","",CHOOSE(MIN(C165+1,8),0,1,3,7,15,30,60,90))</f>
        <v/>
      </c>
      <c r="F165" s="21" t="str">
        <f aca="true">IF(D165="","",MAX(D165,TODAY())+E165)</f>
        <v/>
      </c>
    </row>
    <row r="166" customFormat="false" ht="15" hidden="false" customHeight="true" outlineLevel="0" collapsed="false">
      <c r="D166" s="21"/>
      <c r="E166" s="1" t="str">
        <f aca="false">IF(C166="","",CHOOSE(MIN(C166+1,8),0,1,3,7,15,30,60,90))</f>
        <v/>
      </c>
      <c r="F166" s="21" t="str">
        <f aca="true">IF(D166="","",MAX(D166,TODAY())+E166)</f>
        <v/>
      </c>
    </row>
    <row r="167" customFormat="false" ht="15" hidden="false" customHeight="true" outlineLevel="0" collapsed="false">
      <c r="D167" s="21"/>
      <c r="E167" s="1" t="str">
        <f aca="false">IF(C167="","",CHOOSE(MIN(C167+1,8),0,1,3,7,15,30,60,90))</f>
        <v/>
      </c>
      <c r="F167" s="21" t="str">
        <f aca="true">IF(D167="","",MAX(D167,TODAY())+E167)</f>
        <v/>
      </c>
    </row>
    <row r="168" customFormat="false" ht="15" hidden="false" customHeight="true" outlineLevel="0" collapsed="false">
      <c r="D168" s="21"/>
      <c r="E168" s="1" t="str">
        <f aca="false">IF(C168="","",CHOOSE(MIN(C168+1,8),0,1,3,7,15,30,60,90))</f>
        <v/>
      </c>
      <c r="F168" s="21" t="str">
        <f aca="true">IF(D168="","",MAX(D168,TODAY())+E168)</f>
        <v/>
      </c>
    </row>
    <row r="169" customFormat="false" ht="15" hidden="false" customHeight="true" outlineLevel="0" collapsed="false">
      <c r="D169" s="21"/>
      <c r="E169" s="1" t="str">
        <f aca="false">IF(C169="","",CHOOSE(MIN(C169+1,8),0,1,3,7,15,30,60,90))</f>
        <v/>
      </c>
      <c r="F169" s="21" t="str">
        <f aca="true">IF(D169="","",MAX(D169,TODAY())+E169)</f>
        <v/>
      </c>
    </row>
    <row r="170" customFormat="false" ht="15" hidden="false" customHeight="true" outlineLevel="0" collapsed="false">
      <c r="D170" s="21"/>
      <c r="E170" s="1" t="str">
        <f aca="false">IF(C170="","",CHOOSE(MIN(C170+1,8),0,1,3,7,15,30,60,90))</f>
        <v/>
      </c>
      <c r="F170" s="21" t="str">
        <f aca="true">IF(D170="","",MAX(D170,TODAY())+E170)</f>
        <v/>
      </c>
    </row>
    <row r="171" customFormat="false" ht="15" hidden="false" customHeight="true" outlineLevel="0" collapsed="false">
      <c r="D171" s="21"/>
      <c r="E171" s="1" t="str">
        <f aca="false">IF(C171="","",CHOOSE(MIN(C171+1,8),0,1,3,7,15,30,60,90))</f>
        <v/>
      </c>
      <c r="F171" s="21" t="str">
        <f aca="true">IF(D171="","",MAX(D171,TODAY())+E171)</f>
        <v/>
      </c>
    </row>
    <row r="172" customFormat="false" ht="15" hidden="false" customHeight="true" outlineLevel="0" collapsed="false">
      <c r="D172" s="21"/>
      <c r="E172" s="1" t="str">
        <f aca="false">IF(C172="","",CHOOSE(MIN(C172+1,8),0,1,3,7,15,30,60,90))</f>
        <v/>
      </c>
      <c r="F172" s="21" t="str">
        <f aca="true">IF(D172="","",MAX(D172,TODAY())+E172)</f>
        <v/>
      </c>
    </row>
    <row r="173" customFormat="false" ht="15" hidden="false" customHeight="true" outlineLevel="0" collapsed="false">
      <c r="D173" s="21"/>
      <c r="E173" s="1" t="str">
        <f aca="false">IF(C173="","",CHOOSE(MIN(C173+1,8),0,1,3,7,15,30,60,90))</f>
        <v/>
      </c>
      <c r="F173" s="21" t="str">
        <f aca="true">IF(D173="","",MAX(D173,TODAY())+E173)</f>
        <v/>
      </c>
    </row>
    <row r="174" customFormat="false" ht="15" hidden="false" customHeight="true" outlineLevel="0" collapsed="false">
      <c r="D174" s="21"/>
      <c r="E174" s="1" t="str">
        <f aca="false">IF(C174="","",CHOOSE(MIN(C174+1,8),0,1,3,7,15,30,60,90))</f>
        <v/>
      </c>
      <c r="F174" s="21" t="str">
        <f aca="true">IF(D174="","",MAX(D174,TODAY())+E174)</f>
        <v/>
      </c>
    </row>
    <row r="175" customFormat="false" ht="15" hidden="false" customHeight="true" outlineLevel="0" collapsed="false">
      <c r="D175" s="21"/>
      <c r="E175" s="1" t="str">
        <f aca="false">IF(C175="","",CHOOSE(MIN(C175+1,8),0,1,3,7,15,30,60,90))</f>
        <v/>
      </c>
      <c r="F175" s="21" t="str">
        <f aca="true">IF(D175="","",MAX(D175,TODAY())+E175)</f>
        <v/>
      </c>
    </row>
    <row r="176" customFormat="false" ht="15" hidden="false" customHeight="true" outlineLevel="0" collapsed="false">
      <c r="D176" s="21"/>
      <c r="E176" s="1" t="str">
        <f aca="false">IF(C176="","",CHOOSE(MIN(C176+1,8),0,1,3,7,15,30,60,90))</f>
        <v/>
      </c>
      <c r="F176" s="21" t="str">
        <f aca="true">IF(D176="","",MAX(D176,TODAY())+E176)</f>
        <v/>
      </c>
    </row>
    <row r="177" customFormat="false" ht="15" hidden="false" customHeight="true" outlineLevel="0" collapsed="false">
      <c r="D177" s="21"/>
      <c r="E177" s="1" t="str">
        <f aca="false">IF(C177="","",CHOOSE(MIN(C177+1,8),0,1,3,7,15,30,60,90))</f>
        <v/>
      </c>
      <c r="F177" s="21" t="str">
        <f aca="true">IF(D177="","",MAX(D177,TODAY())+E177)</f>
        <v/>
      </c>
    </row>
    <row r="178" customFormat="false" ht="15" hidden="false" customHeight="true" outlineLevel="0" collapsed="false">
      <c r="D178" s="21"/>
      <c r="E178" s="1" t="str">
        <f aca="false">IF(C178="","",CHOOSE(MIN(C178+1,8),0,1,3,7,15,30,60,90))</f>
        <v/>
      </c>
      <c r="F178" s="21" t="str">
        <f aca="true">IF(D178="","",MAX(D178,TODAY())+E178)</f>
        <v/>
      </c>
    </row>
    <row r="179" customFormat="false" ht="15" hidden="false" customHeight="true" outlineLevel="0" collapsed="false">
      <c r="D179" s="21"/>
      <c r="E179" s="1" t="str">
        <f aca="false">IF(C179="","",CHOOSE(MIN(C179+1,8),0,1,3,7,15,30,60,90))</f>
        <v/>
      </c>
      <c r="F179" s="21" t="str">
        <f aca="true">IF(D179="","",MAX(D179,TODAY())+E179)</f>
        <v/>
      </c>
    </row>
    <row r="180" customFormat="false" ht="15" hidden="false" customHeight="true" outlineLevel="0" collapsed="false">
      <c r="D180" s="21"/>
      <c r="E180" s="1" t="str">
        <f aca="false">IF(C180="","",CHOOSE(MIN(C180+1,8),0,1,3,7,15,30,60,90))</f>
        <v/>
      </c>
      <c r="F180" s="21" t="str">
        <f aca="true">IF(D180="","",MAX(D180,TODAY())+E180)</f>
        <v/>
      </c>
    </row>
    <row r="181" customFormat="false" ht="15" hidden="false" customHeight="true" outlineLevel="0" collapsed="false">
      <c r="D181" s="21"/>
      <c r="E181" s="1" t="str">
        <f aca="false">IF(C181="","",CHOOSE(MIN(C181+1,8),0,1,3,7,15,30,60,90))</f>
        <v/>
      </c>
      <c r="F181" s="21" t="str">
        <f aca="true">IF(D181="","",MAX(D181,TODAY())+E181)</f>
        <v/>
      </c>
    </row>
    <row r="182" customFormat="false" ht="15" hidden="false" customHeight="true" outlineLevel="0" collapsed="false">
      <c r="D182" s="21"/>
      <c r="E182" s="1" t="str">
        <f aca="false">IF(C182="","",CHOOSE(MIN(C182+1,8),0,1,3,7,15,30,60,90))</f>
        <v/>
      </c>
      <c r="F182" s="21" t="str">
        <f aca="true">IF(D182="","",MAX(D182,TODAY())+E182)</f>
        <v/>
      </c>
    </row>
    <row r="183" customFormat="false" ht="15" hidden="false" customHeight="true" outlineLevel="0" collapsed="false">
      <c r="D183" s="21"/>
      <c r="E183" s="1" t="str">
        <f aca="false">IF(C183="","",CHOOSE(MIN(C183+1,8),0,1,3,7,15,30,60,90))</f>
        <v/>
      </c>
      <c r="F183" s="21" t="str">
        <f aca="true">IF(D183="","",MAX(D183,TODAY())+E183)</f>
        <v/>
      </c>
    </row>
    <row r="184" customFormat="false" ht="15" hidden="false" customHeight="true" outlineLevel="0" collapsed="false">
      <c r="D184" s="21"/>
      <c r="E184" s="1" t="str">
        <f aca="false">IF(C184="","",CHOOSE(MIN(C184+1,8),0,1,3,7,15,30,60,90))</f>
        <v/>
      </c>
      <c r="F184" s="21" t="str">
        <f aca="true">IF(D184="","",MAX(D184,TODAY())+E184)</f>
        <v/>
      </c>
    </row>
    <row r="185" customFormat="false" ht="15" hidden="false" customHeight="true" outlineLevel="0" collapsed="false">
      <c r="D185" s="21"/>
      <c r="E185" s="1" t="str">
        <f aca="false">IF(C185="","",CHOOSE(MIN(C185+1,8),0,1,3,7,15,30,60,90))</f>
        <v/>
      </c>
      <c r="F185" s="21" t="str">
        <f aca="true">IF(D185="","",MAX(D185,TODAY())+E185)</f>
        <v/>
      </c>
    </row>
    <row r="186" customFormat="false" ht="15" hidden="false" customHeight="true" outlineLevel="0" collapsed="false">
      <c r="D186" s="21"/>
      <c r="E186" s="1" t="str">
        <f aca="false">IF(C186="","",CHOOSE(MIN(C186+1,8),0,1,3,7,15,30,60,90))</f>
        <v/>
      </c>
      <c r="F186" s="21" t="str">
        <f aca="true">IF(D186="","",MAX(D186,TODAY())+E186)</f>
        <v/>
      </c>
    </row>
    <row r="187" customFormat="false" ht="15" hidden="false" customHeight="true" outlineLevel="0" collapsed="false">
      <c r="D187" s="21"/>
      <c r="E187" s="1" t="str">
        <f aca="false">IF(C187="","",CHOOSE(MIN(C187+1,8),0,1,3,7,15,30,60,90))</f>
        <v/>
      </c>
      <c r="F187" s="21" t="str">
        <f aca="true">IF(D187="","",MAX(D187,TODAY())+E187)</f>
        <v/>
      </c>
    </row>
    <row r="188" customFormat="false" ht="15" hidden="false" customHeight="true" outlineLevel="0" collapsed="false">
      <c r="D188" s="21"/>
      <c r="E188" s="1" t="str">
        <f aca="false">IF(C188="","",CHOOSE(MIN(C188+1,8),0,1,3,7,15,30,60,90))</f>
        <v/>
      </c>
      <c r="F188" s="21" t="str">
        <f aca="true">IF(D188="","",MAX(D188,TODAY())+E188)</f>
        <v/>
      </c>
    </row>
    <row r="189" customFormat="false" ht="15" hidden="false" customHeight="true" outlineLevel="0" collapsed="false">
      <c r="D189" s="21"/>
      <c r="E189" s="1" t="str">
        <f aca="false">IF(C189="","",CHOOSE(MIN(C189+1,8),0,1,3,7,15,30,60,90))</f>
        <v/>
      </c>
      <c r="F189" s="21" t="str">
        <f aca="true">IF(D189="","",MAX(D189,TODAY())+E189)</f>
        <v/>
      </c>
    </row>
    <row r="190" customFormat="false" ht="15" hidden="false" customHeight="true" outlineLevel="0" collapsed="false">
      <c r="D190" s="21"/>
      <c r="E190" s="1" t="str">
        <f aca="false">IF(C190="","",CHOOSE(MIN(C190+1,8),0,1,3,7,15,30,60,90))</f>
        <v/>
      </c>
      <c r="F190" s="21" t="str">
        <f aca="true">IF(D190="","",MAX(D190,TODAY())+E190)</f>
        <v/>
      </c>
    </row>
    <row r="191" customFormat="false" ht="15" hidden="false" customHeight="true" outlineLevel="0" collapsed="false">
      <c r="D191" s="21"/>
      <c r="E191" s="1" t="str">
        <f aca="false">IF(C191="","",CHOOSE(MIN(C191+1,8),0,1,3,7,15,30,60,90))</f>
        <v/>
      </c>
      <c r="F191" s="21" t="str">
        <f aca="true">IF(D191="","",MAX(D191,TODAY())+E191)</f>
        <v/>
      </c>
    </row>
    <row r="192" customFormat="false" ht="15" hidden="false" customHeight="true" outlineLevel="0" collapsed="false">
      <c r="D192" s="21"/>
      <c r="E192" s="1" t="str">
        <f aca="false">IF(C192="","",CHOOSE(MIN(C192+1,8),0,1,3,7,15,30,60,90))</f>
        <v/>
      </c>
      <c r="F192" s="21" t="str">
        <f aca="true">IF(D192="","",MAX(D192,TODAY())+E192)</f>
        <v/>
      </c>
    </row>
    <row r="193" customFormat="false" ht="15" hidden="false" customHeight="true" outlineLevel="0" collapsed="false">
      <c r="D193" s="21"/>
      <c r="E193" s="1" t="str">
        <f aca="false">IF(C193="","",CHOOSE(MIN(C193+1,8),0,1,3,7,15,30,60,90))</f>
        <v/>
      </c>
      <c r="F193" s="21" t="str">
        <f aca="true">IF(D193="","",MAX(D193,TODAY())+E193)</f>
        <v/>
      </c>
    </row>
    <row r="194" customFormat="false" ht="15" hidden="false" customHeight="true" outlineLevel="0" collapsed="false">
      <c r="D194" s="21"/>
      <c r="E194" s="1" t="str">
        <f aca="false">IF(C194="","",CHOOSE(MIN(C194+1,8),0,1,3,7,15,30,60,90))</f>
        <v/>
      </c>
      <c r="F194" s="21" t="str">
        <f aca="true">IF(D194="","",MAX(D194,TODAY())+E194)</f>
        <v/>
      </c>
    </row>
    <row r="195" customFormat="false" ht="15" hidden="false" customHeight="true" outlineLevel="0" collapsed="false">
      <c r="D195" s="21"/>
      <c r="E195" s="1" t="str">
        <f aca="false">IF(C195="","",CHOOSE(MIN(C195+1,8),0,1,3,7,15,30,60,90))</f>
        <v/>
      </c>
      <c r="F195" s="21" t="str">
        <f aca="true">IF(D195="","",MAX(D195,TODAY())+E195)</f>
        <v/>
      </c>
    </row>
    <row r="196" customFormat="false" ht="15" hidden="false" customHeight="true" outlineLevel="0" collapsed="false">
      <c r="D196" s="21"/>
      <c r="E196" s="1" t="str">
        <f aca="false">IF(C196="","",CHOOSE(MIN(C196+1,8),0,1,3,7,15,30,60,90))</f>
        <v/>
      </c>
      <c r="F196" s="21" t="str">
        <f aca="true">IF(D196="","",MAX(D196,TODAY())+E196)</f>
        <v/>
      </c>
    </row>
    <row r="197" customFormat="false" ht="15" hidden="false" customHeight="true" outlineLevel="0" collapsed="false">
      <c r="D197" s="21"/>
      <c r="E197" s="1" t="str">
        <f aca="false">IF(C197="","",CHOOSE(MIN(C197+1,8),0,1,3,7,15,30,60,90))</f>
        <v/>
      </c>
      <c r="F197" s="21" t="str">
        <f aca="true">IF(D197="","",MAX(D197,TODAY())+E197)</f>
        <v/>
      </c>
    </row>
    <row r="198" customFormat="false" ht="15" hidden="false" customHeight="true" outlineLevel="0" collapsed="false">
      <c r="D198" s="21"/>
      <c r="E198" s="1" t="str">
        <f aca="false">IF(C198="","",CHOOSE(MIN(C198+1,8),0,1,3,7,15,30,60,90))</f>
        <v/>
      </c>
      <c r="F198" s="21" t="str">
        <f aca="true">IF(D198="","",MAX(D198,TODAY())+E198)</f>
        <v/>
      </c>
    </row>
    <row r="199" customFormat="false" ht="15" hidden="false" customHeight="true" outlineLevel="0" collapsed="false">
      <c r="D199" s="21"/>
      <c r="E199" s="1" t="str">
        <f aca="false">IF(C199="","",CHOOSE(MIN(C199+1,8),0,1,3,7,15,30,60,90))</f>
        <v/>
      </c>
      <c r="F199" s="21" t="str">
        <f aca="true">IF(D199="","",MAX(D199,TODAY())+E199)</f>
        <v/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12"/>
  </cols>
  <sheetData>
    <row r="1" customFormat="false" ht="30" hidden="false" customHeight="true" outlineLevel="0" collapsed="false">
      <c r="A1" s="22" t="s">
        <v>83</v>
      </c>
      <c r="B1" s="22"/>
      <c r="C1" s="22"/>
    </row>
    <row r="3" customFormat="false" ht="15.75" hidden="false" customHeight="true" outlineLevel="0" collapsed="false">
      <c r="A3" s="23" t="s">
        <v>84</v>
      </c>
      <c r="B3" s="23"/>
      <c r="C3" s="23"/>
    </row>
    <row r="4" customFormat="false" ht="15.75" hidden="false" customHeight="true" outlineLevel="0" collapsed="false">
      <c r="A4" s="14" t="s">
        <v>59</v>
      </c>
      <c r="B4" s="24" t="n">
        <f aca="true">COUNTIFS(Database!$F:$F,"&lt;="&amp;TODAY(),Database!$A:$A,"&lt;&gt;""")+(COUNTIF(Database!$D:$D,"")-COUNTBLANK(Database!$A:$A))</f>
        <v>3</v>
      </c>
    </row>
    <row r="5" customFormat="false" ht="15.75" hidden="false" customHeight="true" outlineLevel="0" collapsed="false">
      <c r="A5" s="14" t="s">
        <v>85</v>
      </c>
      <c r="B5" s="25" t="n">
        <f aca="false">COUNTIF(Database!$C:$C,7)</f>
        <v>0</v>
      </c>
    </row>
    <row r="6" customFormat="false" ht="15.75" hidden="false" customHeight="true" outlineLevel="0" collapsed="false">
      <c r="A6" s="14" t="s">
        <v>86</v>
      </c>
      <c r="B6" s="26" t="n">
        <f aca="true">COUNTIFS(Database!$F:$F,"&gt;"&amp;TODAY(),Database!$F:$F,"&lt;="&amp;TODAY()+7)</f>
        <v>3</v>
      </c>
    </row>
    <row r="7" customFormat="false" ht="15.75" hidden="false" customHeight="true" outlineLevel="0" collapsed="false">
      <c r="A7" s="14" t="s">
        <v>87</v>
      </c>
      <c r="B7" s="27" t="n">
        <f aca="false">COUNTA(Database!$A:$A)-3</f>
        <v>4</v>
      </c>
    </row>
    <row r="8" customFormat="false" ht="15.75" hidden="false" customHeight="true" outlineLevel="0" collapsed="false">
      <c r="A8" s="14" t="s">
        <v>88</v>
      </c>
      <c r="B8" s="28" t="n">
        <f aca="false">COUNTIF(Database!$C:$C,7)</f>
        <v>0</v>
      </c>
    </row>
    <row r="10" customFormat="false" ht="15.75" hidden="false" customHeight="true" outlineLevel="0" collapsed="false">
      <c r="A10" s="23" t="s">
        <v>89</v>
      </c>
      <c r="B10" s="23"/>
      <c r="C10" s="23"/>
    </row>
    <row r="11" customFormat="false" ht="15" hidden="false" customHeight="true" outlineLevel="0" collapsed="false">
      <c r="A11" s="7" t="s">
        <v>90</v>
      </c>
      <c r="B11" s="7" t="s">
        <v>91</v>
      </c>
      <c r="C11" s="7" t="s">
        <v>92</v>
      </c>
    </row>
    <row r="12" customFormat="false" ht="15" hidden="false" customHeight="true" outlineLevel="0" collapsed="false">
      <c r="A12" s="1" t="s">
        <v>27</v>
      </c>
      <c r="B12" s="1" t="str">
        <f aca="true">TEXT(TODAY()+0,"DD/MM")</f>
        <v>10/02</v>
      </c>
      <c r="C12" s="29" t="n">
        <f aca="true">COUNTIF(Database!$F:$F,TODAY()+0)</f>
        <v>0</v>
      </c>
    </row>
    <row r="13" customFormat="false" ht="15" hidden="false" customHeight="true" outlineLevel="0" collapsed="false">
      <c r="A13" s="1" t="s">
        <v>93</v>
      </c>
      <c r="B13" s="1" t="str">
        <f aca="true">TEXT(TODAY()+1,"DD/MM")</f>
        <v>11/02</v>
      </c>
      <c r="C13" s="29" t="n">
        <f aca="true">COUNTIF(Database!$F:$F,TODAY()+1)</f>
        <v>1</v>
      </c>
    </row>
    <row r="14" customFormat="false" ht="15" hidden="false" customHeight="true" outlineLevel="0" collapsed="false">
      <c r="A14" s="1" t="s">
        <v>94</v>
      </c>
      <c r="B14" s="1" t="str">
        <f aca="true">TEXT(TODAY()+2,"DD/MM")</f>
        <v>12/02</v>
      </c>
      <c r="C14" s="29" t="n">
        <f aca="true">COUNTIF(Database!$F:$F,TODAY()+2)</f>
        <v>0</v>
      </c>
    </row>
    <row r="15" customFormat="false" ht="15" hidden="false" customHeight="true" outlineLevel="0" collapsed="false">
      <c r="A15" s="1" t="s">
        <v>33</v>
      </c>
      <c r="B15" s="1" t="str">
        <f aca="true">TEXT(TODAY()+3,"DD/MM")</f>
        <v>13/02</v>
      </c>
      <c r="C15" s="29" t="n">
        <f aca="true">COUNTIF(Database!$F:$F,TODAY()+3)</f>
        <v>1</v>
      </c>
    </row>
    <row r="16" customFormat="false" ht="15" hidden="false" customHeight="true" outlineLevel="0" collapsed="false">
      <c r="A16" s="1" t="s">
        <v>95</v>
      </c>
      <c r="B16" s="1" t="str">
        <f aca="true">TEXT(TODAY()+4,"DD/MM")</f>
        <v>14/02</v>
      </c>
      <c r="C16" s="29" t="n">
        <f aca="true">COUNTIF(Database!$F:$F,TODAY()+4)</f>
        <v>0</v>
      </c>
    </row>
    <row r="17" customFormat="false" ht="15" hidden="false" customHeight="true" outlineLevel="0" collapsed="false">
      <c r="A17" s="1" t="s">
        <v>96</v>
      </c>
      <c r="B17" s="1" t="str">
        <f aca="true">TEXT(TODAY()+5,"DD/MM")</f>
        <v>15/02</v>
      </c>
      <c r="C17" s="29" t="n">
        <f aca="true">COUNTIF(Database!$F:$F,TODAY()+5)</f>
        <v>0</v>
      </c>
    </row>
    <row r="18" customFormat="false" ht="15" hidden="false" customHeight="true" outlineLevel="0" collapsed="false">
      <c r="A18" s="1" t="s">
        <v>97</v>
      </c>
      <c r="B18" s="1" t="str">
        <f aca="true">TEXT(TODAY()+6,"DD/MM")</f>
        <v>16/02</v>
      </c>
      <c r="C18" s="29" t="n">
        <f aca="true">COUNTIF(Database!$F:$F,TODAY()+6)</f>
        <v>0</v>
      </c>
    </row>
    <row r="21" customFormat="false" ht="15.75" hidden="false" customHeight="true" outlineLevel="0" collapsed="false">
      <c r="A21" s="23" t="s">
        <v>98</v>
      </c>
      <c r="B21" s="23"/>
      <c r="C21" s="23"/>
    </row>
    <row r="22" customFormat="false" ht="15" hidden="false" customHeight="true" outlineLevel="0" collapsed="false">
      <c r="A22" s="4" t="s">
        <v>99</v>
      </c>
      <c r="B22" s="4"/>
      <c r="C22" s="4"/>
    </row>
    <row r="23" customFormat="false" ht="15" hidden="false" customHeight="true" outlineLevel="0" collapsed="false">
      <c r="A23" s="4" t="s">
        <v>100</v>
      </c>
      <c r="B23" s="4"/>
      <c r="C23" s="4"/>
    </row>
    <row r="24" customFormat="false" ht="15" hidden="false" customHeight="true" outlineLevel="0" collapsed="false">
      <c r="A24" s="4" t="s">
        <v>101</v>
      </c>
      <c r="B24" s="4"/>
      <c r="C24" s="4"/>
    </row>
  </sheetData>
  <mergeCells count="7">
    <mergeCell ref="A1:C1"/>
    <mergeCell ref="A3:C3"/>
    <mergeCell ref="A10:C10"/>
    <mergeCell ref="A21:C21"/>
    <mergeCell ref="A22:C22"/>
    <mergeCell ref="A23:C23"/>
    <mergeCell ref="A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2026-02-10T07:33:18Z</dcterms:created>
  <dc:creator>openpyxl</dc:creator>
  <dc:description/>
  <dc:language>en-US</dc:language>
  <cp:lastModifiedBy/>
  <dcterms:modified xsi:type="dcterms:W3CDTF">2026-02-10T07:47:14Z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