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SRS Tracker" sheetId="2" state="visible" r:id="rId4"/>
    <sheet name="⚙️ Interva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<sst xmlns="http://schemas.openxmlformats.org/spreadsheetml/2006/main" count="60" uniqueCount="59">
  <si>
    <t xml:space="preserve">📊 YOUR PROGRESS</t>
  </si>
  <si>
    <t xml:space="preserve">Today:</t>
  </si>
  <si>
    <t xml:space="preserve">REVIEW STATUS</t>
  </si>
  <si>
    <t xml:space="preserve">🔴 OVERDUE:</t>
  </si>
  <si>
    <t xml:space="preserve">🟡 DUE TODAY:</t>
  </si>
  <si>
    <t xml:space="preserve">🟠 DUE SOON:</t>
  </si>
  <si>
    <t xml:space="preserve">🟢 LATER:</t>
  </si>
  <si>
    <t xml:space="preserve">📚 TOTAL ACTIVE:</t>
  </si>
  <si>
    <t xml:space="preserve">🎯 DAILY WORKFLOW</t>
  </si>
  <si>
    <t xml:space="preserve">1. Check stats above</t>
  </si>
  <si>
    <t xml:space="preserve">2. Go to SRS Tracker sheet</t>
  </si>
  <si>
    <t xml:space="preserve">3. Filter Status: "🔴 OVERDUE" or "🟡 TODAY"</t>
  </si>
  <si>
    <t xml:space="preserve">4. Study each lesson</t>
  </si>
  <si>
    <t xml:space="preserve">5. In that row:</t>
  </si>
  <si>
    <t xml:space="preserve">   • Type "DONE" in Action column</t>
  </si>
  <si>
    <t xml:space="preserve">   • Increase Step by +1</t>
  </si>
  <si>
    <t xml:space="preserve">   • Enter today in Last Review (Ctrl+;)</t>
  </si>
  <si>
    <t xml:space="preserve">6. Next Review auto-updates!</t>
  </si>
  <si>
    <t xml:space="preserve">7. Clear filter to see all</t>
  </si>
  <si>
    <t xml:space="preserve">💡 QUICK TIPS</t>
  </si>
  <si>
    <t xml:space="preserve">✓ Ctrl+; = Enter today's date</t>
  </si>
  <si>
    <t xml:space="preserve">✓ Filter = Data menu → AutoFilter</t>
  </si>
  <si>
    <t xml:space="preserve">✓ Step 7 = Mastered (review every 3 months)</t>
  </si>
  <si>
    <t xml:space="preserve">✓ Focus on overdue first, then today</t>
  </si>
  <si>
    <t xml:space="preserve">✓ 20 cards/day is sustainable</t>
  </si>
  <si>
    <t xml:space="preserve">📚 SPACED REPETITION SYSTEM</t>
  </si>
  <si>
    <t xml:space="preserve">HOW TO USE: Add lessons → When you study: type DONE in H → increment Step (C) by +1 → enter today in Last Review (D) → Done!</t>
  </si>
  <si>
    <t xml:space="preserve">Topic</t>
  </si>
  <si>
    <t xml:space="preserve">Lesson</t>
  </si>
  <si>
    <t xml:space="preserve">Step</t>
  </si>
  <si>
    <t xml:space="preserve">Last Review</t>
  </si>
  <si>
    <t xml:space="preserve">Next Review</t>
  </si>
  <si>
    <t xml:space="preserve">Days Left</t>
  </si>
  <si>
    <t xml:space="preserve">Status</t>
  </si>
  <si>
    <t xml:space="preserve">Action</t>
  </si>
  <si>
    <t xml:space="preserve">Anatomy</t>
  </si>
  <si>
    <t xml:space="preserve">Heart chambers &amp; valves</t>
  </si>
  <si>
    <t xml:space="preserve">Microbiology</t>
  </si>
  <si>
    <t xml:space="preserve">Viral replication mechanisms</t>
  </si>
  <si>
    <t xml:space="preserve">Pharmacology</t>
  </si>
  <si>
    <t xml:space="preserve">Benzodiazepine MOA</t>
  </si>
  <si>
    <t xml:space="preserve">INTERVAL SCHEDULE</t>
  </si>
  <si>
    <t xml:space="preserve">Delay (days)</t>
  </si>
  <si>
    <t xml:space="preserve">When</t>
  </si>
  <si>
    <t xml:space="preserve">Today (first study)</t>
  </si>
  <si>
    <t xml:space="preserve">Tomorrow</t>
  </si>
  <si>
    <t xml:space="preserve">3 days later</t>
  </si>
  <si>
    <t xml:space="preserve">1 week later</t>
  </si>
  <si>
    <t xml:space="preserve">2 weeks later</t>
  </si>
  <si>
    <t xml:space="preserve">1 month later</t>
  </si>
  <si>
    <t xml:space="preserve">2 months later</t>
  </si>
  <si>
    <t xml:space="preserve">3 months later</t>
  </si>
  <si>
    <t xml:space="preserve">HOW IT WORKS:</t>
  </si>
  <si>
    <t xml:space="preserve">• Start at Step 0 (first study)</t>
  </si>
  <si>
    <t xml:space="preserve">• After studying, increase Step by 1</t>
  </si>
  <si>
    <t xml:space="preserve">• Enter today's date in "Last Review"</t>
  </si>
  <si>
    <t xml:space="preserve">• Next Review auto-calculates</t>
  </si>
  <si>
    <t xml:space="preserve">• Repeat until Step 7 (mastered!)</t>
  </si>
  <si>
    <t xml:space="preserve">TIP: Use Ctrl+; to enter today's date quickly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</si>
</sst>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u val="single"/>
      <sz val="13"/>
      <name val="Cambria"/>
      <family val="0"/>
      <charset val="1"/>
    </font>
    <font>
      <sz val="11"/>
      <name val="Cambria"/>
      <family val="0"/>
      <charset val="1"/>
    </font>
    <font>
      <b val="true"/>
      <sz val="12"/>
      <color rgb="FFC00000"/>
      <name val="Cambria"/>
      <family val="0"/>
      <charset val="1"/>
    </font>
    <font>
      <b val="true"/>
      <sz val="12"/>
      <color rgb="FFFF6600"/>
      <name val="Cambria"/>
      <family val="0"/>
      <charset val="1"/>
    </font>
    <font>
      <b val="true"/>
      <sz val="12"/>
      <color rgb="FFFF9900"/>
      <name val="Cambria"/>
      <family val="0"/>
      <charset val="1"/>
    </font>
    <font>
      <b val="true"/>
      <sz val="12"/>
      <color rgb="FF00B050"/>
      <name val="Cambria"/>
      <family val="0"/>
      <charset val="1"/>
    </font>
    <font>
      <b val="true"/>
      <sz val="12"/>
      <color rgb="FF000000"/>
      <name val="Cambria"/>
      <family val="0"/>
      <charset val="1"/>
    </font>
    <font>
      <b val="true"/>
      <u val="single"/>
      <sz val="12"/>
      <name val="Cambria"/>
      <family val="0"/>
      <charset val="1"/>
    </font>
    <font>
      <sz val="10"/>
      <name val="Cambria"/>
      <family val="0"/>
      <charset val="1"/>
    </font>
    <font>
      <i val="true"/>
      <sz val="9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788"/>
        <bgColor rgb="FF366092"/>
      </patternFill>
    </fill>
    <fill>
      <patternFill patternType="solid">
        <fgColor rgb="FF366092"/>
        <bgColor rgb="FF1F4788"/>
      </patternFill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003366"/>
      <rgbColor rgb="FF00B050"/>
      <rgbColor rgb="FF003300"/>
      <rgbColor rgb="FF333300"/>
      <rgbColor rgb="FF993300"/>
      <rgbColor rgb="FF993366"/>
      <rgbColor rgb="FF1F47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0" t="s">
        <v>1</v>
      </c>
      <c r="B2" s="2" t="str">
        <f aca="true">TEXT(TODAY(),"DD/MM/YYYY")</f>
        <v>09/02/2026</v>
      </c>
    </row>
    <row r="4" customFormat="false" ht="16.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COUNTIF('SRS Tracker'!$G:$G,"🔴 OVERDUE")</f>
        <v>1</v>
      </c>
    </row>
    <row r="6" customFormat="false" ht="15" hidden="false" customHeight="false" outlineLevel="0" collapsed="false">
      <c r="A6" s="4" t="s">
        <v>4</v>
      </c>
      <c r="B6" s="6" t="n">
        <f aca="false">COUNTIF('SRS Tracker'!$G:$G,"🟡 TODAY")</f>
        <v>1</v>
      </c>
    </row>
    <row r="7" customFormat="false" ht="15" hidden="false" customHeight="false" outlineLevel="0" collapsed="false">
      <c r="A7" s="4" t="s">
        <v>5</v>
      </c>
      <c r="B7" s="7" t="n">
        <f aca="false">COUNTIF('SRS Tracker'!$G:$G,"🟠 SOON")</f>
        <v>0</v>
      </c>
    </row>
    <row r="8" customFormat="false" ht="15" hidden="false" customHeight="false" outlineLevel="0" collapsed="false">
      <c r="A8" s="4" t="s">
        <v>6</v>
      </c>
      <c r="B8" s="8" t="n">
        <f aca="false">COUNTIF('SRS Tracker'!$G:$G,"🟢 LATER")</f>
        <v>1</v>
      </c>
    </row>
    <row r="9" customFormat="false" ht="15" hidden="false" customHeight="false" outlineLevel="0" collapsed="false">
      <c r="A9" s="4"/>
    </row>
    <row r="10" customFormat="false" ht="15" hidden="false" customHeight="false" outlineLevel="0" collapsed="false">
      <c r="A10" s="4" t="s">
        <v>7</v>
      </c>
      <c r="B10" s="9" t="n">
        <f aca="false">COUNTA('SRS Tracker'!$A:$A)-3</f>
        <v>3</v>
      </c>
    </row>
    <row r="13" customFormat="false" ht="15" hidden="false" customHeight="false" outlineLevel="0" collapsed="false">
      <c r="A13" s="10" t="s">
        <v>8</v>
      </c>
    </row>
    <row r="14" customFormat="false" ht="15" hidden="false" customHeight="false" outlineLevel="0" collapsed="false">
      <c r="A14" s="11" t="s">
        <v>9</v>
      </c>
      <c r="B14" s="11"/>
      <c r="C14" s="11"/>
    </row>
    <row r="15" customFormat="false" ht="15" hidden="false" customHeight="false" outlineLevel="0" collapsed="false">
      <c r="A15" s="11" t="s">
        <v>10</v>
      </c>
      <c r="B15" s="11"/>
      <c r="C15" s="11"/>
    </row>
    <row r="16" customFormat="false" ht="15" hidden="false" customHeight="false" outlineLevel="0" collapsed="false">
      <c r="A16" s="11" t="s">
        <v>11</v>
      </c>
      <c r="B16" s="11"/>
      <c r="C16" s="11"/>
    </row>
    <row r="17" customFormat="false" ht="15" hidden="false" customHeight="false" outlineLevel="0" collapsed="false">
      <c r="A17" s="11" t="s">
        <v>12</v>
      </c>
      <c r="B17" s="11"/>
      <c r="C17" s="11"/>
    </row>
    <row r="18" customFormat="false" ht="15" hidden="false" customHeight="false" outlineLevel="0" collapsed="false">
      <c r="A18" s="11" t="s">
        <v>13</v>
      </c>
      <c r="B18" s="11"/>
      <c r="C18" s="11"/>
    </row>
    <row r="19" customFormat="false" ht="15" hidden="false" customHeight="false" outlineLevel="0" collapsed="false">
      <c r="A19" s="11" t="s">
        <v>14</v>
      </c>
      <c r="B19" s="11"/>
      <c r="C19" s="11"/>
    </row>
    <row r="20" customFormat="false" ht="15" hidden="false" customHeight="false" outlineLevel="0" collapsed="false">
      <c r="A20" s="11" t="s">
        <v>15</v>
      </c>
      <c r="B20" s="11"/>
      <c r="C20" s="11"/>
    </row>
    <row r="21" customFormat="false" ht="15" hidden="false" customHeight="false" outlineLevel="0" collapsed="false">
      <c r="A21" s="11" t="s">
        <v>16</v>
      </c>
      <c r="B21" s="11"/>
      <c r="C21" s="11"/>
    </row>
    <row r="22" customFormat="false" ht="15" hidden="false" customHeight="false" outlineLevel="0" collapsed="false">
      <c r="A22" s="11" t="s">
        <v>17</v>
      </c>
      <c r="B22" s="11"/>
      <c r="C22" s="11"/>
    </row>
    <row r="23" customFormat="false" ht="15" hidden="false" customHeight="false" outlineLevel="0" collapsed="false">
      <c r="A23" s="11" t="s">
        <v>18</v>
      </c>
      <c r="B23" s="11"/>
      <c r="C23" s="11"/>
    </row>
    <row r="25" customFormat="false" ht="15" hidden="false" customHeight="false" outlineLevel="0" collapsed="false">
      <c r="A25" s="10" t="s">
        <v>19</v>
      </c>
    </row>
    <row r="26" customFormat="false" ht="15" hidden="false" customHeight="false" outlineLevel="0" collapsed="false">
      <c r="A26" s="11" t="s">
        <v>20</v>
      </c>
      <c r="B26" s="11"/>
      <c r="C26" s="11"/>
    </row>
    <row r="27" customFormat="false" ht="15" hidden="false" customHeight="false" outlineLevel="0" collapsed="false">
      <c r="A27" s="11" t="s">
        <v>21</v>
      </c>
      <c r="B27" s="11"/>
      <c r="C27" s="11"/>
    </row>
    <row r="28" customFormat="false" ht="15" hidden="false" customHeight="false" outlineLevel="0" collapsed="false">
      <c r="A28" s="11" t="s">
        <v>22</v>
      </c>
      <c r="B28" s="11"/>
      <c r="C28" s="11"/>
    </row>
    <row r="29" customFormat="false" ht="15" hidden="false" customHeight="false" outlineLevel="0" collapsed="false">
      <c r="A29" s="11" t="s">
        <v>23</v>
      </c>
      <c r="B29" s="11"/>
      <c r="C29" s="11"/>
    </row>
    <row r="30" customFormat="false" ht="15" hidden="false" customHeight="false" outlineLevel="0" collapsed="false">
      <c r="A30" s="11" t="s">
        <v>24</v>
      </c>
      <c r="B30" s="11"/>
      <c r="C30" s="11"/>
    </row>
  </sheetData>
  <mergeCells count="16">
    <mergeCell ref="A1:C1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6:C26"/>
    <mergeCell ref="A27:C27"/>
    <mergeCell ref="A28:C28"/>
    <mergeCell ref="A29:C29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5"/>
    <col collapsed="false" customWidth="true" hidden="false" outlineLevel="0" max="3" min="3" style="0" width="8"/>
    <col collapsed="false" customWidth="true" hidden="false" outlineLevel="0" max="5" min="4" style="0" width="13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0"/>
  </cols>
  <sheetData>
    <row r="1" customFormat="false" ht="30" hidden="false" customHeight="true" outlineLevel="0" collapsed="false">
      <c r="A1" s="1" t="s">
        <v>25</v>
      </c>
      <c r="B1" s="1"/>
      <c r="C1" s="1"/>
      <c r="D1" s="1"/>
      <c r="E1" s="1"/>
      <c r="F1" s="1"/>
      <c r="G1" s="1"/>
      <c r="H1" s="1"/>
    </row>
    <row r="2" customFormat="false" ht="24.75" hidden="false" customHeight="true" outlineLevel="0" collapsed="false">
      <c r="A2" s="12" t="s">
        <v>26</v>
      </c>
      <c r="B2" s="12"/>
      <c r="C2" s="12"/>
      <c r="D2" s="12"/>
      <c r="E2" s="12"/>
      <c r="F2" s="12"/>
      <c r="G2" s="12"/>
      <c r="H2" s="12"/>
    </row>
    <row r="3" customFormat="false" ht="30" hidden="false" customHeight="true" outlineLevel="0" collapsed="false">
      <c r="A3" s="13" t="s">
        <v>27</v>
      </c>
      <c r="B3" s="13" t="s">
        <v>28</v>
      </c>
      <c r="C3" s="13" t="s">
        <v>29</v>
      </c>
      <c r="D3" s="13" t="s">
        <v>30</v>
      </c>
      <c r="E3" s="13" t="s">
        <v>31</v>
      </c>
      <c r="F3" s="13" t="s">
        <v>32</v>
      </c>
      <c r="G3" s="13" t="s">
        <v>33</v>
      </c>
      <c r="H3" s="13" t="s">
        <v>34</v>
      </c>
    </row>
    <row r="4" customFormat="false" ht="15" hidden="false" customHeight="false" outlineLevel="0" collapsed="false">
      <c r="A4" s="0" t="s">
        <v>35</v>
      </c>
      <c r="B4" s="0" t="s">
        <v>36</v>
      </c>
      <c r="C4" s="0" t="n">
        <v>2</v>
      </c>
      <c r="D4" s="14" t="n">
        <v>46042</v>
      </c>
      <c r="E4" s="14" t="n">
        <f aca="false">IF(C4="","",IF(D4="","",D4+CHOOSE(C4+1,0,1,3,7,15,30,60,90)))</f>
        <v>46045</v>
      </c>
      <c r="F4" s="15" t="n">
        <f aca="true">IF(E4="","",E4-TODAY())</f>
        <v>-17</v>
      </c>
      <c r="G4" s="0" t="str">
        <f aca="false">IF(A4="","",IF(F4&lt;0,"🔴 OVERDUE",IF(F4=0,"🟡 TODAY",IF(F4&lt;=2,"🟠 SOON","🟢 LATER"))))</f>
        <v>🔴 OVERDUE</v>
      </c>
    </row>
    <row r="5" customFormat="false" ht="15" hidden="false" customHeight="false" outlineLevel="0" collapsed="false">
      <c r="A5" s="0" t="s">
        <v>37</v>
      </c>
      <c r="B5" s="0" t="s">
        <v>38</v>
      </c>
      <c r="C5" s="0" t="n">
        <v>0</v>
      </c>
      <c r="E5" s="14" t="str">
        <f aca="false">IF(C5="","",IF(D5="","",D5+CHOOSE(C5+1,0,1,3,7,15,30,60,90)))</f>
        <v/>
      </c>
      <c r="F5" s="0" t="str">
        <f aca="true">IF(E5="","",E5-TODAY())</f>
        <v/>
      </c>
      <c r="G5" s="0" t="str">
        <f aca="false">IF(A5="","",IF(F5&lt;0,"🔴 OVERDUE",IF(F5=0,"🟡 TODAY",IF(F5&lt;=2,"🟠 SOON","🟢 LATER"))))</f>
        <v>🟢 LATER</v>
      </c>
    </row>
    <row r="6" customFormat="false" ht="15" hidden="false" customHeight="false" outlineLevel="0" collapsed="false">
      <c r="A6" s="0" t="s">
        <v>39</v>
      </c>
      <c r="B6" s="0" t="s">
        <v>40</v>
      </c>
      <c r="C6" s="0" t="n">
        <v>1</v>
      </c>
      <c r="D6" s="14" t="n">
        <v>46061</v>
      </c>
      <c r="E6" s="14" t="n">
        <f aca="false">IF(C6="","",IF(D6="","",D6+CHOOSE(C6+1,0,1,3,7,15,30,60,90)))</f>
        <v>46062</v>
      </c>
      <c r="F6" s="15" t="n">
        <f aca="true">IF(E6="","",E6-TODAY())</f>
        <v>0</v>
      </c>
      <c r="G6" s="0" t="str">
        <f aca="false">IF(A6="","",IF(F6&lt;0,"🔴 OVERDUE",IF(F6=0,"🟡 TODAY",IF(F6&lt;=2,"🟠 SOON","🟢 LATER"))))</f>
        <v>🟡 TODAY</v>
      </c>
    </row>
    <row r="7" customFormat="false" ht="15" hidden="false" customHeight="false" outlineLevel="0" collapsed="false">
      <c r="D7" s="14"/>
      <c r="E7" s="14" t="str">
        <f aca="false">IF(C7="","",IF(D7="","",D7+CHOOSE(C7+1,0,1,3,7,15,30,60,90)))</f>
        <v/>
      </c>
      <c r="F7" s="0" t="str">
        <f aca="true">IF(E7="","",E7-TODAY())</f>
        <v/>
      </c>
      <c r="G7" s="0" t="str">
        <f aca="false">IF(A7="","",IF(F7&lt;0,"🔴 OVERDUE",IF(F7=0,"🟡 TODAY",IF(F7&lt;=2,"🟠 SOON","🟢 LATER"))))</f>
        <v/>
      </c>
    </row>
    <row r="8" customFormat="false" ht="15" hidden="false" customHeight="false" outlineLevel="0" collapsed="false">
      <c r="D8" s="14"/>
      <c r="E8" s="14" t="str">
        <f aca="false">IF(C8="","",IF(D8="","",D8+CHOOSE(C8+1,0,1,3,7,15,30,60,90)))</f>
        <v/>
      </c>
      <c r="F8" s="0" t="str">
        <f aca="true">IF(E8="","",E8-TODAY())</f>
        <v/>
      </c>
      <c r="G8" s="0" t="str">
        <f aca="false">IF(A8="","",IF(F8&lt;0,"🔴 OVERDUE",IF(F8=0,"🟡 TODAY",IF(F8&lt;=2,"🟠 SOON","🟢 LATER"))))</f>
        <v/>
      </c>
    </row>
    <row r="9" customFormat="false" ht="15" hidden="false" customHeight="false" outlineLevel="0" collapsed="false">
      <c r="D9" s="14"/>
      <c r="E9" s="14" t="str">
        <f aca="false">IF(C9="","",IF(D9="","",D9+CHOOSE(C9+1,0,1,3,7,15,30,60,90)))</f>
        <v/>
      </c>
      <c r="F9" s="0" t="str">
        <f aca="true">IF(E9="","",E9-TODAY())</f>
        <v/>
      </c>
      <c r="G9" s="0" t="str">
        <f aca="false">IF(A9="","",IF(F9&lt;0,"🔴 OVERDUE",IF(F9=0,"🟡 TODAY",IF(F9&lt;=2,"🟠 SOON","🟢 LATER"))))</f>
        <v/>
      </c>
    </row>
    <row r="10" customFormat="false" ht="15" hidden="false" customHeight="false" outlineLevel="0" collapsed="false">
      <c r="D10" s="14"/>
      <c r="E10" s="14" t="str">
        <f aca="false">IF(C10="","",IF(D10="","",D10+CHOOSE(C10+1,0,1,3,7,15,30,60,90)))</f>
        <v/>
      </c>
      <c r="F10" s="0" t="str">
        <f aca="true">IF(E10="","",E10-TODAY())</f>
        <v/>
      </c>
      <c r="G10" s="0" t="str">
        <f aca="false">IF(A10="","",IF(F10&lt;0,"🔴 OVERDUE",IF(F10=0,"🟡 TODAY",IF(F10&lt;=2,"🟠 SOON","🟢 LATER"))))</f>
        <v/>
      </c>
    </row>
    <row r="11" customFormat="false" ht="15" hidden="false" customHeight="false" outlineLevel="0" collapsed="false">
      <c r="D11" s="14"/>
      <c r="E11" s="14" t="str">
        <f aca="false">IF(C11="","",IF(D11="","",D11+CHOOSE(C11+1,0,1,3,7,15,30,60,90)))</f>
        <v/>
      </c>
      <c r="F11" s="0" t="str">
        <f aca="true">IF(E11="","",E11-TODAY())</f>
        <v/>
      </c>
      <c r="G11" s="0" t="str">
        <f aca="false">IF(A11="","",IF(F11&lt;0,"🔴 OVERDUE",IF(F11=0,"🟡 TODAY",IF(F11&lt;=2,"🟠 SOON","🟢 LATER"))))</f>
        <v/>
      </c>
    </row>
    <row r="12" customFormat="false" ht="15" hidden="false" customHeight="false" outlineLevel="0" collapsed="false">
      <c r="D12" s="14"/>
      <c r="E12" s="14" t="str">
        <f aca="false">IF(C12="","",IF(D12="","",D12+CHOOSE(C12+1,0,1,3,7,15,30,60,90)))</f>
        <v/>
      </c>
      <c r="F12" s="0" t="str">
        <f aca="true">IF(E12="","",E12-TODAY())</f>
        <v/>
      </c>
      <c r="G12" s="0" t="str">
        <f aca="false">IF(A12="","",IF(F12&lt;0,"🔴 OVERDUE",IF(F12=0,"🟡 TODAY",IF(F12&lt;=2,"🟠 SOON","🟢 LATER"))))</f>
        <v/>
      </c>
    </row>
    <row r="13" customFormat="false" ht="15" hidden="false" customHeight="false" outlineLevel="0" collapsed="false">
      <c r="D13" s="14"/>
      <c r="E13" s="14" t="str">
        <f aca="false">IF(C13="","",IF(D13="","",D13+CHOOSE(C13+1,0,1,3,7,15,30,60,90)))</f>
        <v/>
      </c>
      <c r="F13" s="0" t="str">
        <f aca="true">IF(E13="","",E13-TODAY())</f>
        <v/>
      </c>
      <c r="G13" s="0" t="str">
        <f aca="false">IF(A13="","",IF(F13&lt;0,"🔴 OVERDUE",IF(F13=0,"🟡 TODAY",IF(F13&lt;=2,"🟠 SOON","🟢 LATER"))))</f>
        <v/>
      </c>
    </row>
    <row r="14" customFormat="false" ht="15" hidden="false" customHeight="false" outlineLevel="0" collapsed="false">
      <c r="D14" s="14"/>
      <c r="E14" s="14" t="str">
        <f aca="false">IF(C14="","",IF(D14="","",D14+CHOOSE(C14+1,0,1,3,7,15,30,60,90)))</f>
        <v/>
      </c>
      <c r="F14" s="0" t="str">
        <f aca="true">IF(E14="","",E14-TODAY())</f>
        <v/>
      </c>
      <c r="G14" s="0" t="str">
        <f aca="false">IF(A14="","",IF(F14&lt;0,"🔴 OVERDUE",IF(F14=0,"🟡 TODAY",IF(F14&lt;=2,"🟠 SOON","🟢 LATER"))))</f>
        <v/>
      </c>
    </row>
    <row r="15" customFormat="false" ht="15" hidden="false" customHeight="false" outlineLevel="0" collapsed="false">
      <c r="D15" s="14"/>
      <c r="E15" s="14" t="str">
        <f aca="false">IF(C15="","",IF(D15="","",D15+CHOOSE(C15+1,0,1,3,7,15,30,60,90)))</f>
        <v/>
      </c>
      <c r="F15" s="0" t="str">
        <f aca="true">IF(E15="","",E15-TODAY())</f>
        <v/>
      </c>
      <c r="G15" s="0" t="str">
        <f aca="false">IF(A15="","",IF(F15&lt;0,"🔴 OVERDUE",IF(F15=0,"🟡 TODAY",IF(F15&lt;=2,"🟠 SOON","🟢 LATER"))))</f>
        <v/>
      </c>
    </row>
    <row r="16" customFormat="false" ht="15" hidden="false" customHeight="false" outlineLevel="0" collapsed="false">
      <c r="D16" s="14"/>
      <c r="E16" s="14" t="str">
        <f aca="false">IF(C16="","",IF(D16="","",D16+CHOOSE(C16+1,0,1,3,7,15,30,60,90)))</f>
        <v/>
      </c>
      <c r="F16" s="0" t="str">
        <f aca="true">IF(E16="","",E16-TODAY())</f>
        <v/>
      </c>
      <c r="G16" s="0" t="str">
        <f aca="false">IF(A16="","",IF(F16&lt;0,"🔴 OVERDUE",IF(F16=0,"🟡 TODAY",IF(F16&lt;=2,"🟠 SOON","🟢 LATER"))))</f>
        <v/>
      </c>
    </row>
    <row r="17" customFormat="false" ht="15" hidden="false" customHeight="false" outlineLevel="0" collapsed="false">
      <c r="D17" s="14"/>
      <c r="E17" s="14" t="str">
        <f aca="false">IF(C17="","",IF(D17="","",D17+CHOOSE(C17+1,0,1,3,7,15,30,60,90)))</f>
        <v/>
      </c>
      <c r="F17" s="0" t="str">
        <f aca="true">IF(E17="","",E17-TODAY())</f>
        <v/>
      </c>
      <c r="G17" s="0" t="str">
        <f aca="false">IF(A17="","",IF(F17&lt;0,"🔴 OVERDUE",IF(F17=0,"🟡 TODAY",IF(F17&lt;=2,"🟠 SOON","🟢 LATER"))))</f>
        <v/>
      </c>
    </row>
    <row r="18" customFormat="false" ht="15" hidden="false" customHeight="false" outlineLevel="0" collapsed="false">
      <c r="D18" s="14"/>
      <c r="E18" s="14" t="str">
        <f aca="false">IF(C18="","",IF(D18="","",D18+CHOOSE(C18+1,0,1,3,7,15,30,60,90)))</f>
        <v/>
      </c>
      <c r="F18" s="0" t="str">
        <f aca="true">IF(E18="","",E18-TODAY())</f>
        <v/>
      </c>
      <c r="G18" s="0" t="str">
        <f aca="false">IF(A18="","",IF(F18&lt;0,"🔴 OVERDUE",IF(F18=0,"🟡 TODAY",IF(F18&lt;=2,"🟠 SOON","🟢 LATER"))))</f>
        <v/>
      </c>
    </row>
    <row r="19" customFormat="false" ht="15" hidden="false" customHeight="false" outlineLevel="0" collapsed="false">
      <c r="D19" s="14"/>
      <c r="E19" s="14" t="str">
        <f aca="false">IF(C19="","",IF(D19="","",D19+CHOOSE(C19+1,0,1,3,7,15,30,60,90)))</f>
        <v/>
      </c>
      <c r="F19" s="0" t="str">
        <f aca="true">IF(E19="","",E19-TODAY())</f>
        <v/>
      </c>
      <c r="G19" s="0" t="str">
        <f aca="false">IF(A19="","",IF(F19&lt;0,"🔴 OVERDUE",IF(F19=0,"🟡 TODAY",IF(F19&lt;=2,"🟠 SOON","🟢 LATER"))))</f>
        <v/>
      </c>
    </row>
    <row r="20" customFormat="false" ht="15" hidden="false" customHeight="false" outlineLevel="0" collapsed="false">
      <c r="D20" s="14"/>
      <c r="E20" s="14" t="str">
        <f aca="false">IF(C20="","",IF(D20="","",D20+CHOOSE(C20+1,0,1,3,7,15,30,60,90)))</f>
        <v/>
      </c>
      <c r="F20" s="0" t="str">
        <f aca="true">IF(E20="","",E20-TODAY())</f>
        <v/>
      </c>
      <c r="G20" s="0" t="str">
        <f aca="false">IF(A20="","",IF(F20&lt;0,"🔴 OVERDUE",IF(F20=0,"🟡 TODAY",IF(F20&lt;=2,"🟠 SOON","🟢 LATER"))))</f>
        <v/>
      </c>
    </row>
    <row r="21" customFormat="false" ht="15" hidden="false" customHeight="false" outlineLevel="0" collapsed="false">
      <c r="D21" s="14"/>
      <c r="E21" s="14" t="str">
        <f aca="false">IF(C21="","",IF(D21="","",D21+CHOOSE(C21+1,0,1,3,7,15,30,60,90)))</f>
        <v/>
      </c>
      <c r="F21" s="0" t="str">
        <f aca="true">IF(E21="","",E21-TODAY())</f>
        <v/>
      </c>
      <c r="G21" s="0" t="str">
        <f aca="false">IF(A21="","",IF(F21&lt;0,"🔴 OVERDUE",IF(F21=0,"🟡 TODAY",IF(F21&lt;=2,"🟠 SOON","🟢 LATER"))))</f>
        <v/>
      </c>
    </row>
    <row r="22" customFormat="false" ht="15" hidden="false" customHeight="false" outlineLevel="0" collapsed="false">
      <c r="D22" s="14"/>
      <c r="E22" s="14" t="str">
        <f aca="false">IF(C22="","",IF(D22="","",D22+CHOOSE(C22+1,0,1,3,7,15,30,60,90)))</f>
        <v/>
      </c>
      <c r="F22" s="0" t="str">
        <f aca="true">IF(E22="","",E22-TODAY())</f>
        <v/>
      </c>
      <c r="G22" s="0" t="str">
        <f aca="false">IF(A22="","",IF(F22&lt;0,"🔴 OVERDUE",IF(F22=0,"🟡 TODAY",IF(F22&lt;=2,"🟠 SOON","🟢 LATER"))))</f>
        <v/>
      </c>
    </row>
    <row r="23" customFormat="false" ht="15" hidden="false" customHeight="false" outlineLevel="0" collapsed="false">
      <c r="D23" s="14"/>
      <c r="E23" s="14" t="str">
        <f aca="false">IF(C23="","",IF(D23="","",D23+CHOOSE(C23+1,0,1,3,7,15,30,60,90)))</f>
        <v/>
      </c>
      <c r="F23" s="0" t="str">
        <f aca="true">IF(E23="","",E23-TODAY())</f>
        <v/>
      </c>
      <c r="G23" s="0" t="str">
        <f aca="false">IF(A23="","",IF(F23&lt;0,"🔴 OVERDUE",IF(F23=0,"🟡 TODAY",IF(F23&lt;=2,"🟠 SOON","🟢 LATER"))))</f>
        <v/>
      </c>
    </row>
    <row r="24" customFormat="false" ht="15" hidden="false" customHeight="false" outlineLevel="0" collapsed="false">
      <c r="D24" s="14"/>
      <c r="E24" s="14" t="str">
        <f aca="false">IF(C24="","",IF(D24="","",D24+CHOOSE(C24+1,0,1,3,7,15,30,60,90)))</f>
        <v/>
      </c>
      <c r="F24" s="0" t="str">
        <f aca="true">IF(E24="","",E24-TODAY())</f>
        <v/>
      </c>
      <c r="G24" s="0" t="str">
        <f aca="false">IF(A24="","",IF(F24&lt;0,"🔴 OVERDUE",IF(F24=0,"🟡 TODAY",IF(F24&lt;=2,"🟠 SOON","🟢 LATER"))))</f>
        <v/>
      </c>
    </row>
    <row r="25" customFormat="false" ht="15" hidden="false" customHeight="false" outlineLevel="0" collapsed="false">
      <c r="D25" s="14"/>
      <c r="E25" s="14" t="str">
        <f aca="false">IF(C25="","",IF(D25="","",D25+CHOOSE(C25+1,0,1,3,7,15,30,60,90)))</f>
        <v/>
      </c>
      <c r="F25" s="0" t="str">
        <f aca="true">IF(E25="","",E25-TODAY())</f>
        <v/>
      </c>
      <c r="G25" s="0" t="str">
        <f aca="false">IF(A25="","",IF(F25&lt;0,"🔴 OVERDUE",IF(F25=0,"🟡 TODAY",IF(F25&lt;=2,"🟠 SOON","🟢 LATER"))))</f>
        <v/>
      </c>
    </row>
    <row r="26" customFormat="false" ht="15" hidden="false" customHeight="false" outlineLevel="0" collapsed="false">
      <c r="D26" s="14"/>
      <c r="E26" s="14" t="str">
        <f aca="false">IF(C26="","",IF(D26="","",D26+CHOOSE(C26+1,0,1,3,7,15,30,60,90)))</f>
        <v/>
      </c>
      <c r="F26" s="0" t="str">
        <f aca="true">IF(E26="","",E26-TODAY())</f>
        <v/>
      </c>
      <c r="G26" s="0" t="str">
        <f aca="false">IF(A26="","",IF(F26&lt;0,"🔴 OVERDUE",IF(F26=0,"🟡 TODAY",IF(F26&lt;=2,"🟠 SOON","🟢 LATER"))))</f>
        <v/>
      </c>
    </row>
    <row r="27" customFormat="false" ht="15" hidden="false" customHeight="false" outlineLevel="0" collapsed="false">
      <c r="D27" s="14"/>
      <c r="E27" s="14" t="str">
        <f aca="false">IF(C27="","",IF(D27="","",D27+CHOOSE(C27+1,0,1,3,7,15,30,60,90)))</f>
        <v/>
      </c>
      <c r="F27" s="0" t="str">
        <f aca="true">IF(E27="","",E27-TODAY())</f>
        <v/>
      </c>
      <c r="G27" s="0" t="str">
        <f aca="false">IF(A27="","",IF(F27&lt;0,"🔴 OVERDUE",IF(F27=0,"🟡 TODAY",IF(F27&lt;=2,"🟠 SOON","🟢 LATER"))))</f>
        <v/>
      </c>
    </row>
    <row r="28" customFormat="false" ht="15" hidden="false" customHeight="false" outlineLevel="0" collapsed="false">
      <c r="D28" s="14"/>
      <c r="E28" s="14" t="str">
        <f aca="false">IF(C28="","",IF(D28="","",D28+CHOOSE(C28+1,0,1,3,7,15,30,60,90)))</f>
        <v/>
      </c>
      <c r="F28" s="0" t="str">
        <f aca="true">IF(E28="","",E28-TODAY())</f>
        <v/>
      </c>
      <c r="G28" s="0" t="str">
        <f aca="false">IF(A28="","",IF(F28&lt;0,"🔴 OVERDUE",IF(F28=0,"🟡 TODAY",IF(F28&lt;=2,"🟠 SOON","🟢 LATER"))))</f>
        <v/>
      </c>
    </row>
    <row r="29" customFormat="false" ht="15" hidden="false" customHeight="false" outlineLevel="0" collapsed="false">
      <c r="D29" s="14"/>
      <c r="E29" s="14" t="str">
        <f aca="false">IF(C29="","",IF(D29="","",D29+CHOOSE(C29+1,0,1,3,7,15,30,60,90)))</f>
        <v/>
      </c>
      <c r="F29" s="0" t="str">
        <f aca="true">IF(E29="","",E29-TODAY())</f>
        <v/>
      </c>
      <c r="G29" s="0" t="str">
        <f aca="false">IF(A29="","",IF(F29&lt;0,"🔴 OVERDUE",IF(F29=0,"🟡 TODAY",IF(F29&lt;=2,"🟠 SOON","🟢 LATER"))))</f>
        <v/>
      </c>
    </row>
    <row r="30" customFormat="false" ht="15" hidden="false" customHeight="false" outlineLevel="0" collapsed="false">
      <c r="D30" s="14"/>
      <c r="E30" s="14" t="str">
        <f aca="false">IF(C30="","",IF(D30="","",D30+CHOOSE(C30+1,0,1,3,7,15,30,60,90)))</f>
        <v/>
      </c>
      <c r="F30" s="0" t="str">
        <f aca="true">IF(E30="","",E30-TODAY())</f>
        <v/>
      </c>
      <c r="G30" s="0" t="str">
        <f aca="false">IF(A30="","",IF(F30&lt;0,"🔴 OVERDUE",IF(F30=0,"🟡 TODAY",IF(F30&lt;=2,"🟠 SOON","🟢 LATER"))))</f>
        <v/>
      </c>
    </row>
    <row r="31" customFormat="false" ht="15" hidden="false" customHeight="false" outlineLevel="0" collapsed="false">
      <c r="D31" s="14"/>
      <c r="E31" s="14" t="str">
        <f aca="false">IF(C31="","",IF(D31="","",D31+CHOOSE(C31+1,0,1,3,7,15,30,60,90)))</f>
        <v/>
      </c>
      <c r="F31" s="0" t="str">
        <f aca="true">IF(E31="","",E31-TODAY())</f>
        <v/>
      </c>
      <c r="G31" s="0" t="str">
        <f aca="false">IF(A31="","",IF(F31&lt;0,"🔴 OVERDUE",IF(F31=0,"🟡 TODAY",IF(F31&lt;=2,"🟠 SOON","🟢 LATER"))))</f>
        <v/>
      </c>
    </row>
    <row r="32" customFormat="false" ht="15" hidden="false" customHeight="false" outlineLevel="0" collapsed="false">
      <c r="D32" s="14"/>
      <c r="E32" s="14" t="str">
        <f aca="false">IF(C32="","",IF(D32="","",D32+CHOOSE(C32+1,0,1,3,7,15,30,60,90)))</f>
        <v/>
      </c>
      <c r="F32" s="0" t="str">
        <f aca="true">IF(E32="","",E32-TODAY())</f>
        <v/>
      </c>
      <c r="G32" s="0" t="str">
        <f aca="false">IF(A32="","",IF(F32&lt;0,"🔴 OVERDUE",IF(F32=0,"🟡 TODAY",IF(F32&lt;=2,"🟠 SOON","🟢 LATER"))))</f>
        <v/>
      </c>
    </row>
    <row r="33" customFormat="false" ht="15" hidden="false" customHeight="false" outlineLevel="0" collapsed="false">
      <c r="D33" s="14"/>
      <c r="E33" s="14" t="str">
        <f aca="false">IF(C33="","",IF(D33="","",D33+CHOOSE(C33+1,0,1,3,7,15,30,60,90)))</f>
        <v/>
      </c>
      <c r="F33" s="0" t="str">
        <f aca="true">IF(E33="","",E33-TODAY())</f>
        <v/>
      </c>
      <c r="G33" s="0" t="str">
        <f aca="false">IF(A33="","",IF(F33&lt;0,"🔴 OVERDUE",IF(F33=0,"🟡 TODAY",IF(F33&lt;=2,"🟠 SOON","🟢 LATER"))))</f>
        <v/>
      </c>
    </row>
    <row r="34" customFormat="false" ht="15" hidden="false" customHeight="false" outlineLevel="0" collapsed="false">
      <c r="D34" s="14"/>
      <c r="E34" s="14" t="str">
        <f aca="false">IF(C34="","",IF(D34="","",D34+CHOOSE(C34+1,0,1,3,7,15,30,60,90)))</f>
        <v/>
      </c>
      <c r="F34" s="0" t="str">
        <f aca="true">IF(E34="","",E34-TODAY())</f>
        <v/>
      </c>
      <c r="G34" s="0" t="str">
        <f aca="false">IF(A34="","",IF(F34&lt;0,"🔴 OVERDUE",IF(F34=0,"🟡 TODAY",IF(F34&lt;=2,"🟠 SOON","🟢 LATER"))))</f>
        <v/>
      </c>
    </row>
    <row r="35" customFormat="false" ht="15" hidden="false" customHeight="false" outlineLevel="0" collapsed="false">
      <c r="D35" s="14"/>
      <c r="E35" s="14" t="str">
        <f aca="false">IF(C35="","",IF(D35="","",D35+CHOOSE(C35+1,0,1,3,7,15,30,60,90)))</f>
        <v/>
      </c>
      <c r="F35" s="0" t="str">
        <f aca="true">IF(E35="","",E35-TODAY())</f>
        <v/>
      </c>
      <c r="G35" s="0" t="str">
        <f aca="false">IF(A35="","",IF(F35&lt;0,"🔴 OVERDUE",IF(F35=0,"🟡 TODAY",IF(F35&lt;=2,"🟠 SOON","🟢 LATER"))))</f>
        <v/>
      </c>
    </row>
    <row r="36" customFormat="false" ht="15" hidden="false" customHeight="false" outlineLevel="0" collapsed="false">
      <c r="D36" s="14"/>
      <c r="E36" s="14" t="str">
        <f aca="false">IF(C36="","",IF(D36="","",D36+CHOOSE(C36+1,0,1,3,7,15,30,60,90)))</f>
        <v/>
      </c>
      <c r="F36" s="0" t="str">
        <f aca="true">IF(E36="","",E36-TODAY())</f>
        <v/>
      </c>
      <c r="G36" s="0" t="str">
        <f aca="false">IF(A36="","",IF(F36&lt;0,"🔴 OVERDUE",IF(F36=0,"🟡 TODAY",IF(F36&lt;=2,"🟠 SOON","🟢 LATER"))))</f>
        <v/>
      </c>
    </row>
    <row r="37" customFormat="false" ht="15" hidden="false" customHeight="false" outlineLevel="0" collapsed="false">
      <c r="D37" s="14"/>
      <c r="E37" s="14" t="str">
        <f aca="false">IF(C37="","",IF(D37="","",D37+CHOOSE(C37+1,0,1,3,7,15,30,60,90)))</f>
        <v/>
      </c>
      <c r="F37" s="0" t="str">
        <f aca="true">IF(E37="","",E37-TODAY())</f>
        <v/>
      </c>
      <c r="G37" s="0" t="str">
        <f aca="false">IF(A37="","",IF(F37&lt;0,"🔴 OVERDUE",IF(F37=0,"🟡 TODAY",IF(F37&lt;=2,"🟠 SOON","🟢 LATER"))))</f>
        <v/>
      </c>
    </row>
    <row r="38" customFormat="false" ht="15" hidden="false" customHeight="false" outlineLevel="0" collapsed="false">
      <c r="D38" s="14"/>
      <c r="E38" s="14" t="str">
        <f aca="false">IF(C38="","",IF(D38="","",D38+CHOOSE(C38+1,0,1,3,7,15,30,60,90)))</f>
        <v/>
      </c>
      <c r="F38" s="0" t="str">
        <f aca="true">IF(E38="","",E38-TODAY())</f>
        <v/>
      </c>
      <c r="G38" s="0" t="str">
        <f aca="false">IF(A38="","",IF(F38&lt;0,"🔴 OVERDUE",IF(F38=0,"🟡 TODAY",IF(F38&lt;=2,"🟠 SOON","🟢 LATER"))))</f>
        <v/>
      </c>
    </row>
    <row r="39" customFormat="false" ht="15" hidden="false" customHeight="false" outlineLevel="0" collapsed="false">
      <c r="D39" s="14"/>
      <c r="E39" s="14" t="str">
        <f aca="false">IF(C39="","",IF(D39="","",D39+CHOOSE(C39+1,0,1,3,7,15,30,60,90)))</f>
        <v/>
      </c>
      <c r="F39" s="0" t="str">
        <f aca="true">IF(E39="","",E39-TODAY())</f>
        <v/>
      </c>
      <c r="G39" s="0" t="str">
        <f aca="false">IF(A39="","",IF(F39&lt;0,"🔴 OVERDUE",IF(F39=0,"🟡 TODAY",IF(F39&lt;=2,"🟠 SOON","🟢 LATER"))))</f>
        <v/>
      </c>
    </row>
    <row r="40" customFormat="false" ht="15" hidden="false" customHeight="false" outlineLevel="0" collapsed="false">
      <c r="D40" s="14"/>
      <c r="E40" s="14" t="str">
        <f aca="false">IF(C40="","",IF(D40="","",D40+CHOOSE(C40+1,0,1,3,7,15,30,60,90)))</f>
        <v/>
      </c>
      <c r="F40" s="0" t="str">
        <f aca="true">IF(E40="","",E40-TODAY())</f>
        <v/>
      </c>
      <c r="G40" s="0" t="str">
        <f aca="false">IF(A40="","",IF(F40&lt;0,"🔴 OVERDUE",IF(F40=0,"🟡 TODAY",IF(F40&lt;=2,"🟠 SOON","🟢 LATER"))))</f>
        <v/>
      </c>
    </row>
    <row r="41" customFormat="false" ht="15" hidden="false" customHeight="false" outlineLevel="0" collapsed="false">
      <c r="D41" s="14"/>
      <c r="E41" s="14" t="str">
        <f aca="false">IF(C41="","",IF(D41="","",D41+CHOOSE(C41+1,0,1,3,7,15,30,60,90)))</f>
        <v/>
      </c>
      <c r="F41" s="0" t="str">
        <f aca="true">IF(E41="","",E41-TODAY())</f>
        <v/>
      </c>
      <c r="G41" s="0" t="str">
        <f aca="false">IF(A41="","",IF(F41&lt;0,"🔴 OVERDUE",IF(F41=0,"🟡 TODAY",IF(F41&lt;=2,"🟠 SOON","🟢 LATER"))))</f>
        <v/>
      </c>
    </row>
    <row r="42" customFormat="false" ht="15" hidden="false" customHeight="false" outlineLevel="0" collapsed="false">
      <c r="D42" s="14"/>
      <c r="E42" s="14" t="str">
        <f aca="false">IF(C42="","",IF(D42="","",D42+CHOOSE(C42+1,0,1,3,7,15,30,60,90)))</f>
        <v/>
      </c>
      <c r="F42" s="0" t="str">
        <f aca="true">IF(E42="","",E42-TODAY())</f>
        <v/>
      </c>
      <c r="G42" s="0" t="str">
        <f aca="false">IF(A42="","",IF(F42&lt;0,"🔴 OVERDUE",IF(F42=0,"🟡 TODAY",IF(F42&lt;=2,"🟠 SOON","🟢 LATER"))))</f>
        <v/>
      </c>
    </row>
    <row r="43" customFormat="false" ht="15" hidden="false" customHeight="false" outlineLevel="0" collapsed="false">
      <c r="D43" s="14"/>
      <c r="E43" s="14" t="str">
        <f aca="false">IF(C43="","",IF(D43="","",D43+CHOOSE(C43+1,0,1,3,7,15,30,60,90)))</f>
        <v/>
      </c>
      <c r="F43" s="0" t="str">
        <f aca="true">IF(E43="","",E43-TODAY())</f>
        <v/>
      </c>
      <c r="G43" s="0" t="str">
        <f aca="false">IF(A43="","",IF(F43&lt;0,"🔴 OVERDUE",IF(F43=0,"🟡 TODAY",IF(F43&lt;=2,"🟠 SOON","🟢 LATER"))))</f>
        <v/>
      </c>
    </row>
    <row r="44" customFormat="false" ht="15" hidden="false" customHeight="false" outlineLevel="0" collapsed="false">
      <c r="D44" s="14"/>
      <c r="E44" s="14" t="str">
        <f aca="false">IF(C44="","",IF(D44="","",D44+CHOOSE(C44+1,0,1,3,7,15,30,60,90)))</f>
        <v/>
      </c>
      <c r="F44" s="0" t="str">
        <f aca="true">IF(E44="","",E44-TODAY())</f>
        <v/>
      </c>
      <c r="G44" s="0" t="str">
        <f aca="false">IF(A44="","",IF(F44&lt;0,"🔴 OVERDUE",IF(F44=0,"🟡 TODAY",IF(F44&lt;=2,"🟠 SOON","🟢 LATER"))))</f>
        <v/>
      </c>
    </row>
    <row r="45" customFormat="false" ht="15" hidden="false" customHeight="false" outlineLevel="0" collapsed="false">
      <c r="D45" s="14"/>
      <c r="E45" s="14" t="str">
        <f aca="false">IF(C45="","",IF(D45="","",D45+CHOOSE(C45+1,0,1,3,7,15,30,60,90)))</f>
        <v/>
      </c>
      <c r="F45" s="0" t="str">
        <f aca="true">IF(E45="","",E45-TODAY())</f>
        <v/>
      </c>
      <c r="G45" s="0" t="str">
        <f aca="false">IF(A45="","",IF(F45&lt;0,"🔴 OVERDUE",IF(F45=0,"🟡 TODAY",IF(F45&lt;=2,"🟠 SOON","🟢 LATER"))))</f>
        <v/>
      </c>
    </row>
    <row r="46" customFormat="false" ht="15" hidden="false" customHeight="false" outlineLevel="0" collapsed="false">
      <c r="D46" s="14"/>
      <c r="E46" s="14" t="str">
        <f aca="false">IF(C46="","",IF(D46="","",D46+CHOOSE(C46+1,0,1,3,7,15,30,60,90)))</f>
        <v/>
      </c>
      <c r="F46" s="0" t="str">
        <f aca="true">IF(E46="","",E46-TODAY())</f>
        <v/>
      </c>
      <c r="G46" s="0" t="str">
        <f aca="false">IF(A46="","",IF(F46&lt;0,"🔴 OVERDUE",IF(F46=0,"🟡 TODAY",IF(F46&lt;=2,"🟠 SOON","🟢 LATER"))))</f>
        <v/>
      </c>
    </row>
    <row r="47" customFormat="false" ht="15" hidden="false" customHeight="false" outlineLevel="0" collapsed="false">
      <c r="D47" s="14"/>
      <c r="E47" s="14" t="str">
        <f aca="false">IF(C47="","",IF(D47="","",D47+CHOOSE(C47+1,0,1,3,7,15,30,60,90)))</f>
        <v/>
      </c>
      <c r="F47" s="0" t="str">
        <f aca="true">IF(E47="","",E47-TODAY())</f>
        <v/>
      </c>
      <c r="G47" s="0" t="str">
        <f aca="false">IF(A47="","",IF(F47&lt;0,"🔴 OVERDUE",IF(F47=0,"🟡 TODAY",IF(F47&lt;=2,"🟠 SOON","🟢 LATER"))))</f>
        <v/>
      </c>
    </row>
    <row r="48" customFormat="false" ht="15" hidden="false" customHeight="false" outlineLevel="0" collapsed="false">
      <c r="D48" s="14"/>
      <c r="E48" s="14" t="str">
        <f aca="false">IF(C48="","",IF(D48="","",D48+CHOOSE(C48+1,0,1,3,7,15,30,60,90)))</f>
        <v/>
      </c>
      <c r="F48" s="0" t="str">
        <f aca="true">IF(E48="","",E48-TODAY())</f>
        <v/>
      </c>
      <c r="G48" s="0" t="str">
        <f aca="false">IF(A48="","",IF(F48&lt;0,"🔴 OVERDUE",IF(F48=0,"🟡 TODAY",IF(F48&lt;=2,"🟠 SOON","🟢 LATER"))))</f>
        <v/>
      </c>
    </row>
    <row r="49" customFormat="false" ht="15" hidden="false" customHeight="false" outlineLevel="0" collapsed="false">
      <c r="D49" s="14"/>
      <c r="E49" s="14" t="str">
        <f aca="false">IF(C49="","",IF(D49="","",D49+CHOOSE(C49+1,0,1,3,7,15,30,60,90)))</f>
        <v/>
      </c>
      <c r="F49" s="0" t="str">
        <f aca="true">IF(E49="","",E49-TODAY())</f>
        <v/>
      </c>
      <c r="G49" s="0" t="str">
        <f aca="false">IF(A49="","",IF(F49&lt;0,"🔴 OVERDUE",IF(F49=0,"🟡 TODAY",IF(F49&lt;=2,"🟠 SOON","🟢 LATER"))))</f>
        <v/>
      </c>
    </row>
    <row r="50" customFormat="false" ht="15" hidden="false" customHeight="false" outlineLevel="0" collapsed="false">
      <c r="D50" s="14"/>
      <c r="E50" s="14" t="str">
        <f aca="false">IF(C50="","",IF(D50="","",D50+CHOOSE(C50+1,0,1,3,7,15,30,60,90)))</f>
        <v/>
      </c>
      <c r="F50" s="0" t="str">
        <f aca="true">IF(E50="","",E50-TODAY())</f>
        <v/>
      </c>
      <c r="G50" s="0" t="str">
        <f aca="false">IF(A50="","",IF(F50&lt;0,"🔴 OVERDUE",IF(F50=0,"🟡 TODAY",IF(F50&lt;=2,"🟠 SOON","🟢 LATER"))))</f>
        <v/>
      </c>
    </row>
    <row r="51" customFormat="false" ht="15" hidden="false" customHeight="false" outlineLevel="0" collapsed="false">
      <c r="D51" s="14"/>
      <c r="E51" s="14" t="str">
        <f aca="false">IF(C51="","",IF(D51="","",D51+CHOOSE(C51+1,0,1,3,7,15,30,60,90)))</f>
        <v/>
      </c>
      <c r="F51" s="0" t="str">
        <f aca="true">IF(E51="","",E51-TODAY())</f>
        <v/>
      </c>
      <c r="G51" s="0" t="str">
        <f aca="false">IF(A51="","",IF(F51&lt;0,"🔴 OVERDUE",IF(F51=0,"🟡 TODAY",IF(F51&lt;=2,"🟠 SOON","🟢 LATER"))))</f>
        <v/>
      </c>
    </row>
    <row r="52" customFormat="false" ht="15" hidden="false" customHeight="false" outlineLevel="0" collapsed="false">
      <c r="D52" s="14"/>
      <c r="E52" s="14" t="str">
        <f aca="false">IF(C52="","",IF(D52="","",D52+CHOOSE(C52+1,0,1,3,7,15,30,60,90)))</f>
        <v/>
      </c>
      <c r="F52" s="0" t="str">
        <f aca="true">IF(E52="","",E52-TODAY())</f>
        <v/>
      </c>
      <c r="G52" s="0" t="str">
        <f aca="false">IF(A52="","",IF(F52&lt;0,"🔴 OVERDUE",IF(F52=0,"🟡 TODAY",IF(F52&lt;=2,"🟠 SOON","🟢 LATER"))))</f>
        <v/>
      </c>
    </row>
    <row r="53" customFormat="false" ht="15" hidden="false" customHeight="false" outlineLevel="0" collapsed="false">
      <c r="D53" s="14"/>
      <c r="E53" s="14" t="str">
        <f aca="false">IF(C53="","",IF(D53="","",D53+CHOOSE(C53+1,0,1,3,7,15,30,60,90)))</f>
        <v/>
      </c>
      <c r="F53" s="0" t="str">
        <f aca="true">IF(E53="","",E53-TODAY())</f>
        <v/>
      </c>
      <c r="G53" s="0" t="str">
        <f aca="false">IF(A53="","",IF(F53&lt;0,"🔴 OVERDUE",IF(F53=0,"🟡 TODAY",IF(F53&lt;=2,"🟠 SOON","🟢 LATER"))))</f>
        <v/>
      </c>
    </row>
    <row r="54" customFormat="false" ht="15" hidden="false" customHeight="false" outlineLevel="0" collapsed="false">
      <c r="D54" s="14"/>
      <c r="E54" s="14" t="str">
        <f aca="false">IF(C54="","",IF(D54="","",D54+CHOOSE(C54+1,0,1,3,7,15,30,60,90)))</f>
        <v/>
      </c>
      <c r="F54" s="0" t="str">
        <f aca="true">IF(E54="","",E54-TODAY())</f>
        <v/>
      </c>
      <c r="G54" s="0" t="str">
        <f aca="false">IF(A54="","",IF(F54&lt;0,"🔴 OVERDUE",IF(F54=0,"🟡 TODAY",IF(F54&lt;=2,"🟠 SOON","🟢 LATER"))))</f>
        <v/>
      </c>
    </row>
    <row r="55" customFormat="false" ht="15" hidden="false" customHeight="false" outlineLevel="0" collapsed="false">
      <c r="D55" s="14"/>
      <c r="E55" s="14" t="str">
        <f aca="false">IF(C55="","",IF(D55="","",D55+CHOOSE(C55+1,0,1,3,7,15,30,60,90)))</f>
        <v/>
      </c>
      <c r="F55" s="0" t="str">
        <f aca="true">IF(E55="","",E55-TODAY())</f>
        <v/>
      </c>
      <c r="G55" s="0" t="str">
        <f aca="false">IF(A55="","",IF(F55&lt;0,"🔴 OVERDUE",IF(F55=0,"🟡 TODAY",IF(F55&lt;=2,"🟠 SOON","🟢 LATER"))))</f>
        <v/>
      </c>
    </row>
    <row r="56" customFormat="false" ht="15" hidden="false" customHeight="false" outlineLevel="0" collapsed="false">
      <c r="D56" s="14"/>
      <c r="E56" s="14" t="str">
        <f aca="false">IF(C56="","",IF(D56="","",D56+CHOOSE(C56+1,0,1,3,7,15,30,60,90)))</f>
        <v/>
      </c>
      <c r="F56" s="0" t="str">
        <f aca="true">IF(E56="","",E56-TODAY())</f>
        <v/>
      </c>
      <c r="G56" s="0" t="str">
        <f aca="false">IF(A56="","",IF(F56&lt;0,"🔴 OVERDUE",IF(F56=0,"🟡 TODAY",IF(F56&lt;=2,"🟠 SOON","🟢 LATER"))))</f>
        <v/>
      </c>
    </row>
    <row r="57" customFormat="false" ht="15" hidden="false" customHeight="false" outlineLevel="0" collapsed="false">
      <c r="D57" s="14"/>
      <c r="E57" s="14" t="str">
        <f aca="false">IF(C57="","",IF(D57="","",D57+CHOOSE(C57+1,0,1,3,7,15,30,60,90)))</f>
        <v/>
      </c>
      <c r="F57" s="0" t="str">
        <f aca="true">IF(E57="","",E57-TODAY())</f>
        <v/>
      </c>
      <c r="G57" s="0" t="str">
        <f aca="false">IF(A57="","",IF(F57&lt;0,"🔴 OVERDUE",IF(F57=0,"🟡 TODAY",IF(F57&lt;=2,"🟠 SOON","🟢 LATER"))))</f>
        <v/>
      </c>
    </row>
    <row r="58" customFormat="false" ht="15" hidden="false" customHeight="false" outlineLevel="0" collapsed="false">
      <c r="D58" s="14"/>
      <c r="E58" s="14" t="str">
        <f aca="false">IF(C58="","",IF(D58="","",D58+CHOOSE(C58+1,0,1,3,7,15,30,60,90)))</f>
        <v/>
      </c>
      <c r="F58" s="0" t="str">
        <f aca="true">IF(E58="","",E58-TODAY())</f>
        <v/>
      </c>
      <c r="G58" s="0" t="str">
        <f aca="false">IF(A58="","",IF(F58&lt;0,"🔴 OVERDUE",IF(F58=0,"🟡 TODAY",IF(F58&lt;=2,"🟠 SOON","🟢 LATER"))))</f>
        <v/>
      </c>
    </row>
    <row r="59" customFormat="false" ht="15" hidden="false" customHeight="false" outlineLevel="0" collapsed="false">
      <c r="D59" s="14"/>
      <c r="E59" s="14" t="str">
        <f aca="false">IF(C59="","",IF(D59="","",D59+CHOOSE(C59+1,0,1,3,7,15,30,60,90)))</f>
        <v/>
      </c>
      <c r="F59" s="0" t="str">
        <f aca="true">IF(E59="","",E59-TODAY())</f>
        <v/>
      </c>
      <c r="G59" s="0" t="str">
        <f aca="false">IF(A59="","",IF(F59&lt;0,"🔴 OVERDUE",IF(F59=0,"🟡 TODAY",IF(F59&lt;=2,"🟠 SOON","🟢 LATER"))))</f>
        <v/>
      </c>
    </row>
    <row r="60" customFormat="false" ht="15" hidden="false" customHeight="false" outlineLevel="0" collapsed="false">
      <c r="D60" s="14"/>
      <c r="E60" s="14" t="str">
        <f aca="false">IF(C60="","",IF(D60="","",D60+CHOOSE(C60+1,0,1,3,7,15,30,60,90)))</f>
        <v/>
      </c>
      <c r="F60" s="0" t="str">
        <f aca="true">IF(E60="","",E60-TODAY())</f>
        <v/>
      </c>
      <c r="G60" s="0" t="str">
        <f aca="false">IF(A60="","",IF(F60&lt;0,"🔴 OVERDUE",IF(F60=0,"🟡 TODAY",IF(F60&lt;=2,"🟠 SOON","🟢 LATER"))))</f>
        <v/>
      </c>
    </row>
    <row r="61" customFormat="false" ht="15" hidden="false" customHeight="false" outlineLevel="0" collapsed="false">
      <c r="D61" s="14"/>
      <c r="E61" s="14" t="str">
        <f aca="false">IF(C61="","",IF(D61="","",D61+CHOOSE(C61+1,0,1,3,7,15,30,60,90)))</f>
        <v/>
      </c>
      <c r="F61" s="0" t="str">
        <f aca="true">IF(E61="","",E61-TODAY())</f>
        <v/>
      </c>
      <c r="G61" s="0" t="str">
        <f aca="false">IF(A61="","",IF(F61&lt;0,"🔴 OVERDUE",IF(F61=0,"🟡 TODAY",IF(F61&lt;=2,"🟠 SOON","🟢 LATER"))))</f>
        <v/>
      </c>
    </row>
    <row r="62" customFormat="false" ht="15" hidden="false" customHeight="false" outlineLevel="0" collapsed="false">
      <c r="D62" s="14"/>
      <c r="E62" s="14" t="str">
        <f aca="false">IF(C62="","",IF(D62="","",D62+CHOOSE(C62+1,0,1,3,7,15,30,60,90)))</f>
        <v/>
      </c>
      <c r="F62" s="0" t="str">
        <f aca="true">IF(E62="","",E62-TODAY())</f>
        <v/>
      </c>
      <c r="G62" s="0" t="str">
        <f aca="false">IF(A62="","",IF(F62&lt;0,"🔴 OVERDUE",IF(F62=0,"🟡 TODAY",IF(F62&lt;=2,"🟠 SOON","🟢 LATER"))))</f>
        <v/>
      </c>
    </row>
    <row r="63" customFormat="false" ht="15" hidden="false" customHeight="false" outlineLevel="0" collapsed="false">
      <c r="D63" s="14"/>
      <c r="E63" s="14" t="str">
        <f aca="false">IF(C63="","",IF(D63="","",D63+CHOOSE(C63+1,0,1,3,7,15,30,60,90)))</f>
        <v/>
      </c>
      <c r="F63" s="0" t="str">
        <f aca="true">IF(E63="","",E63-TODAY())</f>
        <v/>
      </c>
      <c r="G63" s="0" t="str">
        <f aca="false">IF(A63="","",IF(F63&lt;0,"🔴 OVERDUE",IF(F63=0,"🟡 TODAY",IF(F63&lt;=2,"🟠 SOON","🟢 LATER"))))</f>
        <v/>
      </c>
    </row>
    <row r="64" customFormat="false" ht="15" hidden="false" customHeight="false" outlineLevel="0" collapsed="false">
      <c r="D64" s="14"/>
      <c r="E64" s="14" t="str">
        <f aca="false">IF(C64="","",IF(D64="","",D64+CHOOSE(C64+1,0,1,3,7,15,30,60,90)))</f>
        <v/>
      </c>
      <c r="F64" s="0" t="str">
        <f aca="true">IF(E64="","",E64-TODAY())</f>
        <v/>
      </c>
      <c r="G64" s="0" t="str">
        <f aca="false">IF(A64="","",IF(F64&lt;0,"🔴 OVERDUE",IF(F64=0,"🟡 TODAY",IF(F64&lt;=2,"🟠 SOON","🟢 LATER"))))</f>
        <v/>
      </c>
    </row>
    <row r="65" customFormat="false" ht="15" hidden="false" customHeight="false" outlineLevel="0" collapsed="false">
      <c r="D65" s="14"/>
      <c r="E65" s="14" t="str">
        <f aca="false">IF(C65="","",IF(D65="","",D65+CHOOSE(C65+1,0,1,3,7,15,30,60,90)))</f>
        <v/>
      </c>
      <c r="F65" s="0" t="str">
        <f aca="true">IF(E65="","",E65-TODAY())</f>
        <v/>
      </c>
      <c r="G65" s="0" t="str">
        <f aca="false">IF(A65="","",IF(F65&lt;0,"🔴 OVERDUE",IF(F65=0,"🟡 TODAY",IF(F65&lt;=2,"🟠 SOON","🟢 LATER"))))</f>
        <v/>
      </c>
    </row>
    <row r="66" customFormat="false" ht="15" hidden="false" customHeight="false" outlineLevel="0" collapsed="false">
      <c r="D66" s="14"/>
      <c r="E66" s="14" t="str">
        <f aca="false">IF(C66="","",IF(D66="","",D66+CHOOSE(C66+1,0,1,3,7,15,30,60,90)))</f>
        <v/>
      </c>
      <c r="F66" s="0" t="str">
        <f aca="true">IF(E66="","",E66-TODAY())</f>
        <v/>
      </c>
      <c r="G66" s="0" t="str">
        <f aca="false">IF(A66="","",IF(F66&lt;0,"🔴 OVERDUE",IF(F66=0,"🟡 TODAY",IF(F66&lt;=2,"🟠 SOON","🟢 LATER"))))</f>
        <v/>
      </c>
    </row>
    <row r="67" customFormat="false" ht="15" hidden="false" customHeight="false" outlineLevel="0" collapsed="false">
      <c r="D67" s="14"/>
      <c r="E67" s="14" t="str">
        <f aca="false">IF(C67="","",IF(D67="","",D67+CHOOSE(C67+1,0,1,3,7,15,30,60,90)))</f>
        <v/>
      </c>
      <c r="F67" s="0" t="str">
        <f aca="true">IF(E67="","",E67-TODAY())</f>
        <v/>
      </c>
      <c r="G67" s="0" t="str">
        <f aca="false">IF(A67="","",IF(F67&lt;0,"🔴 OVERDUE",IF(F67=0,"🟡 TODAY",IF(F67&lt;=2,"🟠 SOON","🟢 LATER"))))</f>
        <v/>
      </c>
    </row>
    <row r="68" customFormat="false" ht="15" hidden="false" customHeight="false" outlineLevel="0" collapsed="false">
      <c r="D68" s="14"/>
      <c r="E68" s="14" t="str">
        <f aca="false">IF(C68="","",IF(D68="","",D68+CHOOSE(C68+1,0,1,3,7,15,30,60,90)))</f>
        <v/>
      </c>
      <c r="F68" s="0" t="str">
        <f aca="true">IF(E68="","",E68-TODAY())</f>
        <v/>
      </c>
      <c r="G68" s="0" t="str">
        <f aca="false">IF(A68="","",IF(F68&lt;0,"🔴 OVERDUE",IF(F68=0,"🟡 TODAY",IF(F68&lt;=2,"🟠 SOON","🟢 LATER"))))</f>
        <v/>
      </c>
    </row>
    <row r="69" customFormat="false" ht="15" hidden="false" customHeight="false" outlineLevel="0" collapsed="false">
      <c r="D69" s="14"/>
      <c r="E69" s="14" t="str">
        <f aca="false">IF(C69="","",IF(D69="","",D69+CHOOSE(C69+1,0,1,3,7,15,30,60,90)))</f>
        <v/>
      </c>
      <c r="F69" s="0" t="str">
        <f aca="true">IF(E69="","",E69-TODAY())</f>
        <v/>
      </c>
      <c r="G69" s="0" t="str">
        <f aca="false">IF(A69="","",IF(F69&lt;0,"🔴 OVERDUE",IF(F69=0,"🟡 TODAY",IF(F69&lt;=2,"🟠 SOON","🟢 LATER"))))</f>
        <v/>
      </c>
    </row>
    <row r="70" customFormat="false" ht="15" hidden="false" customHeight="false" outlineLevel="0" collapsed="false">
      <c r="D70" s="14"/>
      <c r="E70" s="14" t="str">
        <f aca="false">IF(C70="","",IF(D70="","",D70+CHOOSE(C70+1,0,1,3,7,15,30,60,90)))</f>
        <v/>
      </c>
      <c r="F70" s="0" t="str">
        <f aca="true">IF(E70="","",E70-TODAY())</f>
        <v/>
      </c>
      <c r="G70" s="0" t="str">
        <f aca="false">IF(A70="","",IF(F70&lt;0,"🔴 OVERDUE",IF(F70=0,"🟡 TODAY",IF(F70&lt;=2,"🟠 SOON","🟢 LATER"))))</f>
        <v/>
      </c>
    </row>
    <row r="71" customFormat="false" ht="15" hidden="false" customHeight="false" outlineLevel="0" collapsed="false">
      <c r="D71" s="14"/>
      <c r="E71" s="14" t="str">
        <f aca="false">IF(C71="","",IF(D71="","",D71+CHOOSE(C71+1,0,1,3,7,15,30,60,90)))</f>
        <v/>
      </c>
      <c r="F71" s="0" t="str">
        <f aca="true">IF(E71="","",E71-TODAY())</f>
        <v/>
      </c>
      <c r="G71" s="0" t="str">
        <f aca="false">IF(A71="","",IF(F71&lt;0,"🔴 OVERDUE",IF(F71=0,"🟡 TODAY",IF(F71&lt;=2,"🟠 SOON","🟢 LATER"))))</f>
        <v/>
      </c>
    </row>
    <row r="72" customFormat="false" ht="15" hidden="false" customHeight="false" outlineLevel="0" collapsed="false">
      <c r="D72" s="14"/>
      <c r="E72" s="14" t="str">
        <f aca="false">IF(C72="","",IF(D72="","",D72+CHOOSE(C72+1,0,1,3,7,15,30,60,90)))</f>
        <v/>
      </c>
      <c r="F72" s="0" t="str">
        <f aca="true">IF(E72="","",E72-TODAY())</f>
        <v/>
      </c>
      <c r="G72" s="0" t="str">
        <f aca="false">IF(A72="","",IF(F72&lt;0,"🔴 OVERDUE",IF(F72=0,"🟡 TODAY",IF(F72&lt;=2,"🟠 SOON","🟢 LATER"))))</f>
        <v/>
      </c>
    </row>
    <row r="73" customFormat="false" ht="15" hidden="false" customHeight="false" outlineLevel="0" collapsed="false">
      <c r="D73" s="14"/>
      <c r="E73" s="14" t="str">
        <f aca="false">IF(C73="","",IF(D73="","",D73+CHOOSE(C73+1,0,1,3,7,15,30,60,90)))</f>
        <v/>
      </c>
      <c r="F73" s="0" t="str">
        <f aca="true">IF(E73="","",E73-TODAY())</f>
        <v/>
      </c>
      <c r="G73" s="0" t="str">
        <f aca="false">IF(A73="","",IF(F73&lt;0,"🔴 OVERDUE",IF(F73=0,"🟡 TODAY",IF(F73&lt;=2,"🟠 SOON","🟢 LATER"))))</f>
        <v/>
      </c>
    </row>
    <row r="74" customFormat="false" ht="15" hidden="false" customHeight="false" outlineLevel="0" collapsed="false">
      <c r="D74" s="14"/>
      <c r="E74" s="14" t="str">
        <f aca="false">IF(C74="","",IF(D74="","",D74+CHOOSE(C74+1,0,1,3,7,15,30,60,90)))</f>
        <v/>
      </c>
      <c r="F74" s="0" t="str">
        <f aca="true">IF(E74="","",E74-TODAY())</f>
        <v/>
      </c>
      <c r="G74" s="0" t="str">
        <f aca="false">IF(A74="","",IF(F74&lt;0,"🔴 OVERDUE",IF(F74=0,"🟡 TODAY",IF(F74&lt;=2,"🟠 SOON","🟢 LATER"))))</f>
        <v/>
      </c>
    </row>
    <row r="75" customFormat="false" ht="15" hidden="false" customHeight="false" outlineLevel="0" collapsed="false">
      <c r="D75" s="14"/>
      <c r="E75" s="14" t="str">
        <f aca="false">IF(C75="","",IF(D75="","",D75+CHOOSE(C75+1,0,1,3,7,15,30,60,90)))</f>
        <v/>
      </c>
      <c r="F75" s="0" t="str">
        <f aca="true">IF(E75="","",E75-TODAY())</f>
        <v/>
      </c>
      <c r="G75" s="0" t="str">
        <f aca="false">IF(A75="","",IF(F75&lt;0,"🔴 OVERDUE",IF(F75=0,"🟡 TODAY",IF(F75&lt;=2,"🟠 SOON","🟢 LATER"))))</f>
        <v/>
      </c>
    </row>
    <row r="76" customFormat="false" ht="15" hidden="false" customHeight="false" outlineLevel="0" collapsed="false">
      <c r="D76" s="14"/>
      <c r="E76" s="14" t="str">
        <f aca="false">IF(C76="","",IF(D76="","",D76+CHOOSE(C76+1,0,1,3,7,15,30,60,90)))</f>
        <v/>
      </c>
      <c r="F76" s="0" t="str">
        <f aca="true">IF(E76="","",E76-TODAY())</f>
        <v/>
      </c>
      <c r="G76" s="0" t="str">
        <f aca="false">IF(A76="","",IF(F76&lt;0,"🔴 OVERDUE",IF(F76=0,"🟡 TODAY",IF(F76&lt;=2,"🟠 SOON","🟢 LATER"))))</f>
        <v/>
      </c>
    </row>
    <row r="77" customFormat="false" ht="15" hidden="false" customHeight="false" outlineLevel="0" collapsed="false">
      <c r="D77" s="14"/>
      <c r="E77" s="14" t="str">
        <f aca="false">IF(C77="","",IF(D77="","",D77+CHOOSE(C77+1,0,1,3,7,15,30,60,90)))</f>
        <v/>
      </c>
      <c r="F77" s="0" t="str">
        <f aca="true">IF(E77="","",E77-TODAY())</f>
        <v/>
      </c>
      <c r="G77" s="0" t="str">
        <f aca="false">IF(A77="","",IF(F77&lt;0,"🔴 OVERDUE",IF(F77=0,"🟡 TODAY",IF(F77&lt;=2,"🟠 SOON","🟢 LATER"))))</f>
        <v/>
      </c>
    </row>
    <row r="78" customFormat="false" ht="15" hidden="false" customHeight="false" outlineLevel="0" collapsed="false">
      <c r="D78" s="14"/>
      <c r="E78" s="14" t="str">
        <f aca="false">IF(C78="","",IF(D78="","",D78+CHOOSE(C78+1,0,1,3,7,15,30,60,90)))</f>
        <v/>
      </c>
      <c r="F78" s="0" t="str">
        <f aca="true">IF(E78="","",E78-TODAY())</f>
        <v/>
      </c>
      <c r="G78" s="0" t="str">
        <f aca="false">IF(A78="","",IF(F78&lt;0,"🔴 OVERDUE",IF(F78=0,"🟡 TODAY",IF(F78&lt;=2,"🟠 SOON","🟢 LATER"))))</f>
        <v/>
      </c>
    </row>
    <row r="79" customFormat="false" ht="15" hidden="false" customHeight="false" outlineLevel="0" collapsed="false">
      <c r="D79" s="14"/>
      <c r="E79" s="14" t="str">
        <f aca="false">IF(C79="","",IF(D79="","",D79+CHOOSE(C79+1,0,1,3,7,15,30,60,90)))</f>
        <v/>
      </c>
      <c r="F79" s="0" t="str">
        <f aca="true">IF(E79="","",E79-TODAY())</f>
        <v/>
      </c>
      <c r="G79" s="0" t="str">
        <f aca="false">IF(A79="","",IF(F79&lt;0,"🔴 OVERDUE",IF(F79=0,"🟡 TODAY",IF(F79&lt;=2,"🟠 SOON","🟢 LATER"))))</f>
        <v/>
      </c>
    </row>
    <row r="80" customFormat="false" ht="15" hidden="false" customHeight="false" outlineLevel="0" collapsed="false">
      <c r="D80" s="14"/>
      <c r="E80" s="14" t="str">
        <f aca="false">IF(C80="","",IF(D80="","",D80+CHOOSE(C80+1,0,1,3,7,15,30,60,90)))</f>
        <v/>
      </c>
      <c r="F80" s="0" t="str">
        <f aca="true">IF(E80="","",E80-TODAY())</f>
        <v/>
      </c>
      <c r="G80" s="0" t="str">
        <f aca="false">IF(A80="","",IF(F80&lt;0,"🔴 OVERDUE",IF(F80=0,"🟡 TODAY",IF(F80&lt;=2,"🟠 SOON","🟢 LATER"))))</f>
        <v/>
      </c>
    </row>
    <row r="81" customFormat="false" ht="15" hidden="false" customHeight="false" outlineLevel="0" collapsed="false">
      <c r="D81" s="14"/>
      <c r="E81" s="14" t="str">
        <f aca="false">IF(C81="","",IF(D81="","",D81+CHOOSE(C81+1,0,1,3,7,15,30,60,90)))</f>
        <v/>
      </c>
      <c r="F81" s="0" t="str">
        <f aca="true">IF(E81="","",E81-TODAY())</f>
        <v/>
      </c>
      <c r="G81" s="0" t="str">
        <f aca="false">IF(A81="","",IF(F81&lt;0,"🔴 OVERDUE",IF(F81=0,"🟡 TODAY",IF(F81&lt;=2,"🟠 SOON","🟢 LATER"))))</f>
        <v/>
      </c>
    </row>
    <row r="82" customFormat="false" ht="15" hidden="false" customHeight="false" outlineLevel="0" collapsed="false">
      <c r="D82" s="14"/>
      <c r="E82" s="14" t="str">
        <f aca="false">IF(C82="","",IF(D82="","",D82+CHOOSE(C82+1,0,1,3,7,15,30,60,90)))</f>
        <v/>
      </c>
      <c r="F82" s="0" t="str">
        <f aca="true">IF(E82="","",E82-TODAY())</f>
        <v/>
      </c>
      <c r="G82" s="0" t="str">
        <f aca="false">IF(A82="","",IF(F82&lt;0,"🔴 OVERDUE",IF(F82=0,"🟡 TODAY",IF(F82&lt;=2,"🟠 SOON","🟢 LATER"))))</f>
        <v/>
      </c>
    </row>
    <row r="83" customFormat="false" ht="15" hidden="false" customHeight="false" outlineLevel="0" collapsed="false">
      <c r="D83" s="14"/>
      <c r="E83" s="14" t="str">
        <f aca="false">IF(C83="","",IF(D83="","",D83+CHOOSE(C83+1,0,1,3,7,15,30,60,90)))</f>
        <v/>
      </c>
      <c r="F83" s="0" t="str">
        <f aca="true">IF(E83="","",E83-TODAY())</f>
        <v/>
      </c>
      <c r="G83" s="0" t="str">
        <f aca="false">IF(A83="","",IF(F83&lt;0,"🔴 OVERDUE",IF(F83=0,"🟡 TODAY",IF(F83&lt;=2,"🟠 SOON","🟢 LATER"))))</f>
        <v/>
      </c>
    </row>
    <row r="84" customFormat="false" ht="15" hidden="false" customHeight="false" outlineLevel="0" collapsed="false">
      <c r="D84" s="14"/>
      <c r="E84" s="14" t="str">
        <f aca="false">IF(C84="","",IF(D84="","",D84+CHOOSE(C84+1,0,1,3,7,15,30,60,90)))</f>
        <v/>
      </c>
      <c r="F84" s="0" t="str">
        <f aca="true">IF(E84="","",E84-TODAY())</f>
        <v/>
      </c>
      <c r="G84" s="0" t="str">
        <f aca="false">IF(A84="","",IF(F84&lt;0,"🔴 OVERDUE",IF(F84=0,"🟡 TODAY",IF(F84&lt;=2,"🟠 SOON","🟢 LATER"))))</f>
        <v/>
      </c>
    </row>
    <row r="85" customFormat="false" ht="15" hidden="false" customHeight="false" outlineLevel="0" collapsed="false">
      <c r="D85" s="14"/>
      <c r="E85" s="14" t="str">
        <f aca="false">IF(C85="","",IF(D85="","",D85+CHOOSE(C85+1,0,1,3,7,15,30,60,90)))</f>
        <v/>
      </c>
      <c r="F85" s="0" t="str">
        <f aca="true">IF(E85="","",E85-TODAY())</f>
        <v/>
      </c>
      <c r="G85" s="0" t="str">
        <f aca="false">IF(A85="","",IF(F85&lt;0,"🔴 OVERDUE",IF(F85=0,"🟡 TODAY",IF(F85&lt;=2,"🟠 SOON","🟢 LATER"))))</f>
        <v/>
      </c>
    </row>
    <row r="86" customFormat="false" ht="15" hidden="false" customHeight="false" outlineLevel="0" collapsed="false">
      <c r="D86" s="14"/>
      <c r="E86" s="14" t="str">
        <f aca="false">IF(C86="","",IF(D86="","",D86+CHOOSE(C86+1,0,1,3,7,15,30,60,90)))</f>
        <v/>
      </c>
      <c r="F86" s="0" t="str">
        <f aca="true">IF(E86="","",E86-TODAY())</f>
        <v/>
      </c>
      <c r="G86" s="0" t="str">
        <f aca="false">IF(A86="","",IF(F86&lt;0,"🔴 OVERDUE",IF(F86=0,"🟡 TODAY",IF(F86&lt;=2,"🟠 SOON","🟢 LATER"))))</f>
        <v/>
      </c>
    </row>
    <row r="87" customFormat="false" ht="15" hidden="false" customHeight="false" outlineLevel="0" collapsed="false">
      <c r="D87" s="14"/>
      <c r="E87" s="14" t="str">
        <f aca="false">IF(C87="","",IF(D87="","",D87+CHOOSE(C87+1,0,1,3,7,15,30,60,90)))</f>
        <v/>
      </c>
      <c r="F87" s="0" t="str">
        <f aca="true">IF(E87="","",E87-TODAY())</f>
        <v/>
      </c>
      <c r="G87" s="0" t="str">
        <f aca="false">IF(A87="","",IF(F87&lt;0,"🔴 OVERDUE",IF(F87=0,"🟡 TODAY",IF(F87&lt;=2,"🟠 SOON","🟢 LATER"))))</f>
        <v/>
      </c>
    </row>
    <row r="88" customFormat="false" ht="15" hidden="false" customHeight="false" outlineLevel="0" collapsed="false">
      <c r="D88" s="14"/>
      <c r="E88" s="14" t="str">
        <f aca="false">IF(C88="","",IF(D88="","",D88+CHOOSE(C88+1,0,1,3,7,15,30,60,90)))</f>
        <v/>
      </c>
      <c r="F88" s="0" t="str">
        <f aca="true">IF(E88="","",E88-TODAY())</f>
        <v/>
      </c>
      <c r="G88" s="0" t="str">
        <f aca="false">IF(A88="","",IF(F88&lt;0,"🔴 OVERDUE",IF(F88=0,"🟡 TODAY",IF(F88&lt;=2,"🟠 SOON","🟢 LATER"))))</f>
        <v/>
      </c>
    </row>
    <row r="89" customFormat="false" ht="15" hidden="false" customHeight="false" outlineLevel="0" collapsed="false">
      <c r="D89" s="14"/>
      <c r="E89" s="14" t="str">
        <f aca="false">IF(C89="","",IF(D89="","",D89+CHOOSE(C89+1,0,1,3,7,15,30,60,90)))</f>
        <v/>
      </c>
      <c r="F89" s="0" t="str">
        <f aca="true">IF(E89="","",E89-TODAY())</f>
        <v/>
      </c>
      <c r="G89" s="0" t="str">
        <f aca="false">IF(A89="","",IF(F89&lt;0,"🔴 OVERDUE",IF(F89=0,"🟡 TODAY",IF(F89&lt;=2,"🟠 SOON","🟢 LATER"))))</f>
        <v/>
      </c>
    </row>
    <row r="90" customFormat="false" ht="15" hidden="false" customHeight="false" outlineLevel="0" collapsed="false">
      <c r="D90" s="14"/>
      <c r="E90" s="14" t="str">
        <f aca="false">IF(C90="","",IF(D90="","",D90+CHOOSE(C90+1,0,1,3,7,15,30,60,90)))</f>
        <v/>
      </c>
      <c r="F90" s="0" t="str">
        <f aca="true">IF(E90="","",E90-TODAY())</f>
        <v/>
      </c>
      <c r="G90" s="0" t="str">
        <f aca="false">IF(A90="","",IF(F90&lt;0,"🔴 OVERDUE",IF(F90=0,"🟡 TODAY",IF(F90&lt;=2,"🟠 SOON","🟢 LATER"))))</f>
        <v/>
      </c>
    </row>
    <row r="91" customFormat="false" ht="15" hidden="false" customHeight="false" outlineLevel="0" collapsed="false">
      <c r="D91" s="14"/>
      <c r="E91" s="14" t="str">
        <f aca="false">IF(C91="","",IF(D91="","",D91+CHOOSE(C91+1,0,1,3,7,15,30,60,90)))</f>
        <v/>
      </c>
      <c r="F91" s="0" t="str">
        <f aca="true">IF(E91="","",E91-TODAY())</f>
        <v/>
      </c>
      <c r="G91" s="0" t="str">
        <f aca="false">IF(A91="","",IF(F91&lt;0,"🔴 OVERDUE",IF(F91=0,"🟡 TODAY",IF(F91&lt;=2,"🟠 SOON","🟢 LATER"))))</f>
        <v/>
      </c>
    </row>
    <row r="92" customFormat="false" ht="15" hidden="false" customHeight="false" outlineLevel="0" collapsed="false">
      <c r="D92" s="14"/>
      <c r="E92" s="14" t="str">
        <f aca="false">IF(C92="","",IF(D92="","",D92+CHOOSE(C92+1,0,1,3,7,15,30,60,90)))</f>
        <v/>
      </c>
      <c r="F92" s="0" t="str">
        <f aca="true">IF(E92="","",E92-TODAY())</f>
        <v/>
      </c>
      <c r="G92" s="0" t="str">
        <f aca="false">IF(A92="","",IF(F92&lt;0,"🔴 OVERDUE",IF(F92=0,"🟡 TODAY",IF(F92&lt;=2,"🟠 SOON","🟢 LATER"))))</f>
        <v/>
      </c>
    </row>
    <row r="93" customFormat="false" ht="15" hidden="false" customHeight="false" outlineLevel="0" collapsed="false">
      <c r="D93" s="14"/>
      <c r="E93" s="14" t="str">
        <f aca="false">IF(C93="","",IF(D93="","",D93+CHOOSE(C93+1,0,1,3,7,15,30,60,90)))</f>
        <v/>
      </c>
      <c r="F93" s="0" t="str">
        <f aca="true">IF(E93="","",E93-TODAY())</f>
        <v/>
      </c>
      <c r="G93" s="0" t="str">
        <f aca="false">IF(A93="","",IF(F93&lt;0,"🔴 OVERDUE",IF(F93=0,"🟡 TODAY",IF(F93&lt;=2,"🟠 SOON","🟢 LATER"))))</f>
        <v/>
      </c>
    </row>
    <row r="94" customFormat="false" ht="15" hidden="false" customHeight="false" outlineLevel="0" collapsed="false">
      <c r="D94" s="14"/>
      <c r="E94" s="14" t="str">
        <f aca="false">IF(C94="","",IF(D94="","",D94+CHOOSE(C94+1,0,1,3,7,15,30,60,90)))</f>
        <v/>
      </c>
      <c r="F94" s="0" t="str">
        <f aca="true">IF(E94="","",E94-TODAY())</f>
        <v/>
      </c>
      <c r="G94" s="0" t="str">
        <f aca="false">IF(A94="","",IF(F94&lt;0,"🔴 OVERDUE",IF(F94=0,"🟡 TODAY",IF(F94&lt;=2,"🟠 SOON","🟢 LATER"))))</f>
        <v/>
      </c>
    </row>
    <row r="95" customFormat="false" ht="15" hidden="false" customHeight="false" outlineLevel="0" collapsed="false">
      <c r="D95" s="14"/>
      <c r="E95" s="14" t="str">
        <f aca="false">IF(C95="","",IF(D95="","",D95+CHOOSE(C95+1,0,1,3,7,15,30,60,90)))</f>
        <v/>
      </c>
      <c r="F95" s="0" t="str">
        <f aca="true">IF(E95="","",E95-TODAY())</f>
        <v/>
      </c>
      <c r="G95" s="0" t="str">
        <f aca="false">IF(A95="","",IF(F95&lt;0,"🔴 OVERDUE",IF(F95=0,"🟡 TODAY",IF(F95&lt;=2,"🟠 SOON","🟢 LATER"))))</f>
        <v/>
      </c>
    </row>
    <row r="96" customFormat="false" ht="15" hidden="false" customHeight="false" outlineLevel="0" collapsed="false">
      <c r="D96" s="14"/>
      <c r="E96" s="14" t="str">
        <f aca="false">IF(C96="","",IF(D96="","",D96+CHOOSE(C96+1,0,1,3,7,15,30,60,90)))</f>
        <v/>
      </c>
      <c r="F96" s="0" t="str">
        <f aca="true">IF(E96="","",E96-TODAY())</f>
        <v/>
      </c>
      <c r="G96" s="0" t="str">
        <f aca="false">IF(A96="","",IF(F96&lt;0,"🔴 OVERDUE",IF(F96=0,"🟡 TODAY",IF(F96&lt;=2,"🟠 SOON","🟢 LATER"))))</f>
        <v/>
      </c>
    </row>
    <row r="97" customFormat="false" ht="15" hidden="false" customHeight="false" outlineLevel="0" collapsed="false">
      <c r="D97" s="14"/>
      <c r="E97" s="14" t="str">
        <f aca="false">IF(C97="","",IF(D97="","",D97+CHOOSE(C97+1,0,1,3,7,15,30,60,90)))</f>
        <v/>
      </c>
      <c r="F97" s="0" t="str">
        <f aca="true">IF(E97="","",E97-TODAY())</f>
        <v/>
      </c>
      <c r="G97" s="0" t="str">
        <f aca="false">IF(A97="","",IF(F97&lt;0,"🔴 OVERDUE",IF(F97=0,"🟡 TODAY",IF(F97&lt;=2,"🟠 SOON","🟢 LATER"))))</f>
        <v/>
      </c>
    </row>
    <row r="98" customFormat="false" ht="15" hidden="false" customHeight="false" outlineLevel="0" collapsed="false">
      <c r="D98" s="14"/>
      <c r="E98" s="14" t="str">
        <f aca="false">IF(C98="","",IF(D98="","",D98+CHOOSE(C98+1,0,1,3,7,15,30,60,90)))</f>
        <v/>
      </c>
      <c r="F98" s="0" t="str">
        <f aca="true">IF(E98="","",E98-TODAY())</f>
        <v/>
      </c>
      <c r="G98" s="0" t="str">
        <f aca="false">IF(A98="","",IF(F98&lt;0,"🔴 OVERDUE",IF(F98=0,"🟡 TODAY",IF(F98&lt;=2,"🟠 SOON","🟢 LATER"))))</f>
        <v/>
      </c>
    </row>
    <row r="99" customFormat="false" ht="15" hidden="false" customHeight="false" outlineLevel="0" collapsed="false">
      <c r="D99" s="14"/>
      <c r="E99" s="14" t="str">
        <f aca="false">IF(C99="","",IF(D99="","",D99+CHOOSE(C99+1,0,1,3,7,15,30,60,90)))</f>
        <v/>
      </c>
      <c r="F99" s="0" t="str">
        <f aca="true">IF(E99="","",E99-TODAY())</f>
        <v/>
      </c>
      <c r="G99" s="0" t="str">
        <f aca="false">IF(A99="","",IF(F99&lt;0,"🔴 OVERDUE",IF(F99=0,"🟡 TODAY",IF(F99&lt;=2,"🟠 SOON","🟢 LATER"))))</f>
        <v/>
      </c>
    </row>
    <row r="100" customFormat="false" ht="15" hidden="false" customHeight="false" outlineLevel="0" collapsed="false">
      <c r="D100" s="14"/>
      <c r="E100" s="14" t="str">
        <f aca="false">IF(C100="","",IF(D100="","",D100+CHOOSE(C100+1,0,1,3,7,15,30,60,90)))</f>
        <v/>
      </c>
      <c r="F100" s="0" t="str">
        <f aca="true">IF(E100="","",E100-TODAY())</f>
        <v/>
      </c>
      <c r="G100" s="0" t="str">
        <f aca="false">IF(A100="","",IF(F100&lt;0,"🔴 OVERDUE",IF(F100=0,"🟡 TODAY",IF(F100&lt;=2,"🟠 SOON","🟢 LATER"))))</f>
        <v/>
      </c>
    </row>
    <row r="101" customFormat="false" ht="15" hidden="false" customHeight="false" outlineLevel="0" collapsed="false">
      <c r="D101" s="14"/>
      <c r="E101" s="14" t="str">
        <f aca="false">IF(C101="","",IF(D101="","",D101+CHOOSE(C101+1,0,1,3,7,15,30,60,90)))</f>
        <v/>
      </c>
      <c r="F101" s="0" t="str">
        <f aca="true">IF(E101="","",E101-TODAY())</f>
        <v/>
      </c>
      <c r="G101" s="0" t="str">
        <f aca="false">IF(A101="","",IF(F101&lt;0,"🔴 OVERDUE",IF(F101=0,"🟡 TODAY",IF(F101&lt;=2,"🟠 SOON","🟢 LATER"))))</f>
        <v/>
      </c>
    </row>
    <row r="102" customFormat="false" ht="15" hidden="false" customHeight="false" outlineLevel="0" collapsed="false">
      <c r="D102" s="14"/>
      <c r="E102" s="14" t="str">
        <f aca="false">IF(C102="","",IF(D102="","",D102+CHOOSE(C102+1,0,1,3,7,15,30,60,90)))</f>
        <v/>
      </c>
      <c r="F102" s="0" t="str">
        <f aca="true">IF(E102="","",E102-TODAY())</f>
        <v/>
      </c>
      <c r="G102" s="0" t="str">
        <f aca="false">IF(A102="","",IF(F102&lt;0,"🔴 OVERDUE",IF(F102=0,"🟡 TODAY",IF(F102&lt;=2,"🟠 SOON","🟢 LATER"))))</f>
        <v/>
      </c>
    </row>
    <row r="103" customFormat="false" ht="15" hidden="false" customHeight="false" outlineLevel="0" collapsed="false">
      <c r="D103" s="14"/>
      <c r="E103" s="14" t="str">
        <f aca="false">IF(C103="","",IF(D103="","",D103+CHOOSE(C103+1,0,1,3,7,15,30,60,90)))</f>
        <v/>
      </c>
      <c r="F103" s="0" t="str">
        <f aca="true">IF(E103="","",E103-TODAY())</f>
        <v/>
      </c>
      <c r="G103" s="0" t="str">
        <f aca="false">IF(A103="","",IF(F103&lt;0,"🔴 OVERDUE",IF(F103=0,"🟡 TODAY",IF(F103&lt;=2,"🟠 SOON","🟢 LATER"))))</f>
        <v/>
      </c>
    </row>
    <row r="104" customFormat="false" ht="15" hidden="false" customHeight="false" outlineLevel="0" collapsed="false">
      <c r="D104" s="14"/>
      <c r="E104" s="14" t="str">
        <f aca="false">IF(C104="","",IF(D104="","",D104+CHOOSE(C104+1,0,1,3,7,15,30,60,90)))</f>
        <v/>
      </c>
      <c r="F104" s="0" t="str">
        <f aca="true">IF(E104="","",E104-TODAY())</f>
        <v/>
      </c>
      <c r="G104" s="0" t="str">
        <f aca="false">IF(A104="","",IF(F104&lt;0,"🔴 OVERDUE",IF(F104=0,"🟡 TODAY",IF(F104&lt;=2,"🟠 SOON","🟢 LATER"))))</f>
        <v/>
      </c>
    </row>
    <row r="105" customFormat="false" ht="15" hidden="false" customHeight="false" outlineLevel="0" collapsed="false">
      <c r="D105" s="14"/>
      <c r="E105" s="14" t="str">
        <f aca="false">IF(C105="","",IF(D105="","",D105+CHOOSE(C105+1,0,1,3,7,15,30,60,90)))</f>
        <v/>
      </c>
      <c r="F105" s="0" t="str">
        <f aca="true">IF(E105="","",E105-TODAY())</f>
        <v/>
      </c>
      <c r="G105" s="0" t="str">
        <f aca="false">IF(A105="","",IF(F105&lt;0,"🔴 OVERDUE",IF(F105=0,"🟡 TODAY",IF(F105&lt;=2,"🟠 SOON","🟢 LATER"))))</f>
        <v/>
      </c>
    </row>
    <row r="106" customFormat="false" ht="15" hidden="false" customHeight="false" outlineLevel="0" collapsed="false">
      <c r="D106" s="14"/>
      <c r="E106" s="14" t="str">
        <f aca="false">IF(C106="","",IF(D106="","",D106+CHOOSE(C106+1,0,1,3,7,15,30,60,90)))</f>
        <v/>
      </c>
      <c r="F106" s="0" t="str">
        <f aca="true">IF(E106="","",E106-TODAY())</f>
        <v/>
      </c>
      <c r="G106" s="0" t="str">
        <f aca="false">IF(A106="","",IF(F106&lt;0,"🔴 OVERDUE",IF(F106=0,"🟡 TODAY",IF(F106&lt;=2,"🟠 SOON","🟢 LATER"))))</f>
        <v/>
      </c>
    </row>
    <row r="107" customFormat="false" ht="15" hidden="false" customHeight="false" outlineLevel="0" collapsed="false">
      <c r="D107" s="14"/>
      <c r="E107" s="14" t="str">
        <f aca="false">IF(C107="","",IF(D107="","",D107+CHOOSE(C107+1,0,1,3,7,15,30,60,90)))</f>
        <v/>
      </c>
      <c r="F107" s="0" t="str">
        <f aca="true">IF(E107="","",E107-TODAY())</f>
        <v/>
      </c>
      <c r="G107" s="0" t="str">
        <f aca="false">IF(A107="","",IF(F107&lt;0,"🔴 OVERDUE",IF(F107=0,"🟡 TODAY",IF(F107&lt;=2,"🟠 SOON","🟢 LATER"))))</f>
        <v/>
      </c>
    </row>
    <row r="108" customFormat="false" ht="15" hidden="false" customHeight="false" outlineLevel="0" collapsed="false">
      <c r="D108" s="14"/>
      <c r="E108" s="14" t="str">
        <f aca="false">IF(C108="","",IF(D108="","",D108+CHOOSE(C108+1,0,1,3,7,15,30,60,90)))</f>
        <v/>
      </c>
      <c r="F108" s="0" t="str">
        <f aca="true">IF(E108="","",E108-TODAY())</f>
        <v/>
      </c>
      <c r="G108" s="0" t="str">
        <f aca="false">IF(A108="","",IF(F108&lt;0,"🔴 OVERDUE",IF(F108=0,"🟡 TODAY",IF(F108&lt;=2,"🟠 SOON","🟢 LATER"))))</f>
        <v/>
      </c>
    </row>
    <row r="109" customFormat="false" ht="15" hidden="false" customHeight="false" outlineLevel="0" collapsed="false">
      <c r="D109" s="14"/>
      <c r="E109" s="14" t="str">
        <f aca="false">IF(C109="","",IF(D109="","",D109+CHOOSE(C109+1,0,1,3,7,15,30,60,90)))</f>
        <v/>
      </c>
      <c r="F109" s="0" t="str">
        <f aca="true">IF(E109="","",E109-TODAY())</f>
        <v/>
      </c>
      <c r="G109" s="0" t="str">
        <f aca="false">IF(A109="","",IF(F109&lt;0,"🔴 OVERDUE",IF(F109=0,"🟡 TODAY",IF(F109&lt;=2,"🟠 SOON","🟢 LATER"))))</f>
        <v/>
      </c>
    </row>
    <row r="110" customFormat="false" ht="15" hidden="false" customHeight="false" outlineLevel="0" collapsed="false">
      <c r="D110" s="14"/>
      <c r="E110" s="14" t="str">
        <f aca="false">IF(C110="","",IF(D110="","",D110+CHOOSE(C110+1,0,1,3,7,15,30,60,90)))</f>
        <v/>
      </c>
      <c r="F110" s="0" t="str">
        <f aca="true">IF(E110="","",E110-TODAY())</f>
        <v/>
      </c>
      <c r="G110" s="0" t="str">
        <f aca="false">IF(A110="","",IF(F110&lt;0,"🔴 OVERDUE",IF(F110=0,"🟡 TODAY",IF(F110&lt;=2,"🟠 SOON","🟢 LATER"))))</f>
        <v/>
      </c>
    </row>
    <row r="111" customFormat="false" ht="15" hidden="false" customHeight="false" outlineLevel="0" collapsed="false">
      <c r="D111" s="14"/>
      <c r="E111" s="14" t="str">
        <f aca="false">IF(C111="","",IF(D111="","",D111+CHOOSE(C111+1,0,1,3,7,15,30,60,90)))</f>
        <v/>
      </c>
      <c r="F111" s="0" t="str">
        <f aca="true">IF(E111="","",E111-TODAY())</f>
        <v/>
      </c>
      <c r="G111" s="0" t="str">
        <f aca="false">IF(A111="","",IF(F111&lt;0,"🔴 OVERDUE",IF(F111=0,"🟡 TODAY",IF(F111&lt;=2,"🟠 SOON","🟢 LATER"))))</f>
        <v/>
      </c>
    </row>
    <row r="112" customFormat="false" ht="15" hidden="false" customHeight="false" outlineLevel="0" collapsed="false">
      <c r="D112" s="14"/>
      <c r="E112" s="14" t="str">
        <f aca="false">IF(C112="","",IF(D112="","",D112+CHOOSE(C112+1,0,1,3,7,15,30,60,90)))</f>
        <v/>
      </c>
      <c r="F112" s="0" t="str">
        <f aca="true">IF(E112="","",E112-TODAY())</f>
        <v/>
      </c>
      <c r="G112" s="0" t="str">
        <f aca="false">IF(A112="","",IF(F112&lt;0,"🔴 OVERDUE",IF(F112=0,"🟡 TODAY",IF(F112&lt;=2,"🟠 SOON","🟢 LATER"))))</f>
        <v/>
      </c>
    </row>
    <row r="113" customFormat="false" ht="15" hidden="false" customHeight="false" outlineLevel="0" collapsed="false">
      <c r="D113" s="14"/>
      <c r="E113" s="14" t="str">
        <f aca="false">IF(C113="","",IF(D113="","",D113+CHOOSE(C113+1,0,1,3,7,15,30,60,90)))</f>
        <v/>
      </c>
      <c r="F113" s="0" t="str">
        <f aca="true">IF(E113="","",E113-TODAY())</f>
        <v/>
      </c>
      <c r="G113" s="0" t="str">
        <f aca="false">IF(A113="","",IF(F113&lt;0,"🔴 OVERDUE",IF(F113=0,"🟡 TODAY",IF(F113&lt;=2,"🟠 SOON","🟢 LATER"))))</f>
        <v/>
      </c>
    </row>
    <row r="114" customFormat="false" ht="15" hidden="false" customHeight="false" outlineLevel="0" collapsed="false">
      <c r="D114" s="14"/>
      <c r="E114" s="14" t="str">
        <f aca="false">IF(C114="","",IF(D114="","",D114+CHOOSE(C114+1,0,1,3,7,15,30,60,90)))</f>
        <v/>
      </c>
      <c r="F114" s="0" t="str">
        <f aca="true">IF(E114="","",E114-TODAY())</f>
        <v/>
      </c>
      <c r="G114" s="0" t="str">
        <f aca="false">IF(A114="","",IF(F114&lt;0,"🔴 OVERDUE",IF(F114=0,"🟡 TODAY",IF(F114&lt;=2,"🟠 SOON","🟢 LATER"))))</f>
        <v/>
      </c>
    </row>
    <row r="115" customFormat="false" ht="15" hidden="false" customHeight="false" outlineLevel="0" collapsed="false">
      <c r="D115" s="14"/>
      <c r="E115" s="14" t="str">
        <f aca="false">IF(C115="","",IF(D115="","",D115+CHOOSE(C115+1,0,1,3,7,15,30,60,90)))</f>
        <v/>
      </c>
      <c r="F115" s="0" t="str">
        <f aca="true">IF(E115="","",E115-TODAY())</f>
        <v/>
      </c>
      <c r="G115" s="0" t="str">
        <f aca="false">IF(A115="","",IF(F115&lt;0,"🔴 OVERDUE",IF(F115=0,"🟡 TODAY",IF(F115&lt;=2,"🟠 SOON","🟢 LATER"))))</f>
        <v/>
      </c>
    </row>
    <row r="116" customFormat="false" ht="15" hidden="false" customHeight="false" outlineLevel="0" collapsed="false">
      <c r="D116" s="14"/>
      <c r="E116" s="14" t="str">
        <f aca="false">IF(C116="","",IF(D116="","",D116+CHOOSE(C116+1,0,1,3,7,15,30,60,90)))</f>
        <v/>
      </c>
      <c r="F116" s="0" t="str">
        <f aca="true">IF(E116="","",E116-TODAY())</f>
        <v/>
      </c>
      <c r="G116" s="0" t="str">
        <f aca="false">IF(A116="","",IF(F116&lt;0,"🔴 OVERDUE",IF(F116=0,"🟡 TODAY",IF(F116&lt;=2,"🟠 SOON","🟢 LATER"))))</f>
        <v/>
      </c>
    </row>
    <row r="117" customFormat="false" ht="15" hidden="false" customHeight="false" outlineLevel="0" collapsed="false">
      <c r="D117" s="14"/>
      <c r="E117" s="14" t="str">
        <f aca="false">IF(C117="","",IF(D117="","",D117+CHOOSE(C117+1,0,1,3,7,15,30,60,90)))</f>
        <v/>
      </c>
      <c r="F117" s="0" t="str">
        <f aca="true">IF(E117="","",E117-TODAY())</f>
        <v/>
      </c>
      <c r="G117" s="0" t="str">
        <f aca="false">IF(A117="","",IF(F117&lt;0,"🔴 OVERDUE",IF(F117=0,"🟡 TODAY",IF(F117&lt;=2,"🟠 SOON","🟢 LATER"))))</f>
        <v/>
      </c>
    </row>
    <row r="118" customFormat="false" ht="15" hidden="false" customHeight="false" outlineLevel="0" collapsed="false">
      <c r="D118" s="14"/>
      <c r="E118" s="14" t="str">
        <f aca="false">IF(C118="","",IF(D118="","",D118+CHOOSE(C118+1,0,1,3,7,15,30,60,90)))</f>
        <v/>
      </c>
      <c r="F118" s="0" t="str">
        <f aca="true">IF(E118="","",E118-TODAY())</f>
        <v/>
      </c>
      <c r="G118" s="0" t="str">
        <f aca="false">IF(A118="","",IF(F118&lt;0,"🔴 OVERDUE",IF(F118=0,"🟡 TODAY",IF(F118&lt;=2,"🟠 SOON","🟢 LATER"))))</f>
        <v/>
      </c>
    </row>
    <row r="119" customFormat="false" ht="15" hidden="false" customHeight="false" outlineLevel="0" collapsed="false">
      <c r="D119" s="14"/>
      <c r="E119" s="14" t="str">
        <f aca="false">IF(C119="","",IF(D119="","",D119+CHOOSE(C119+1,0,1,3,7,15,30,60,90)))</f>
        <v/>
      </c>
      <c r="F119" s="0" t="str">
        <f aca="true">IF(E119="","",E119-TODAY())</f>
        <v/>
      </c>
      <c r="G119" s="0" t="str">
        <f aca="false">IF(A119="","",IF(F119&lt;0,"🔴 OVERDUE",IF(F119=0,"🟡 TODAY",IF(F119&lt;=2,"🟠 SOON","🟢 LATER"))))</f>
        <v/>
      </c>
    </row>
    <row r="120" customFormat="false" ht="15" hidden="false" customHeight="false" outlineLevel="0" collapsed="false">
      <c r="D120" s="14"/>
      <c r="E120" s="14" t="str">
        <f aca="false">IF(C120="","",IF(D120="","",D120+CHOOSE(C120+1,0,1,3,7,15,30,60,90)))</f>
        <v/>
      </c>
      <c r="F120" s="0" t="str">
        <f aca="true">IF(E120="","",E120-TODAY())</f>
        <v/>
      </c>
      <c r="G120" s="0" t="str">
        <f aca="false">IF(A120="","",IF(F120&lt;0,"🔴 OVERDUE",IF(F120=0,"🟡 TODAY",IF(F120&lt;=2,"🟠 SOON","🟢 LATER"))))</f>
        <v/>
      </c>
    </row>
    <row r="121" customFormat="false" ht="15" hidden="false" customHeight="false" outlineLevel="0" collapsed="false">
      <c r="D121" s="14"/>
      <c r="E121" s="14" t="str">
        <f aca="false">IF(C121="","",IF(D121="","",D121+CHOOSE(C121+1,0,1,3,7,15,30,60,90)))</f>
        <v/>
      </c>
      <c r="F121" s="0" t="str">
        <f aca="true">IF(E121="","",E121-TODAY())</f>
        <v/>
      </c>
      <c r="G121" s="0" t="str">
        <f aca="false">IF(A121="","",IF(F121&lt;0,"🔴 OVERDUE",IF(F121=0,"🟡 TODAY",IF(F121&lt;=2,"🟠 SOON","🟢 LATER"))))</f>
        <v/>
      </c>
    </row>
    <row r="122" customFormat="false" ht="15" hidden="false" customHeight="false" outlineLevel="0" collapsed="false">
      <c r="D122" s="14"/>
      <c r="E122" s="14" t="str">
        <f aca="false">IF(C122="","",IF(D122="","",D122+CHOOSE(C122+1,0,1,3,7,15,30,60,90)))</f>
        <v/>
      </c>
      <c r="F122" s="0" t="str">
        <f aca="true">IF(E122="","",E122-TODAY())</f>
        <v/>
      </c>
      <c r="G122" s="0" t="str">
        <f aca="false">IF(A122="","",IF(F122&lt;0,"🔴 OVERDUE",IF(F122=0,"🟡 TODAY",IF(F122&lt;=2,"🟠 SOON","🟢 LATER"))))</f>
        <v/>
      </c>
    </row>
    <row r="123" customFormat="false" ht="15" hidden="false" customHeight="false" outlineLevel="0" collapsed="false">
      <c r="D123" s="14"/>
      <c r="E123" s="14" t="str">
        <f aca="false">IF(C123="","",IF(D123="","",D123+CHOOSE(C123+1,0,1,3,7,15,30,60,90)))</f>
        <v/>
      </c>
      <c r="F123" s="0" t="str">
        <f aca="true">IF(E123="","",E123-TODAY())</f>
        <v/>
      </c>
      <c r="G123" s="0" t="str">
        <f aca="false">IF(A123="","",IF(F123&lt;0,"🔴 OVERDUE",IF(F123=0,"🟡 TODAY",IF(F123&lt;=2,"🟠 SOON","🟢 LATER"))))</f>
        <v/>
      </c>
    </row>
    <row r="124" customFormat="false" ht="15" hidden="false" customHeight="false" outlineLevel="0" collapsed="false">
      <c r="D124" s="14"/>
      <c r="E124" s="14" t="str">
        <f aca="false">IF(C124="","",IF(D124="","",D124+CHOOSE(C124+1,0,1,3,7,15,30,60,90)))</f>
        <v/>
      </c>
      <c r="F124" s="0" t="str">
        <f aca="true">IF(E124="","",E124-TODAY())</f>
        <v/>
      </c>
      <c r="G124" s="0" t="str">
        <f aca="false">IF(A124="","",IF(F124&lt;0,"🔴 OVERDUE",IF(F124=0,"🟡 TODAY",IF(F124&lt;=2,"🟠 SOON","🟢 LATER"))))</f>
        <v/>
      </c>
    </row>
    <row r="125" customFormat="false" ht="15" hidden="false" customHeight="false" outlineLevel="0" collapsed="false">
      <c r="D125" s="14"/>
      <c r="E125" s="14" t="str">
        <f aca="false">IF(C125="","",IF(D125="","",D125+CHOOSE(C125+1,0,1,3,7,15,30,60,90)))</f>
        <v/>
      </c>
      <c r="F125" s="0" t="str">
        <f aca="true">IF(E125="","",E125-TODAY())</f>
        <v/>
      </c>
      <c r="G125" s="0" t="str">
        <f aca="false">IF(A125="","",IF(F125&lt;0,"🔴 OVERDUE",IF(F125=0,"🟡 TODAY",IF(F125&lt;=2,"🟠 SOON","🟢 LATER"))))</f>
        <v/>
      </c>
    </row>
    <row r="126" customFormat="false" ht="15" hidden="false" customHeight="false" outlineLevel="0" collapsed="false">
      <c r="D126" s="14"/>
      <c r="E126" s="14" t="str">
        <f aca="false">IF(C126="","",IF(D126="","",D126+CHOOSE(C126+1,0,1,3,7,15,30,60,90)))</f>
        <v/>
      </c>
      <c r="F126" s="0" t="str">
        <f aca="true">IF(E126="","",E126-TODAY())</f>
        <v/>
      </c>
      <c r="G126" s="0" t="str">
        <f aca="false">IF(A126="","",IF(F126&lt;0,"🔴 OVERDUE",IF(F126=0,"🟡 TODAY",IF(F126&lt;=2,"🟠 SOON","🟢 LATER"))))</f>
        <v/>
      </c>
    </row>
    <row r="127" customFormat="false" ht="15" hidden="false" customHeight="false" outlineLevel="0" collapsed="false">
      <c r="D127" s="14"/>
      <c r="E127" s="14" t="str">
        <f aca="false">IF(C127="","",IF(D127="","",D127+CHOOSE(C127+1,0,1,3,7,15,30,60,90)))</f>
        <v/>
      </c>
      <c r="F127" s="0" t="str">
        <f aca="true">IF(E127="","",E127-TODAY())</f>
        <v/>
      </c>
      <c r="G127" s="0" t="str">
        <f aca="false">IF(A127="","",IF(F127&lt;0,"🔴 OVERDUE",IF(F127=0,"🟡 TODAY",IF(F127&lt;=2,"🟠 SOON","🟢 LATER"))))</f>
        <v/>
      </c>
    </row>
    <row r="128" customFormat="false" ht="15" hidden="false" customHeight="false" outlineLevel="0" collapsed="false">
      <c r="D128" s="14"/>
      <c r="E128" s="14" t="str">
        <f aca="false">IF(C128="","",IF(D128="","",D128+CHOOSE(C128+1,0,1,3,7,15,30,60,90)))</f>
        <v/>
      </c>
      <c r="F128" s="0" t="str">
        <f aca="true">IF(E128="","",E128-TODAY())</f>
        <v/>
      </c>
      <c r="G128" s="0" t="str">
        <f aca="false">IF(A128="","",IF(F128&lt;0,"🔴 OVERDUE",IF(F128=0,"🟡 TODAY",IF(F128&lt;=2,"🟠 SOON","🟢 LATER"))))</f>
        <v/>
      </c>
    </row>
    <row r="129" customFormat="false" ht="15" hidden="false" customHeight="false" outlineLevel="0" collapsed="false">
      <c r="D129" s="14"/>
      <c r="E129" s="14" t="str">
        <f aca="false">IF(C129="","",IF(D129="","",D129+CHOOSE(C129+1,0,1,3,7,15,30,60,90)))</f>
        <v/>
      </c>
      <c r="F129" s="0" t="str">
        <f aca="true">IF(E129="","",E129-TODAY())</f>
        <v/>
      </c>
      <c r="G129" s="0" t="str">
        <f aca="false">IF(A129="","",IF(F129&lt;0,"🔴 OVERDUE",IF(F129=0,"🟡 TODAY",IF(F129&lt;=2,"🟠 SOON","🟢 LATER"))))</f>
        <v/>
      </c>
    </row>
    <row r="130" customFormat="false" ht="15" hidden="false" customHeight="false" outlineLevel="0" collapsed="false">
      <c r="D130" s="14"/>
      <c r="E130" s="14" t="str">
        <f aca="false">IF(C130="","",IF(D130="","",D130+CHOOSE(C130+1,0,1,3,7,15,30,60,90)))</f>
        <v/>
      </c>
      <c r="F130" s="0" t="str">
        <f aca="true">IF(E130="","",E130-TODAY())</f>
        <v/>
      </c>
      <c r="G130" s="0" t="str">
        <f aca="false">IF(A130="","",IF(F130&lt;0,"🔴 OVERDUE",IF(F130=0,"🟡 TODAY",IF(F130&lt;=2,"🟠 SOON","🟢 LATER"))))</f>
        <v/>
      </c>
    </row>
    <row r="131" customFormat="false" ht="15" hidden="false" customHeight="false" outlineLevel="0" collapsed="false">
      <c r="D131" s="14"/>
      <c r="E131" s="14" t="str">
        <f aca="false">IF(C131="","",IF(D131="","",D131+CHOOSE(C131+1,0,1,3,7,15,30,60,90)))</f>
        <v/>
      </c>
      <c r="F131" s="0" t="str">
        <f aca="true">IF(E131="","",E131-TODAY())</f>
        <v/>
      </c>
      <c r="G131" s="0" t="str">
        <f aca="false">IF(A131="","",IF(F131&lt;0,"🔴 OVERDUE",IF(F131=0,"🟡 TODAY",IF(F131&lt;=2,"🟠 SOON","🟢 LATER"))))</f>
        <v/>
      </c>
    </row>
    <row r="132" customFormat="false" ht="15" hidden="false" customHeight="false" outlineLevel="0" collapsed="false">
      <c r="D132" s="14"/>
      <c r="E132" s="14" t="str">
        <f aca="false">IF(C132="","",IF(D132="","",D132+CHOOSE(C132+1,0,1,3,7,15,30,60,90)))</f>
        <v/>
      </c>
      <c r="F132" s="0" t="str">
        <f aca="true">IF(E132="","",E132-TODAY())</f>
        <v/>
      </c>
      <c r="G132" s="0" t="str">
        <f aca="false">IF(A132="","",IF(F132&lt;0,"🔴 OVERDUE",IF(F132=0,"🟡 TODAY",IF(F132&lt;=2,"🟠 SOON","🟢 LATER"))))</f>
        <v/>
      </c>
    </row>
    <row r="133" customFormat="false" ht="15" hidden="false" customHeight="false" outlineLevel="0" collapsed="false">
      <c r="D133" s="14"/>
      <c r="E133" s="14" t="str">
        <f aca="false">IF(C133="","",IF(D133="","",D133+CHOOSE(C133+1,0,1,3,7,15,30,60,90)))</f>
        <v/>
      </c>
      <c r="F133" s="0" t="str">
        <f aca="true">IF(E133="","",E133-TODAY())</f>
        <v/>
      </c>
      <c r="G133" s="0" t="str">
        <f aca="false">IF(A133="","",IF(F133&lt;0,"🔴 OVERDUE",IF(F133=0,"🟡 TODAY",IF(F133&lt;=2,"🟠 SOON","🟢 LATER"))))</f>
        <v/>
      </c>
    </row>
    <row r="134" customFormat="false" ht="15" hidden="false" customHeight="false" outlineLevel="0" collapsed="false">
      <c r="D134" s="14"/>
      <c r="E134" s="14" t="str">
        <f aca="false">IF(C134="","",IF(D134="","",D134+CHOOSE(C134+1,0,1,3,7,15,30,60,90)))</f>
        <v/>
      </c>
      <c r="F134" s="0" t="str">
        <f aca="true">IF(E134="","",E134-TODAY())</f>
        <v/>
      </c>
      <c r="G134" s="0" t="str">
        <f aca="false">IF(A134="","",IF(F134&lt;0,"🔴 OVERDUE",IF(F134=0,"🟡 TODAY",IF(F134&lt;=2,"🟠 SOON","🟢 LATER"))))</f>
        <v/>
      </c>
    </row>
    <row r="135" customFormat="false" ht="15" hidden="false" customHeight="false" outlineLevel="0" collapsed="false">
      <c r="D135" s="14"/>
      <c r="E135" s="14" t="str">
        <f aca="false">IF(C135="","",IF(D135="","",D135+CHOOSE(C135+1,0,1,3,7,15,30,60,90)))</f>
        <v/>
      </c>
      <c r="F135" s="0" t="str">
        <f aca="true">IF(E135="","",E135-TODAY())</f>
        <v/>
      </c>
      <c r="G135" s="0" t="str">
        <f aca="false">IF(A135="","",IF(F135&lt;0,"🔴 OVERDUE",IF(F135=0,"🟡 TODAY",IF(F135&lt;=2,"🟠 SOON","🟢 LATER"))))</f>
        <v/>
      </c>
    </row>
    <row r="136" customFormat="false" ht="15" hidden="false" customHeight="false" outlineLevel="0" collapsed="false">
      <c r="D136" s="14"/>
      <c r="E136" s="14" t="str">
        <f aca="false">IF(C136="","",IF(D136="","",D136+CHOOSE(C136+1,0,1,3,7,15,30,60,90)))</f>
        <v/>
      </c>
      <c r="F136" s="0" t="str">
        <f aca="true">IF(E136="","",E136-TODAY())</f>
        <v/>
      </c>
      <c r="G136" s="0" t="str">
        <f aca="false">IF(A136="","",IF(F136&lt;0,"🔴 OVERDUE",IF(F136=0,"🟡 TODAY",IF(F136&lt;=2,"🟠 SOON","🟢 LATER"))))</f>
        <v/>
      </c>
    </row>
    <row r="137" customFormat="false" ht="15" hidden="false" customHeight="false" outlineLevel="0" collapsed="false">
      <c r="D137" s="14"/>
      <c r="E137" s="14" t="str">
        <f aca="false">IF(C137="","",IF(D137="","",D137+CHOOSE(C137+1,0,1,3,7,15,30,60,90)))</f>
        <v/>
      </c>
      <c r="F137" s="0" t="str">
        <f aca="true">IF(E137="","",E137-TODAY())</f>
        <v/>
      </c>
      <c r="G137" s="0" t="str">
        <f aca="false">IF(A137="","",IF(F137&lt;0,"🔴 OVERDUE",IF(F137=0,"🟡 TODAY",IF(F137&lt;=2,"🟠 SOON","🟢 LATER"))))</f>
        <v/>
      </c>
    </row>
    <row r="138" customFormat="false" ht="15" hidden="false" customHeight="false" outlineLevel="0" collapsed="false">
      <c r="D138" s="14"/>
      <c r="E138" s="14" t="str">
        <f aca="false">IF(C138="","",IF(D138="","",D138+CHOOSE(C138+1,0,1,3,7,15,30,60,90)))</f>
        <v/>
      </c>
      <c r="F138" s="0" t="str">
        <f aca="true">IF(E138="","",E138-TODAY())</f>
        <v/>
      </c>
      <c r="G138" s="0" t="str">
        <f aca="false">IF(A138="","",IF(F138&lt;0,"🔴 OVERDUE",IF(F138=0,"🟡 TODAY",IF(F138&lt;=2,"🟠 SOON","🟢 LATER"))))</f>
        <v/>
      </c>
    </row>
    <row r="139" customFormat="false" ht="15" hidden="false" customHeight="false" outlineLevel="0" collapsed="false">
      <c r="D139" s="14"/>
      <c r="E139" s="14" t="str">
        <f aca="false">IF(C139="","",IF(D139="","",D139+CHOOSE(C139+1,0,1,3,7,15,30,60,90)))</f>
        <v/>
      </c>
      <c r="F139" s="0" t="str">
        <f aca="true">IF(E139="","",E139-TODAY())</f>
        <v/>
      </c>
      <c r="G139" s="0" t="str">
        <f aca="false">IF(A139="","",IF(F139&lt;0,"🔴 OVERDUE",IF(F139=0,"🟡 TODAY",IF(F139&lt;=2,"🟠 SOON","🟢 LATER"))))</f>
        <v/>
      </c>
    </row>
    <row r="140" customFormat="false" ht="15" hidden="false" customHeight="false" outlineLevel="0" collapsed="false">
      <c r="D140" s="14"/>
      <c r="E140" s="14" t="str">
        <f aca="false">IF(C140="","",IF(D140="","",D140+CHOOSE(C140+1,0,1,3,7,15,30,60,90)))</f>
        <v/>
      </c>
      <c r="F140" s="0" t="str">
        <f aca="true">IF(E140="","",E140-TODAY())</f>
        <v/>
      </c>
      <c r="G140" s="0" t="str">
        <f aca="false">IF(A140="","",IF(F140&lt;0,"🔴 OVERDUE",IF(F140=0,"🟡 TODAY",IF(F140&lt;=2,"🟠 SOON","🟢 LATER"))))</f>
        <v/>
      </c>
    </row>
    <row r="141" customFormat="false" ht="15" hidden="false" customHeight="false" outlineLevel="0" collapsed="false">
      <c r="D141" s="14"/>
      <c r="E141" s="14" t="str">
        <f aca="false">IF(C141="","",IF(D141="","",D141+CHOOSE(C141+1,0,1,3,7,15,30,60,90)))</f>
        <v/>
      </c>
      <c r="F141" s="0" t="str">
        <f aca="true">IF(E141="","",E141-TODAY())</f>
        <v/>
      </c>
      <c r="G141" s="0" t="str">
        <f aca="false">IF(A141="","",IF(F141&lt;0,"🔴 OVERDUE",IF(F141=0,"🟡 TODAY",IF(F141&lt;=2,"🟠 SOON","🟢 LATER"))))</f>
        <v/>
      </c>
    </row>
    <row r="142" customFormat="false" ht="15" hidden="false" customHeight="false" outlineLevel="0" collapsed="false">
      <c r="D142" s="14"/>
      <c r="E142" s="14" t="str">
        <f aca="false">IF(C142="","",IF(D142="","",D142+CHOOSE(C142+1,0,1,3,7,15,30,60,90)))</f>
        <v/>
      </c>
      <c r="F142" s="0" t="str">
        <f aca="true">IF(E142="","",E142-TODAY())</f>
        <v/>
      </c>
      <c r="G142" s="0" t="str">
        <f aca="false">IF(A142="","",IF(F142&lt;0,"🔴 OVERDUE",IF(F142=0,"🟡 TODAY",IF(F142&lt;=2,"🟠 SOON","🟢 LATER"))))</f>
        <v/>
      </c>
    </row>
    <row r="143" customFormat="false" ht="15" hidden="false" customHeight="false" outlineLevel="0" collapsed="false">
      <c r="D143" s="14"/>
      <c r="E143" s="14" t="str">
        <f aca="false">IF(C143="","",IF(D143="","",D143+CHOOSE(C143+1,0,1,3,7,15,30,60,90)))</f>
        <v/>
      </c>
      <c r="F143" s="0" t="str">
        <f aca="true">IF(E143="","",E143-TODAY())</f>
        <v/>
      </c>
      <c r="G143" s="0" t="str">
        <f aca="false">IF(A143="","",IF(F143&lt;0,"🔴 OVERDUE",IF(F143=0,"🟡 TODAY",IF(F143&lt;=2,"🟠 SOON","🟢 LATER"))))</f>
        <v/>
      </c>
    </row>
    <row r="144" customFormat="false" ht="15" hidden="false" customHeight="false" outlineLevel="0" collapsed="false">
      <c r="D144" s="14"/>
      <c r="E144" s="14" t="str">
        <f aca="false">IF(C144="","",IF(D144="","",D144+CHOOSE(C144+1,0,1,3,7,15,30,60,90)))</f>
        <v/>
      </c>
      <c r="F144" s="0" t="str">
        <f aca="true">IF(E144="","",E144-TODAY())</f>
        <v/>
      </c>
      <c r="G144" s="0" t="str">
        <f aca="false">IF(A144="","",IF(F144&lt;0,"🔴 OVERDUE",IF(F144=0,"🟡 TODAY",IF(F144&lt;=2,"🟠 SOON","🟢 LATER"))))</f>
        <v/>
      </c>
    </row>
    <row r="145" customFormat="false" ht="15" hidden="false" customHeight="false" outlineLevel="0" collapsed="false">
      <c r="D145" s="14"/>
      <c r="E145" s="14" t="str">
        <f aca="false">IF(C145="","",IF(D145="","",D145+CHOOSE(C145+1,0,1,3,7,15,30,60,90)))</f>
        <v/>
      </c>
      <c r="F145" s="0" t="str">
        <f aca="true">IF(E145="","",E145-TODAY())</f>
        <v/>
      </c>
      <c r="G145" s="0" t="str">
        <f aca="false">IF(A145="","",IF(F145&lt;0,"🔴 OVERDUE",IF(F145=0,"🟡 TODAY",IF(F145&lt;=2,"🟠 SOON","🟢 LATER"))))</f>
        <v/>
      </c>
    </row>
    <row r="146" customFormat="false" ht="15" hidden="false" customHeight="false" outlineLevel="0" collapsed="false">
      <c r="D146" s="14"/>
      <c r="E146" s="14" t="str">
        <f aca="false">IF(C146="","",IF(D146="","",D146+CHOOSE(C146+1,0,1,3,7,15,30,60,90)))</f>
        <v/>
      </c>
      <c r="F146" s="0" t="str">
        <f aca="true">IF(E146="","",E146-TODAY())</f>
        <v/>
      </c>
      <c r="G146" s="0" t="str">
        <f aca="false">IF(A146="","",IF(F146&lt;0,"🔴 OVERDUE",IF(F146=0,"🟡 TODAY",IF(F146&lt;=2,"🟠 SOON","🟢 LATER"))))</f>
        <v/>
      </c>
    </row>
    <row r="147" customFormat="false" ht="15" hidden="false" customHeight="false" outlineLevel="0" collapsed="false">
      <c r="D147" s="14"/>
      <c r="E147" s="14" t="str">
        <f aca="false">IF(C147="","",IF(D147="","",D147+CHOOSE(C147+1,0,1,3,7,15,30,60,90)))</f>
        <v/>
      </c>
      <c r="F147" s="0" t="str">
        <f aca="true">IF(E147="","",E147-TODAY())</f>
        <v/>
      </c>
      <c r="G147" s="0" t="str">
        <f aca="false">IF(A147="","",IF(F147&lt;0,"🔴 OVERDUE",IF(F147=0,"🟡 TODAY",IF(F147&lt;=2,"🟠 SOON","🟢 LATER"))))</f>
        <v/>
      </c>
    </row>
    <row r="148" customFormat="false" ht="15" hidden="false" customHeight="false" outlineLevel="0" collapsed="false">
      <c r="D148" s="14"/>
      <c r="E148" s="14" t="str">
        <f aca="false">IF(C148="","",IF(D148="","",D148+CHOOSE(C148+1,0,1,3,7,15,30,60,90)))</f>
        <v/>
      </c>
      <c r="F148" s="0" t="str">
        <f aca="true">IF(E148="","",E148-TODAY())</f>
        <v/>
      </c>
      <c r="G148" s="0" t="str">
        <f aca="false">IF(A148="","",IF(F148&lt;0,"🔴 OVERDUE",IF(F148=0,"🟡 TODAY",IF(F148&lt;=2,"🟠 SOON","🟢 LATER"))))</f>
        <v/>
      </c>
    </row>
    <row r="149" customFormat="false" ht="15" hidden="false" customHeight="false" outlineLevel="0" collapsed="false">
      <c r="D149" s="14"/>
      <c r="E149" s="14" t="str">
        <f aca="false">IF(C149="","",IF(D149="","",D149+CHOOSE(C149+1,0,1,3,7,15,30,60,90)))</f>
        <v/>
      </c>
      <c r="F149" s="0" t="str">
        <f aca="true">IF(E149="","",E149-TODAY())</f>
        <v/>
      </c>
      <c r="G149" s="0" t="str">
        <f aca="false">IF(A149="","",IF(F149&lt;0,"🔴 OVERDUE",IF(F149=0,"🟡 TODAY",IF(F149&lt;=2,"🟠 SOON","🟢 LATER"))))</f>
        <v/>
      </c>
    </row>
    <row r="150" customFormat="false" ht="15" hidden="false" customHeight="false" outlineLevel="0" collapsed="false">
      <c r="D150" s="14"/>
      <c r="E150" s="14" t="str">
        <f aca="false">IF(C150="","",IF(D150="","",D150+CHOOSE(C150+1,0,1,3,7,15,30,60,90)))</f>
        <v/>
      </c>
      <c r="F150" s="0" t="str">
        <f aca="true">IF(E150="","",E150-TODAY())</f>
        <v/>
      </c>
      <c r="G150" s="0" t="str">
        <f aca="false">IF(A150="","",IF(F150&lt;0,"🔴 OVERDUE",IF(F150=0,"🟡 TODAY",IF(F150&lt;=2,"🟠 SOON","🟢 LATER"))))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5"/>
    <col collapsed="false" customWidth="true" hidden="false" outlineLevel="0" max="3" min="3" style="0" width="25"/>
  </cols>
  <sheetData>
    <row r="1" customFormat="false" ht="24.75" hidden="false" customHeight="true" outlineLevel="0" collapsed="false">
      <c r="A1" s="16" t="s">
        <v>41</v>
      </c>
      <c r="B1" s="16"/>
      <c r="C1" s="16"/>
    </row>
    <row r="3" customFormat="false" ht="15" hidden="false" customHeight="false" outlineLevel="0" collapsed="false">
      <c r="A3" s="17" t="s">
        <v>29</v>
      </c>
      <c r="B3" s="17" t="s">
        <v>42</v>
      </c>
      <c r="C3" s="17" t="s">
        <v>43</v>
      </c>
    </row>
    <row r="4" customFormat="false" ht="15" hidden="false" customHeight="false" outlineLevel="0" collapsed="false">
      <c r="A4" s="18" t="n">
        <v>0</v>
      </c>
      <c r="B4" s="18" t="n">
        <v>0</v>
      </c>
      <c r="C4" s="15" t="s">
        <v>44</v>
      </c>
    </row>
    <row r="5" customFormat="false" ht="15" hidden="false" customHeight="false" outlineLevel="0" collapsed="false">
      <c r="A5" s="18" t="n">
        <v>1</v>
      </c>
      <c r="B5" s="18" t="n">
        <v>1</v>
      </c>
      <c r="C5" s="15" t="s">
        <v>45</v>
      </c>
    </row>
    <row r="6" customFormat="false" ht="15" hidden="false" customHeight="false" outlineLevel="0" collapsed="false">
      <c r="A6" s="18" t="n">
        <v>2</v>
      </c>
      <c r="B6" s="18" t="n">
        <v>3</v>
      </c>
      <c r="C6" s="15" t="s">
        <v>46</v>
      </c>
    </row>
    <row r="7" customFormat="false" ht="15" hidden="false" customHeight="false" outlineLevel="0" collapsed="false">
      <c r="A7" s="18" t="n">
        <v>3</v>
      </c>
      <c r="B7" s="18" t="n">
        <v>7</v>
      </c>
      <c r="C7" s="15" t="s">
        <v>47</v>
      </c>
    </row>
    <row r="8" customFormat="false" ht="15" hidden="false" customHeight="false" outlineLevel="0" collapsed="false">
      <c r="A8" s="18" t="n">
        <v>4</v>
      </c>
      <c r="B8" s="18" t="n">
        <v>15</v>
      </c>
      <c r="C8" s="15" t="s">
        <v>48</v>
      </c>
    </row>
    <row r="9" customFormat="false" ht="15" hidden="false" customHeight="false" outlineLevel="0" collapsed="false">
      <c r="A9" s="18" t="n">
        <v>5</v>
      </c>
      <c r="B9" s="18" t="n">
        <v>30</v>
      </c>
      <c r="C9" s="15" t="s">
        <v>49</v>
      </c>
    </row>
    <row r="10" customFormat="false" ht="15" hidden="false" customHeight="false" outlineLevel="0" collapsed="false">
      <c r="A10" s="18" t="n">
        <v>6</v>
      </c>
      <c r="B10" s="18" t="n">
        <v>60</v>
      </c>
      <c r="C10" s="15" t="s">
        <v>50</v>
      </c>
    </row>
    <row r="11" customFormat="false" ht="15" hidden="false" customHeight="false" outlineLevel="0" collapsed="false">
      <c r="A11" s="18" t="n">
        <v>7</v>
      </c>
      <c r="B11" s="18" t="n">
        <v>90</v>
      </c>
      <c r="C11" s="15" t="s">
        <v>51</v>
      </c>
    </row>
    <row r="13" customFormat="false" ht="15" hidden="false" customHeight="false" outlineLevel="0" collapsed="false">
      <c r="A13" s="19" t="s">
        <v>52</v>
      </c>
    </row>
    <row r="14" customFormat="false" ht="15" hidden="false" customHeight="false" outlineLevel="0" collapsed="false">
      <c r="A14" s="11" t="s">
        <v>53</v>
      </c>
      <c r="B14" s="11"/>
      <c r="C14" s="11"/>
    </row>
    <row r="15" customFormat="false" ht="15" hidden="false" customHeight="false" outlineLevel="0" collapsed="false">
      <c r="A15" s="11" t="s">
        <v>54</v>
      </c>
      <c r="B15" s="11"/>
      <c r="C15" s="11"/>
    </row>
    <row r="16" customFormat="false" ht="15" hidden="false" customHeight="false" outlineLevel="0" collapsed="false">
      <c r="A16" s="11" t="s">
        <v>55</v>
      </c>
      <c r="B16" s="11"/>
      <c r="C16" s="11"/>
    </row>
    <row r="17" customFormat="false" ht="15" hidden="false" customHeight="false" outlineLevel="0" collapsed="false">
      <c r="A17" s="11" t="s">
        <v>56</v>
      </c>
      <c r="B17" s="11"/>
      <c r="C17" s="11"/>
    </row>
    <row r="18" customFormat="false" ht="15" hidden="false" customHeight="false" outlineLevel="0" collapsed="false">
      <c r="A18" s="11" t="s">
        <v>57</v>
      </c>
      <c r="B18" s="11"/>
      <c r="C18" s="11"/>
    </row>
    <row r="19" customFormat="false" ht="15" hidden="false" customHeight="false" outlineLevel="0" collapsed="false">
      <c r="A19" s="11"/>
      <c r="B19" s="11"/>
      <c r="C19" s="11"/>
    </row>
    <row r="20" customFormat="false" ht="15" hidden="false" customHeight="false" outlineLevel="0" collapsed="false">
      <c r="A20" s="11" t="s">
        <v>58</v>
      </c>
      <c r="B20" s="11"/>
      <c r="C20" s="11"/>
    </row>
  </sheetData>
  <mergeCells count="8">
    <mergeCell ref="A1:C1"/>
    <mergeCell ref="A14:C14"/>
    <mergeCell ref="A15:C15"/>
    <mergeCell ref="A16:C16"/>
    <mergeCell ref="A17:C17"/>
    <mergeCell ref="A18:C18"/>
    <mergeCell ref="A19:C19"/>
    <mergeCell ref="A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2026-02-09T17:04:42Z</dcterms:created>
  <dc:creator>openpyxl</dc:creator>
  <dc:description/>
  <dc:language>en-US</dc:language>
  <cp:lastModifiedBy/>
  <dcterms:modified xsi:type="dcterms:W3CDTF">2026-02-09T17:04:42Z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