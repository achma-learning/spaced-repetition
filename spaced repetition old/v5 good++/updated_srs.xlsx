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O" sheetId="1" state="visible" r:id="rId3"/>
    <sheet name="lesson-database" sheetId="2" state="visible" r:id="rId4"/>
    <sheet name="Hebdomadaire" sheetId="3" state="visible" r:id="rId5"/>
    <sheet name="Sheet2" sheetId="4" state="visible" r:id="rId6"/>
    <sheet name="Guide" sheetId="5" state="visible" r:id="rId7"/>
    <sheet name="S7" sheetId="6" state="visible" r:id="rId8"/>
  </sheets>
  <definedNames>
    <definedName function="false" hidden="true" localSheetId="1" name="_xlnm._FilterDatabase" vbProcedure="false">'lesson-database'!$A$2:$G$92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<sst xmlns="http://schemas.openxmlformats.org/spreadsheetml/2006/main" count="527" uniqueCount="439">
  <si>
    <t xml:space="preserve">🎯 MEDICAL SRS - COMMAND CENTER [lesson-database]</t>
  </si>
  <si>
    <t xml:space="preserve">Today:</t>
  </si>
  <si>
    <t xml:space="preserve">🔥 DUE TODAY</t>
  </si>
  <si>
    <t xml:space="preserve">📆 TOMORROW</t>
  </si>
  <si>
    <t xml:space="preserve">📈 THIS WEEK</t>
  </si>
  <si>
    <t xml:space="preserve">⏱️ TIME TODAY</t>
  </si>
  <si>
    <t xml:space="preserve">📊 TODAY'S PROGRESS</t>
  </si>
  <si>
    <t xml:space="preserve">Completed:</t>
  </si>
  <si>
    <t xml:space="preserve">Remaining:</t>
  </si>
  <si>
    <t xml:space="preserve">Progress:</t>
  </si>
  <si>
    <t xml:space="preserve">Progress Bar:</t>
  </si>
  <si>
    <t xml:space="preserve">🎓 MASTERY DISTRIBUTION</t>
  </si>
  <si>
    <t xml:space="preserve">📅 7-DAY WORKLOAD</t>
  </si>
  <si>
    <t xml:space="preserve">Level</t>
  </si>
  <si>
    <t xml:space="preserve">Count</t>
  </si>
  <si>
    <t xml:space="preserve">%</t>
  </si>
  <si>
    <t xml:space="preserve">Status</t>
  </si>
  <si>
    <t xml:space="preserve">Day</t>
  </si>
  <si>
    <t xml:space="preserve">Due</t>
  </si>
  <si>
    <t xml:space="preserve">Load</t>
  </si>
  <si>
    <t xml:space="preserve">0-1 (Weak)</t>
  </si>
  <si>
    <t xml:space="preserve">🔴 Needs Work</t>
  </si>
  <si>
    <t xml:space="preserve">2-3 (Learning)</t>
  </si>
  <si>
    <t xml:space="preserve">🟡 Building</t>
  </si>
  <si>
    <t xml:space="preserve">4-5 (Strong)</t>
  </si>
  <si>
    <t xml:space="preserve">🟢 Good</t>
  </si>
  <si>
    <t xml:space="preserve">6-7 (Mastered)</t>
  </si>
  <si>
    <t xml:space="preserve">✅ Excellent</t>
  </si>
  <si>
    <t xml:space="preserve">🚨 OVERDUE BY SEVERITY</t>
  </si>
  <si>
    <t xml:space="preserve">📚 TOP SUBJECTS</t>
  </si>
  <si>
    <t xml:space="preserve">Severity</t>
  </si>
  <si>
    <t xml:space="preserve">Days</t>
  </si>
  <si>
    <t xml:space="preserve">Action</t>
  </si>
  <si>
    <t xml:space="preserve">Subject</t>
  </si>
  <si>
    <t xml:space="preserve">Total</t>
  </si>
  <si>
    <t xml:space="preserve">🔴 Critical</t>
  </si>
  <si>
    <t xml:space="preserve">10+ days</t>
  </si>
  <si>
    <t xml:space="preserve">⚠️ URGENT!</t>
  </si>
  <si>
    <t xml:space="preserve">Tramatologie</t>
  </si>
  <si>
    <t xml:space="preserve">🟠 High</t>
  </si>
  <si>
    <t xml:space="preserve">5-9 days</t>
  </si>
  <si>
    <t xml:space="preserve">Priority</t>
  </si>
  <si>
    <t xml:space="preserve">Pédiatrie</t>
  </si>
  <si>
    <t xml:space="preserve">🟡 Medium</t>
  </si>
  <si>
    <t xml:space="preserve">2-4 days</t>
  </si>
  <si>
    <t xml:space="preserve">Soon</t>
  </si>
  <si>
    <t xml:space="preserve">Cardio</t>
  </si>
  <si>
    <t xml:space="preserve">🟢 Today</t>
  </si>
  <si>
    <t xml:space="preserve">0 days</t>
  </si>
  <si>
    <t xml:space="preserve">Study Now</t>
  </si>
  <si>
    <t xml:space="preserve">Neuro</t>
  </si>
  <si>
    <t xml:space="preserve">⚡ QUICK ACTIONS</t>
  </si>
  <si>
    <t xml:space="preserve">→ Go to "lesson-database" sheet to study &amp; update</t>
  </si>
  <si>
    <t xml:space="preserve">→ Filter by Status: "⚡ STUDY NOW" to see due lessons</t>
  </si>
  <si>
    <t xml:space="preserve">→ After studying: Update Last Review (Ctrl+;) &amp; Mastery level</t>
  </si>
  <si>
    <t xml:space="preserve">→ Calendar syncs automatically every hour</t>
  </si>
  <si>
    <t xml:space="preserve">1 module/j - 1 new lesson per day / EARLY BIRD : ""1h/day, also important to recharge battery , stop don't do nothing dikr, like 30min of rest pomodoro</t>
  </si>
  <si>
    <t xml:space="preserve">(Auto-filled by script)</t>
  </si>
  <si>
    <t xml:space="preserve">Topic</t>
  </si>
  <si>
    <t xml:space="preserve">Mastery</t>
  </si>
  <si>
    <t xml:space="preserve">Last Review</t>
  </si>
  <si>
    <t xml:space="preserve">Interval</t>
  </si>
  <si>
    <t xml:space="preserve">Next Review</t>
  </si>
  <si>
    <t xml:space="preserve">Fc coude + Avant bras</t>
  </si>
  <si>
    <t xml:space="preserve">Fractures de la diaphyse humérale</t>
  </si>
  <si>
    <t xml:space="preserve">Fractures de la palette humérale</t>
  </si>
  <si>
    <t xml:space="preserve">✅</t>
  </si>
  <si>
    <t xml:space="preserve">nhovhbkf1jao847fnlfg2kerp4@google.com</t>
  </si>
  <si>
    <t xml:space="preserve">Fractures du poignet (scaphoide)</t>
  </si>
  <si>
    <t xml:space="preserve">Infections de la main</t>
  </si>
  <si>
    <t xml:space="preserve">Traumas du bassin / Luxation de la hanche</t>
  </si>
  <si>
    <t xml:space="preserve">Fractures de l'extrémité supérieur du fémur</t>
  </si>
  <si>
    <t xml:space="preserve">Fractures du genou</t>
  </si>
  <si>
    <t xml:space="preserve">Lésions méniscoligamentaires du genou</t>
  </si>
  <si>
    <t xml:space="preserve">Trauma de la cheville</t>
  </si>
  <si>
    <t xml:space="preserve">Traumatismes vasculaires</t>
  </si>
  <si>
    <t xml:space="preserve">Fracture du fémur</t>
  </si>
  <si>
    <t xml:space="preserve">Fracture de la jambe</t>
  </si>
  <si>
    <t xml:space="preserve">Traumas de l'épaule</t>
  </si>
  <si>
    <t xml:space="preserve">Plaies de la main</t>
  </si>
  <si>
    <t xml:space="preserve">Fractures de la main</t>
  </si>
  <si>
    <t xml:space="preserve">Traumas des nerfs périphériques</t>
  </si>
  <si>
    <t xml:space="preserve">Tumeurs osseuses</t>
  </si>
  <si>
    <t xml:space="preserve">Tumeurs des parties molles</t>
  </si>
  <si>
    <t xml:space="preserve">Rhumatologie</t>
  </si>
  <si>
    <t xml:space="preserve">Introd à la rhuamato</t>
  </si>
  <si>
    <t xml:space="preserve">Mono-arthrite</t>
  </si>
  <si>
    <t xml:space="preserve">Epaule douloureuse</t>
  </si>
  <si>
    <t xml:space="preserve">Hanche douloureuse</t>
  </si>
  <si>
    <t xml:space="preserve">Radiculalgie des membres</t>
  </si>
  <si>
    <t xml:space="preserve">Ostéoporose</t>
  </si>
  <si>
    <t xml:space="preserve">Ostéomalacie</t>
  </si>
  <si>
    <t xml:space="preserve">Hypercalcémies</t>
  </si>
  <si>
    <t xml:space="preserve">Ab-articulaire</t>
  </si>
  <si>
    <t xml:space="preserve">Algodystrophie</t>
  </si>
  <si>
    <t xml:space="preserve">Sd du canal carpien</t>
  </si>
  <si>
    <t xml:space="preserve">CAT devant rhumatisme inflammatoire débutant</t>
  </si>
  <si>
    <t xml:space="preserve">Polyarthrite rhumatoide</t>
  </si>
  <si>
    <t xml:space="preserve">Goutte</t>
  </si>
  <si>
    <t xml:space="preserve">Arthrose</t>
  </si>
  <si>
    <t xml:space="preserve">Lombalgies</t>
  </si>
  <si>
    <t xml:space="preserve">Tuberculose ostéo-articulaire</t>
  </si>
  <si>
    <t xml:space="preserve">Spondylarthrite ankylosante</t>
  </si>
  <si>
    <t xml:space="preserve">MPR</t>
  </si>
  <si>
    <t xml:space="preserve">Handicap</t>
  </si>
  <si>
    <t xml:space="preserve">Intervenants et thérapies en MPR</t>
  </si>
  <si>
    <t xml:space="preserve">Appareillages et aides techniques</t>
  </si>
  <si>
    <t xml:space="preserve">MPR et domaines d'interventions</t>
  </si>
  <si>
    <t xml:space="preserve">L'activité physique</t>
  </si>
  <si>
    <t xml:space="preserve">Anatomopathologie</t>
  </si>
  <si>
    <t xml:space="preserve">Tumeurs du foie</t>
  </si>
  <si>
    <t xml:space="preserve">Polypes et polyposes digestives</t>
  </si>
  <si>
    <t xml:space="preserve">Cancers colo-rectales</t>
  </si>
  <si>
    <t xml:space="preserve">Cancer du sein</t>
  </si>
  <si>
    <t xml:space="preserve">Tumeurs broncho-pulmonaires</t>
  </si>
  <si>
    <t xml:space="preserve">Mastopathies bénignes</t>
  </si>
  <si>
    <t xml:space="preserve">Lymphome d'Hogking</t>
  </si>
  <si>
    <t xml:space="preserve">Tumeur de l'ovaire</t>
  </si>
  <si>
    <t xml:space="preserve">Pathologies de l'oesophage</t>
  </si>
  <si>
    <t xml:space="preserve">Tumeurs de l'estomac</t>
  </si>
  <si>
    <t xml:space="preserve">Tumeurs de la vessie</t>
  </si>
  <si>
    <t xml:space="preserve">Cancer du prostate</t>
  </si>
  <si>
    <t xml:space="preserve">Cancer du testicule</t>
  </si>
  <si>
    <t xml:space="preserve">Tumerus du rein</t>
  </si>
  <si>
    <t xml:space="preserve">Cancer du col utérin</t>
  </si>
  <si>
    <t xml:space="preserve">Maladies de système</t>
  </si>
  <si>
    <t xml:space="preserve">Lupus</t>
  </si>
  <si>
    <t xml:space="preserve">Sclérodermie systémique</t>
  </si>
  <si>
    <t xml:space="preserve">Vascularites systémiques</t>
  </si>
  <si>
    <t xml:space="preserve">Maladie de Behçet</t>
  </si>
  <si>
    <t xml:space="preserve">Sd de Gougerot-sjogren</t>
  </si>
  <si>
    <t xml:space="preserve">Vascularites systémiques + Artérite à cellules génates</t>
  </si>
  <si>
    <t xml:space="preserve">Phénomène de Raynaud</t>
  </si>
  <si>
    <t xml:space="preserve">Maladie de Takayasu</t>
  </si>
  <si>
    <t xml:space="preserve">Myopathies inflammatoires</t>
  </si>
  <si>
    <t xml:space="preserve">SAPL</t>
  </si>
  <si>
    <t xml:space="preserve">Génétique</t>
  </si>
  <si>
    <t xml:space="preserve">Introduction à la génétique</t>
  </si>
  <si>
    <t xml:space="preserve">Modes de transmission des maladies génétiques</t>
  </si>
  <si>
    <t xml:space="preserve">Génétique des populations</t>
  </si>
  <si>
    <t xml:space="preserve">Mutations : classification, conséquences et nomenclature</t>
  </si>
  <si>
    <t xml:space="preserve">Caryotype</t>
  </si>
  <si>
    <t xml:space="preserve">La pathologie chromosomique</t>
  </si>
  <si>
    <t xml:space="preserve">Exemples de pathologies autosomes / gonosomes</t>
  </si>
  <si>
    <t xml:space="preserve">Conseil génétique</t>
  </si>
  <si>
    <t xml:space="preserve">Diagnostic anténatal</t>
  </si>
  <si>
    <t xml:space="preserve">SMA</t>
  </si>
  <si>
    <t xml:space="preserve">Sd de l'X fragil</t>
  </si>
  <si>
    <t xml:space="preserve">Sd de Prader Willi</t>
  </si>
  <si>
    <t xml:space="preserve">Immuno</t>
  </si>
  <si>
    <t xml:space="preserve">Introduction à l'immuno</t>
  </si>
  <si>
    <t xml:space="preserve">Déficits immunitaires</t>
  </si>
  <si>
    <t xml:space="preserve">Hypersensibilité immédiate et allergie</t>
  </si>
  <si>
    <t xml:space="preserve">Hypersensibilité type 2 et 3</t>
  </si>
  <si>
    <t xml:space="preserve">Hypersensibilité type 4</t>
  </si>
  <si>
    <t xml:space="preserve">Auto-immunité et maladies auto-immunes</t>
  </si>
  <si>
    <t xml:space="preserve">Immunité anti-infectieuse</t>
  </si>
  <si>
    <t xml:space="preserve">Immunité anti-tumorale</t>
  </si>
  <si>
    <t xml:space="preserve">Vaccination</t>
  </si>
  <si>
    <t xml:space="preserve">Anticorps monoclonaux</t>
  </si>
  <si>
    <t xml:space="preserve">Immunosupresseurs</t>
  </si>
  <si>
    <t xml:space="preserve">put here a list of cours to view during this week</t>
  </si>
  <si>
    <t xml:space="preserve">Make a small calendar grid where each day shows how many reviews are planned.</t>
  </si>
  <si>
    <t xml:space="preserve">You will immediately see:</t>
  </si>
  <si>
    <t xml:space="preserve">overloaded days</t>
  </si>
  <si>
    <t xml:space="preserve">empty days</t>
  </si>
  <si>
    <t xml:space="preserve">bad distribution</t>
  </si>
  <si>
    <t xml:space="preserve">This helps you reschedule before it explodes.</t>
  </si>
  <si>
    <t xml:space="preserve">in short select last review : update it to current date when study (ctrl + ; = insert today's date), and then update level | these are the two changes</t>
  </si>
  <si>
    <t xml:space="preserve">1️⃣ THE DAILY ROUTINE (3 Steps)</t>
  </si>
  <si>
    <t xml:space="preserve">Goal: Spend 100% of your time studying, not managing the sheet.</t>
  </si>
  <si>
    <t xml:space="preserve">Step A: FILTER 🔍</t>
  </si>
  <si>
    <t xml:space="preserve">1. Go to the "Status" column (Col G).</t>
  </si>
  <si>
    <t xml:space="preserve">2. Click the filter arrow.</t>
  </si>
  <si>
    <t xml:space="preserve">3. Select only "⚡ STUDY NOW".</t>
  </si>
  <si>
    <t xml:space="preserve">(Now you see only what is urgent today.)</t>
  </si>
  <si>
    <t xml:space="preserve">Step B: ACTIVE RECALL 💭</t>
  </si>
  <si>
    <t xml:space="preserve">1. Look at the Topic (Col B).</t>
  </si>
  <si>
    <t xml:space="preserve">2. Look away and attempt to recall the facts/mechanisms.</t>
  </si>
  <si>
    <t xml:space="preserve">3. Check your notes/textbook to verify.</t>
  </si>
  <si>
    <t xml:space="preserve">Step C: UPDATE 📝</t>
  </si>
  <si>
    <t xml:space="preserve">1. Update Date: Change "Last Review" (Col C) to TODAY.</t>
  </si>
  <si>
    <t xml:space="preserve">Excel Shortcut: Ctrl + ; (Windows) or Cmd + ; (Mac).</t>
  </si>
  <si>
    <t xml:space="preserve">2. Update Level: Change "Current Level" (Col D) based on how you did (see below).</t>
  </si>
  <si>
    <t xml:space="preserve">3. Clear Filter: When finished, clear the filter to see everything again.</t>
  </si>
  <si>
    <t xml:space="preserve">2️⃣ THE SCORING SYSTEM (How to set Column D)</t>
  </si>
  <si>
    <t xml:space="preserve">Be honest. The algorithm only works if you are truthful about your memory.</t>
  </si>
  <si>
    <t xml:space="preserve">If you felt...</t>
  </si>
  <si>
    <t xml:space="preserve">Action to take</t>
  </si>
  <si>
    <t xml:space="preserve">Result</t>
  </si>
  <si>
    <t xml:space="preserve">❌ Forgot / Wrong</t>
  </si>
  <si>
    <t xml:space="preserve">Change Level to 0</t>
  </si>
  <si>
    <t xml:space="preserve">Resets. You will see this again Tomorrow.</t>
  </si>
  <si>
    <t xml:space="preserve">😐 Hard / Hesitant</t>
  </si>
  <si>
    <t xml:space="preserve">Keep Level the SAME</t>
  </si>
  <si>
    <t xml:space="preserve">Repeats interval. You will see it again Soon.</t>
  </si>
  <si>
    <t xml:space="preserve">✅ Good / Easy</t>
  </si>
  <si>
    <t xml:space="preserve">Increase Level by +1</t>
  </si>
  <si>
    <t xml:space="preserve">Expands interval. You will see it Later.</t>
  </si>
  <si>
    <t xml:space="preserve">Max Level: Once you reach Level 7, you have mastered the topic (Review every ~4 months).</t>
  </si>
  <si>
    <t xml:space="preserve">3️⃣ ADDING NEW LESSONS</t>
  </si>
  <si>
    <t xml:space="preserve">1. Scroll to the bottom of your list.</t>
  </si>
  <si>
    <t xml:space="preserve">2. Type the Subject and Topic.</t>
  </si>
  <si>
    <t xml:space="preserve">3. Set Last Review to Today (Ctrl + ;).</t>
  </si>
  <si>
    <t xml:space="preserve">4. Set Current Level to 0.</t>
  </si>
  <si>
    <t xml:space="preserve">(This ensures you review it tomorrow to lock it in immediately.)</t>
  </si>
  <si>
    <t xml:space="preserve">💡 PRO TIPS FOR MEDICAL STUDENTS</t>
  </si>
  <si>
    <t xml:space="preserve">🚫 The "Exam Cram" Mode:</t>
  </si>
  <si>
    <t xml:space="preserve">If you have an exam coming up, forget the "Status" column. Instead, sort the sheet by Current Level (Smallest to Largest). Focus entirely on Level 0, 1, and 2 topics. Don't waste time reviewing Level 5+ during cram week.</t>
  </si>
  <si>
    <t xml:space="preserve">📅 Missed a few days?</t>
  </si>
  <si>
    <t xml:space="preserve">Don't panic. Unlike rigid schedules, this system pauses when you stop. Just open the sheet, filter for "⚡ STUDY NOW," and chip away at the list. Start with the hardest topics first.</t>
  </si>
  <si>
    <t xml:space="preserve">⌨️ Speed Shortcut:</t>
  </si>
  <si>
    <t xml:space="preserve">After studying a row, hit Right Arrow ➔ Ctrl + ; ➔ Right Arrow ➔ Type Level ➔ Enter. You can process a card in 3 seconds.</t>
  </si>
  <si>
    <t xml:space="preserve">📅 CALENDAR SYNC SETUP</t>
  </si>
  <si>
    <t xml:space="preserve">1. Go to Extensions → Apps Script</t>
  </si>
  <si>
    <t xml:space="preserve">2. Copy the script from CalendarSync.js file</t>
  </si>
  <si>
    <t xml:space="preserve">3. Paste it and save</t>
  </si>
  <si>
    <t xml:space="preserve">4. Refresh this sheet</t>
  </si>
  <si>
    <t xml:space="preserve">5. Click "📅 Calendar Sync" menu → "Setup Auto-Sync"</t>
  </si>
  <si>
    <t xml:space="preserve">6. Grant permissions when asked</t>
  </si>
  <si>
    <t xml:space="preserve">7. Done! Your lessons will appear in Google Calendar</t>
  </si>
  <si>
    <t xml:space="preserve">The script will:</t>
  </si>
  <si>
    <t xml:space="preserve">✅ Create calendar events for all lessons</t>
  </si>
  <si>
    <t xml:space="preserve">✅ Auto-sync every 6 hours</t>
  </si>
  <si>
    <t xml:space="preserve">✅ Update events when dates change</t>
  </si>
  <si>
    <t xml:space="preserve">✅ Delete events when lessons removed</t>
  </si>
  <si>
    <t xml:space="preserve">Column I (Event ID) is managed automatically by the script.</t>
  </si>
  <si>
    <t xml:space="preserve">Recensement S7</t>
  </si>
  <si>
    <t xml:space="preserve">Drive (click here)</t>
  </si>
  <si>
    <t xml:space="preserve">current promo ressources (click here)</t>
  </si>
  <si>
    <t xml:space="preserve">Maladies de l’enfant :</t>
  </si>
  <si>
    <t xml:space="preserve">Pédiatrie :</t>
  </si>
  <si>
    <t xml:space="preserve">Pr Ait Sab:</t>
  </si>
  <si>
    <t xml:space="preserve">[x] Hématuries</t>
  </si>
  <si>
    <t xml:space="preserve">[x] Glomérulonéphrites aigue chez l'enfant</t>
  </si>
  <si>
    <t xml:space="preserve">[x] PROTEINURIE</t>
  </si>
  <si>
    <t xml:space="preserve">[x] SYNDROME NEPHROTIQUE</t>
  </si>
  <si>
    <t xml:space="preserve">[x] Purpura rhumatoide</t>
  </si>
  <si>
    <t xml:space="preserve">[x] Arthralgies et arthrite chez l'enfant</t>
  </si>
  <si>
    <t xml:space="preserve">[x] Infections Urinaires chez l'enfant</t>
  </si>
  <si>
    <t xml:space="preserve">[x] Enurésie</t>
  </si>
  <si>
    <t xml:space="preserve">Pr.El Fakiri:</t>
  </si>
  <si>
    <t xml:space="preserve">[x] Asthme de l'enfant et du nourrisson</t>
  </si>
  <si>
    <t xml:space="preserve">[x] Pleurésie</t>
  </si>
  <si>
    <t xml:space="preserve">[x] Infections respiratoires aigues chez l'enfant</t>
  </si>
  <si>
    <t xml:space="preserve">[x] Coqueluche</t>
  </si>
  <si>
    <t xml:space="preserve">Pr. Barrahouat:</t>
  </si>
  <si>
    <t xml:space="preserve">[x] Vomissement chez l'enfant</t>
  </si>
  <si>
    <t xml:space="preserve">[x] Diarrhée chez l'enfant</t>
  </si>
  <si>
    <t xml:space="preserve">[x] Alimentation et besoins nutrionnels chez l'enfant</t>
  </si>
  <si>
    <t xml:space="preserve">[x] Carences nutritionnelles chez enfant</t>
  </si>
  <si>
    <t xml:space="preserve">Pr. El Qadiri</t>
  </si>
  <si>
    <t xml:space="preserve">[x] Le diabète chez l'enfant</t>
  </si>
  <si>
    <t xml:space="preserve">[x] Retard SP</t>
  </si>
  <si>
    <t xml:space="preserve">Pr El Baz:</t>
  </si>
  <si>
    <t xml:space="preserve">[x] Anémie chez l'enfant</t>
  </si>
  <si>
    <t xml:space="preserve">[x] Cancer de l'enfant et leucemie aigue</t>
  </si>
  <si>
    <t xml:space="preserve">[x] Sd hemoragique chez enfant</t>
  </si>
  <si>
    <t xml:space="preserve">Pr Widad Lahmini</t>
  </si>
  <si>
    <t xml:space="preserve">[x] Dyspnée aigue chez le nourisson</t>
  </si>
  <si>
    <t xml:space="preserve">[x] Douleurs abdominal chez l’enfant (annulé)</t>
  </si>
  <si>
    <t xml:space="preserve">[x] vomissement de l'enfant (annulé)</t>
  </si>
  <si>
    <t xml:space="preserve">Pr Rada:</t>
  </si>
  <si>
    <t xml:space="preserve">[x] Développement psychomoteur</t>
  </si>
  <si>
    <t xml:space="preserve">[x] Tuberculose chez l'enfant</t>
  </si>
  <si>
    <t xml:space="preserve">[x] Fièvre de l’enfant</t>
  </si>
  <si>
    <t xml:space="preserve">[x] Diarrhée aiguë et déshydratation chez l’enfant</t>
  </si>
  <si>
    <t xml:space="preserve">[x] Infections neuroméningées de l'enfant (partie encéphalite annulé diapo 39)</t>
  </si>
  <si>
    <t xml:space="preserve">[x] Déficit immunitaire (annulé)</t>
  </si>
  <si>
    <t xml:space="preserve">[x] Fièvre éruptive chez l'enfant (annulé)</t>
  </si>
  <si>
    <t xml:space="preserve">Néonatologie:</t>
  </si>
  <si>
    <t xml:space="preserve">Pr Maoulainaine:</t>
  </si>
  <si>
    <t xml:space="preserve">[x] Réa du Nné</t>
  </si>
  <si>
    <t xml:space="preserve">[x] APN (annulé)</t>
  </si>
  <si>
    <t xml:space="preserve">[x] Infections néonatales (annulé)</t>
  </si>
  <si>
    <t xml:space="preserve">[x] Détresses respiratoires néonatales (annulé)</t>
  </si>
  <si>
    <t xml:space="preserve">[x] Ictères néonatales(annulé)</t>
  </si>
  <si>
    <t xml:space="preserve">Pr Slitine:</t>
  </si>
  <si>
    <t xml:space="preserve">[x] RCIU</t>
  </si>
  <si>
    <t xml:space="preserve">[x] Convulsions néonatales</t>
  </si>
  <si>
    <t xml:space="preserve">[x] Prématurés</t>
  </si>
  <si>
    <t xml:space="preserve">[x] Cardiopathies congénitales</t>
  </si>
  <si>
    <t xml:space="preserve">[x] Cyanose néonatale</t>
  </si>
  <si>
    <t xml:space="preserve">[x] Insuff cardiaque du nourisson</t>
  </si>
  <si>
    <t xml:space="preserve">Chirurgie pédiatrique:</t>
  </si>
  <si>
    <t xml:space="preserve">Pr Oulad Saiad:</t>
  </si>
  <si>
    <t xml:space="preserve">[x] Malformations congénitales</t>
  </si>
  <si>
    <t xml:space="preserve">[x] Atresie de l’oesophage</t>
  </si>
  <si>
    <t xml:space="preserve">[x] Hernie diaphragmatique</t>
  </si>
  <si>
    <t xml:space="preserve">[x] Occlusion néonatale</t>
  </si>
  <si>
    <t xml:space="preserve">[x] Hirschprung</t>
  </si>
  <si>
    <t xml:space="preserve">[x] Uropathies de l’enfant</t>
  </si>
  <si>
    <t xml:space="preserve">[x] Invagination intestinale</t>
  </si>
  <si>
    <t xml:space="preserve">[x] Malformation anorectal</t>
  </si>
  <si>
    <t xml:space="preserve">Pr. Fouraiji:</t>
  </si>
  <si>
    <t xml:space="preserve">[x] MAP</t>
  </si>
  <si>
    <t xml:space="preserve">[x] Proctologie pédiatrique</t>
  </si>
  <si>
    <t xml:space="preserve">[x] Torsion du cordon spermatique</t>
  </si>
  <si>
    <t xml:space="preserve">Pr. Kamili:</t>
  </si>
  <si>
    <t xml:space="preserve">[x] Pathologie du CPV</t>
  </si>
  <si>
    <t xml:space="preserve">[x] Anomalie de migration et de position testiculaire</t>
  </si>
  <si>
    <t xml:space="preserve">[x] Douleur abdominale chez l’enfant</t>
  </si>
  <si>
    <t xml:space="preserve">[x] Sténose hypertrophique du pylore</t>
  </si>
  <si>
    <t xml:space="preserve">Pr. Aghoutane:</t>
  </si>
  <si>
    <t xml:space="preserve">[x] Les particularités des fractures chez l’enfant</t>
  </si>
  <si>
    <t xml:space="preserve">[x] Infections ostéo-articulaire de l'enfant</t>
  </si>
  <si>
    <t xml:space="preserve">Pr El Fezzazi:</t>
  </si>
  <si>
    <t xml:space="preserve">[x] Les Boiteries de l’enfant</t>
  </si>
  <si>
    <t xml:space="preserve">[x] Déformation rachidienne</t>
  </si>
  <si>
    <t xml:space="preserve">[x] Maladie luxante de la hanche</t>
  </si>
  <si>
    <t xml:space="preserve">Pr. Salama :</t>
  </si>
  <si>
    <t xml:space="preserve">[x] Pied du nouveau né</t>
  </si>
  <si>
    <t xml:space="preserve">[x] Tumeurs osseuses malignes de l’enfant</t>
  </si>
  <si>
    <t xml:space="preserve">Dermato - Endocrino :</t>
  </si>
  <si>
    <t xml:space="preserve">Dermato:</t>
  </si>
  <si>
    <t xml:space="preserve">Pr.Bouhamidi</t>
  </si>
  <si>
    <t xml:space="preserve">[x] Ecoulement urétéral</t>
  </si>
  <si>
    <t xml:space="preserve">[x] Ulcération génital</t>
  </si>
  <si>
    <t xml:space="preserve">[x] Syphilis</t>
  </si>
  <si>
    <t xml:space="preserve">[x] VIH</t>
  </si>
  <si>
    <t xml:space="preserve">[x] Toxidermie médicamenteuse</t>
  </si>
  <si>
    <t xml:space="preserve">[x] Urticaire</t>
  </si>
  <si>
    <t xml:space="preserve">Pr. Amal:</t>
  </si>
  <si>
    <t xml:space="preserve">[x] Acné</t>
  </si>
  <si>
    <t xml:space="preserve">[x] Psoriasis</t>
  </si>
  <si>
    <t xml:space="preserve">[x] Cancers cutanés</t>
  </si>
  <si>
    <t xml:space="preserve">[x] Mélanomes</t>
  </si>
  <si>
    <t xml:space="preserve">Pr. Aboudourib:</t>
  </si>
  <si>
    <t xml:space="preserve">[x] Dermatoses bulleuses</t>
  </si>
  <si>
    <t xml:space="preserve">[x] Erythème noueux</t>
  </si>
  <si>
    <t xml:space="preserve">[x] Prurit</t>
  </si>
  <si>
    <t xml:space="preserve">[x] Tuberculose cutanée</t>
  </si>
  <si>
    <t xml:space="preserve">[x] Lèpre</t>
  </si>
  <si>
    <t xml:space="preserve">Pr.Hocar:</t>
  </si>
  <si>
    <t xml:space="preserve">[x] Infections cutanées à HSV</t>
  </si>
  <si>
    <t xml:space="preserve">[x] Infections cutanées à HPV</t>
  </si>
  <si>
    <t xml:space="preserve">[x] Molluscum contagiosum</t>
  </si>
  <si>
    <t xml:space="preserve">[x] Mycoses superficielles</t>
  </si>
  <si>
    <t xml:space="preserve">[x] Infections cutanées à virus varicelle zona</t>
  </si>
  <si>
    <t xml:space="preserve">[x] Dermatoses bactériennes</t>
  </si>
  <si>
    <t xml:space="preserve">[x] Ectoparasitoses</t>
  </si>
  <si>
    <t xml:space="preserve">[x] Eczema</t>
  </si>
  <si>
    <t xml:space="preserve">Endocrino :</t>
  </si>
  <si>
    <t xml:space="preserve">Pr. Baizri:</t>
  </si>
  <si>
    <t xml:space="preserve">[x] Patho thyroidienne</t>
  </si>
  <si>
    <t xml:space="preserve">[x] Nodule thyroidien</t>
  </si>
  <si>
    <t xml:space="preserve">[x] Nutrition clinique</t>
  </si>
  <si>
    <t xml:space="preserve">Pr Ansari :</t>
  </si>
  <si>
    <t xml:space="preserve">[x] Adénome hypophysaire</t>
  </si>
  <si>
    <t xml:space="preserve">[x] Sd de Cushing</t>
  </si>
  <si>
    <t xml:space="preserve">[x] L’obésité chez l’adulte (annulé)</t>
  </si>
  <si>
    <t xml:space="preserve">[x] Insuff surrénalienne(annulé)</t>
  </si>
  <si>
    <t xml:space="preserve">Pr Elmghari:</t>
  </si>
  <si>
    <t xml:space="preserve">[x] Diabète: Définition - Classification</t>
  </si>
  <si>
    <t xml:space="preserve">[x] Diabète type 1</t>
  </si>
  <si>
    <t xml:space="preserve">[x] diabète cortico-induit</t>
  </si>
  <si>
    <t xml:space="preserve">[x] Diabète type 2</t>
  </si>
  <si>
    <t xml:space="preserve">Neuro - Neurochirurgie:</t>
  </si>
  <si>
    <t xml:space="preserve">Neurologie:</t>
  </si>
  <si>
    <t xml:space="preserve">Pr. Louhab:</t>
  </si>
  <si>
    <t xml:space="preserve">[x] Sclérose latérale amyotrophique</t>
  </si>
  <si>
    <t xml:space="preserve">[x] Neuropathies périphériques</t>
  </si>
  <si>
    <t xml:space="preserve">[x] Sd myasthénique</t>
  </si>
  <si>
    <t xml:space="preserve">[x] Myopathie</t>
  </si>
  <si>
    <t xml:space="preserve">[x] Neurosyphilis</t>
  </si>
  <si>
    <t xml:space="preserve">[x] Ataxie cérébelleuse</t>
  </si>
  <si>
    <t xml:space="preserve">Pr. Chraa:</t>
  </si>
  <si>
    <t xml:space="preserve">[x] Cours introductif</t>
  </si>
  <si>
    <t xml:space="preserve">[x] Les AVC</t>
  </si>
  <si>
    <t xml:space="preserve">[x] SEP</t>
  </si>
  <si>
    <t xml:space="preserve">[x] Neuro Behcet</t>
  </si>
  <si>
    <t xml:space="preserve">[x] Céphalées</t>
  </si>
  <si>
    <t xml:space="preserve">[x] Démences</t>
  </si>
  <si>
    <t xml:space="preserve">[x] Parkinson</t>
  </si>
  <si>
    <t xml:space="preserve">[x] Epilepsie</t>
  </si>
  <si>
    <t xml:space="preserve">[x] Troubles du sommeil (annulé)</t>
  </si>
  <si>
    <t xml:space="preserve">[x] Thrombophlébite cérébrale (annulé)</t>
  </si>
  <si>
    <t xml:space="preserve">Neurochirurgie:</t>
  </si>
  <si>
    <t xml:space="preserve">Pr.Laghmari :</t>
  </si>
  <si>
    <t xml:space="preserve">[x] Spina Bifida</t>
  </si>
  <si>
    <t xml:space="preserve">[x] Hydroencephalie</t>
  </si>
  <si>
    <t xml:space="preserve">[x] Malformation de la charnière cranio-cervicale (annulé)</t>
  </si>
  <si>
    <t xml:space="preserve">Pr. Ghannane :</t>
  </si>
  <si>
    <t xml:space="preserve">[x] Sd de compression médullaire</t>
  </si>
  <si>
    <t xml:space="preserve">[x] Sd de la queue de cheval</t>
  </si>
  <si>
    <t xml:space="preserve">[x] Sciatique par hernie discale</t>
  </si>
  <si>
    <t xml:space="preserve">[x] Hématomes intracérébraux</t>
  </si>
  <si>
    <t xml:space="preserve">[x] L’hémorragie spontanée des méninges</t>
  </si>
  <si>
    <t xml:space="preserve">Pr.Benantar:</t>
  </si>
  <si>
    <t xml:space="preserve">[x] Suppuration intracranienne</t>
  </si>
  <si>
    <t xml:space="preserve">[x] Hydatidose cérébrale et vertebromédullaire</t>
  </si>
  <si>
    <t xml:space="preserve">[x] TBK du système nerveux</t>
  </si>
  <si>
    <t xml:space="preserve">[x] Lésions sellaires et supra sellaires</t>
  </si>
  <si>
    <t xml:space="preserve">Pr.Farrouk:</t>
  </si>
  <si>
    <t xml:space="preserve">[x] Craniosténose</t>
  </si>
  <si>
    <t xml:space="preserve">Pr Ait Benali:</t>
  </si>
  <si>
    <t xml:space="preserve">[x] Traumatismes du rachis dorso lombaire</t>
  </si>
  <si>
    <t xml:space="preserve">[x] Traumas cranioencephaliques</t>
  </si>
  <si>
    <t xml:space="preserve">[x] Traumas du rachis cervical</t>
  </si>
  <si>
    <t xml:space="preserve">[x] Gliomes hémispheriques</t>
  </si>
  <si>
    <t xml:space="preserve">[x] Méningiomes intracraniens</t>
  </si>
  <si>
    <t xml:space="preserve">[x] Métastases cérébrales</t>
  </si>
  <si>
    <t xml:space="preserve">[x] Tumeurs de la FCP</t>
  </si>
  <si>
    <t xml:space="preserve">Hémato-Oncologie:</t>
  </si>
  <si>
    <t xml:space="preserve">Hématologie:</t>
  </si>
  <si>
    <t xml:space="preserve">Pr Raissi:</t>
  </si>
  <si>
    <t xml:space="preserve">[x] Anémie par carence en fer</t>
  </si>
  <si>
    <t xml:space="preserve">[x] Leucémie myéloide chronique</t>
  </si>
  <si>
    <t xml:space="preserve">[x] Urgences hématologiques 1: Sd de leucostase et risque hémorragique (CIVD) (annulé)</t>
  </si>
  <si>
    <t xml:space="preserve">[x] Urgences hématologiques 2: Sd de lyse tumoral et neutropénie fébrile (annulé)</t>
  </si>
  <si>
    <t xml:space="preserve">Pr Lahlimi:</t>
  </si>
  <si>
    <t xml:space="preserve">[x] Leucémie aigue</t>
  </si>
  <si>
    <t xml:space="preserve">[x] LLC</t>
  </si>
  <si>
    <t xml:space="preserve">[x] Maladie de Hodking</t>
  </si>
  <si>
    <t xml:space="preserve">[x] Myélome multiple</t>
  </si>
  <si>
    <t xml:space="preserve">[x] Anémie mégaloblastique</t>
  </si>
  <si>
    <t xml:space="preserve">[x] Drépanocytose</t>
  </si>
  <si>
    <t xml:space="preserve">[x] Sd myéloprolifératifs Phi (-)</t>
  </si>
  <si>
    <t xml:space="preserve">[x] Aplasie médullaire</t>
  </si>
  <si>
    <t xml:space="preserve">[x] Anémie G6PD</t>
  </si>
  <si>
    <t xml:space="preserve">[x] LMNH</t>
  </si>
  <si>
    <t xml:space="preserve">[x] Purpura thrombopénique immunologique , PTI</t>
  </si>
  <si>
    <t xml:space="preserve">[x] Hemophilie</t>
  </si>
  <si>
    <t xml:space="preserve">[x] Thalassemie</t>
  </si>
  <si>
    <t xml:space="preserve">[x] Transfusion sanguine ( programmé le lundi en ligne ) (annulé)</t>
  </si>
  <si>
    <t xml:space="preserve">[x] Sphérocytose héréditaire(annulé)</t>
  </si>
  <si>
    <t xml:space="preserve">Oncologie:</t>
  </si>
  <si>
    <t xml:space="preserve">Pr El Fadli:</t>
  </si>
  <si>
    <t xml:space="preserve">[x] Diagnostic et bilan d’extension des cancers</t>
  </si>
  <si>
    <t xml:space="preserve">[x] Douleur et Cancer</t>
  </si>
  <si>
    <t xml:space="preserve">[x] Urgences onco</t>
  </si>
  <si>
    <t xml:space="preserve">Pr El Omrani:</t>
  </si>
  <si>
    <t xml:space="preserve">[x] Epidémio des cancers</t>
  </si>
  <si>
    <t xml:space="preserve">[x] Hormonothérapie</t>
  </si>
  <si>
    <t xml:space="preserve">[x] Radiotherapie (fait jusqu'à la page 40)</t>
  </si>
  <si>
    <t xml:space="preserve">Pr Essadi:</t>
  </si>
  <si>
    <t xml:space="preserve">[x] Chimiothérapie</t>
  </si>
  <si>
    <t xml:space="preserve">[x] Thérapies ciblés</t>
  </si>
  <si>
    <t xml:space="preserve">[x] Immunothérapie (just introduction done)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</si>
</sst>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General"/>
    <numFmt numFmtId="167" formatCode="0%"/>
    <numFmt numFmtId="168" formatCode="0"/>
    <numFmt numFmtId="169" formatCode="d/m/yyyy"/>
  </numFmts>
  <fonts count="4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6"/>
      <color rgb="FFFFFFFF"/>
      <name val="Cambria"/>
      <family val="0"/>
      <charset val="1"/>
    </font>
    <font>
      <b val="true"/>
      <sz val="56"/>
      <color rgb="FFC00000"/>
      <name val="Cambria"/>
      <family val="0"/>
      <charset val="1"/>
    </font>
    <font>
      <b val="true"/>
      <sz val="56"/>
      <color rgb="FFFF6600"/>
      <name val="Cambria"/>
      <family val="0"/>
      <charset val="1"/>
    </font>
    <font>
      <b val="true"/>
      <sz val="56"/>
      <color rgb="FF0066CC"/>
      <name val="Cambria"/>
      <family val="0"/>
      <charset val="1"/>
    </font>
    <font>
      <b val="true"/>
      <sz val="42"/>
      <color rgb="FF7030A0"/>
      <name val="Cambria"/>
      <family val="0"/>
      <charset val="1"/>
    </font>
    <font>
      <b val="true"/>
      <sz val="14"/>
      <color rgb="FF1F4788"/>
      <name val="Cambria"/>
      <family val="0"/>
      <charset val="1"/>
    </font>
    <font>
      <b val="true"/>
      <sz val="13"/>
      <color rgb="FF00B050"/>
      <name val="Cambria"/>
      <family val="0"/>
      <charset val="1"/>
    </font>
    <font>
      <b val="true"/>
      <sz val="13"/>
      <color rgb="FFC00000"/>
      <name val="Cambria"/>
      <family val="0"/>
      <charset val="1"/>
    </font>
    <font>
      <b val="true"/>
      <sz val="13"/>
      <color rgb="FF0066CC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2"/>
      <color theme="1"/>
      <name val="Google Sans"/>
      <family val="0"/>
      <charset val="1"/>
    </font>
    <font>
      <i val="true"/>
      <sz val="9"/>
      <color rgb="FF666666"/>
      <name val="Calibri"/>
      <family val="0"/>
      <charset val="1"/>
    </font>
    <font>
      <i val="true"/>
      <sz val="10"/>
      <color rgb="FF00B0F0"/>
      <name val="0xProto Nerd Font Propo"/>
      <family val="0"/>
      <charset val="1"/>
    </font>
    <font>
      <i val="true"/>
      <sz val="12"/>
      <color rgb="FF00B0F0"/>
      <name val="Arial"/>
      <family val="0"/>
      <charset val="1"/>
    </font>
    <font>
      <b val="true"/>
      <u val="single"/>
      <sz val="10"/>
      <color rgb="FFCC00FF"/>
      <name val="0xProto Nerd Font Propo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2"/>
      <color theme="1"/>
      <name val="EB Garamond"/>
      <family val="0"/>
      <charset val="1"/>
    </font>
    <font>
      <sz val="12"/>
      <color rgb="FF1F1F1F"/>
      <name val="Google Sans"/>
      <family val="0"/>
      <charset val="1"/>
    </font>
    <font>
      <sz val="12"/>
      <color theme="1"/>
      <name val="Calibri"/>
      <family val="0"/>
      <charset val="1"/>
    </font>
    <font>
      <sz val="11"/>
      <color theme="1"/>
      <name val="Cambria"/>
      <family val="0"/>
      <charset val="1"/>
    </font>
    <font>
      <b val="true"/>
      <sz val="12"/>
      <color rgb="FF1F1F1F"/>
      <name val="EB Garamond"/>
      <family val="0"/>
      <charset val="1"/>
    </font>
    <font>
      <sz val="12"/>
      <color theme="1"/>
      <name val="0xProto Nerd Font Propo"/>
      <family val="0"/>
      <charset val="1"/>
    </font>
    <font>
      <sz val="11"/>
      <color theme="1"/>
      <name val="Google Sans"/>
      <family val="0"/>
      <charset val="1"/>
    </font>
    <font>
      <b val="true"/>
      <sz val="18"/>
      <color theme="1"/>
      <name val="Arial"/>
      <family val="0"/>
      <charset val="1"/>
    </font>
    <font>
      <i val="true"/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2"/>
      <color rgb="FF1F4788"/>
      <name val="Calibri"/>
      <family val="0"/>
      <charset val="1"/>
    </font>
    <font>
      <sz val="10"/>
      <color theme="1"/>
      <name val="Calibri"/>
      <family val="0"/>
      <charset val="1"/>
    </font>
    <font>
      <sz val="10"/>
      <color rgb="FF00B050"/>
      <name val="Calibri"/>
      <family val="0"/>
      <charset val="1"/>
    </font>
    <font>
      <b val="true"/>
      <sz val="24"/>
      <color theme="1"/>
      <name val="Calibri"/>
      <family val="0"/>
      <charset val="1"/>
    </font>
    <font>
      <u val="single"/>
      <sz val="11"/>
      <color theme="10"/>
      <name val="Calibri"/>
      <family val="0"/>
      <charset val="1"/>
    </font>
    <font>
      <b val="true"/>
      <sz val="18"/>
      <color theme="1"/>
      <name val="Calibri"/>
      <family val="0"/>
      <charset val="1"/>
    </font>
    <font>
      <b val="true"/>
      <sz val="13"/>
      <color theme="1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788"/>
        <bgColor rgb="FF0563C1"/>
      </patternFill>
    </fill>
    <fill>
      <patternFill patternType="solid">
        <fgColor rgb="FFC00000"/>
        <bgColor rgb="FF9C0006"/>
      </patternFill>
    </fill>
    <fill>
      <patternFill patternType="solid">
        <fgColor rgb="FFFF6600"/>
        <bgColor rgb="FFFF9900"/>
      </patternFill>
    </fill>
    <fill>
      <patternFill patternType="solid">
        <fgColor rgb="FF0066CC"/>
        <bgColor rgb="FF0563C1"/>
      </patternFill>
    </fill>
    <fill>
      <patternFill patternType="solid">
        <fgColor rgb="FF7030A0"/>
        <bgColor rgb="FF993366"/>
      </patternFill>
    </fill>
    <fill>
      <patternFill patternType="solid">
        <fgColor rgb="FFE8E8E8"/>
        <bgColor rgb="FFECECEC"/>
      </patternFill>
    </fill>
    <fill>
      <patternFill patternType="solid">
        <fgColor rgb="FFD9E1F2"/>
        <bgColor rgb="FFE8E8E8"/>
      </patternFill>
    </fill>
    <fill>
      <patternFill patternType="solid">
        <fgColor theme="1"/>
        <bgColor rgb="FF1F1F1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 diagonalUp="false" diagonalDown="false">
      <left style="thick">
        <color theme="0"/>
      </left>
      <right style="thin">
        <color rgb="FF002060"/>
      </right>
      <top style="thin"/>
      <bottom style="thick">
        <color theme="0"/>
      </bottom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9" fillId="9" borderId="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5" fontId="2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9" borderId="3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5" fontId="21" fillId="9" borderId="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2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5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24" fillId="0" borderId="7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9">
    <dxf>
      <fill>
        <patternFill>
          <bgColor rgb="FF00B05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666FF"/>
          <bgColor rgb="FF000000"/>
        </patternFill>
      </fill>
    </dxf>
    <dxf>
      <fill>
        <patternFill patternType="solid">
          <fgColor rgb="FF9CC2E5"/>
          <bgColor rgb="FF000000"/>
        </patternFill>
      </fill>
    </dxf>
    <dxf>
      <fill>
        <patternFill patternType="solid">
          <fgColor rgb="FFA8D08D"/>
          <bgColor rgb="FF000000"/>
        </patternFill>
      </fill>
    </dxf>
    <dxf>
      <fill>
        <patternFill patternType="solid">
          <fgColor rgb="FFCC66FF"/>
          <bgColor rgb="FF000000"/>
        </patternFill>
      </fill>
    </dxf>
    <dxf>
      <fill>
        <patternFill patternType="solid">
          <fgColor rgb="FFECECEC"/>
          <bgColor rgb="FF000000"/>
        </patternFill>
      </fill>
    </dxf>
    <dxf>
      <fill>
        <patternFill patternType="solid">
          <fgColor rgb="FFFF66CC"/>
          <bgColor rgb="FF000000"/>
        </patternFill>
      </fill>
    </dxf>
    <dxf>
      <fill>
        <patternFill patternType="solid">
          <fgColor rgb="FFFFD965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CC00FF"/>
          <bgColor rgb="FF000000"/>
        </patternFill>
      </fill>
    </dxf>
    <dxf>
      <fill>
        <patternFill patternType="solid">
          <fgColor rgb="FFBDD6EE"/>
          <bgColor rgb="FF000000"/>
        </patternFill>
      </fill>
    </dxf>
    <dxf>
      <fill>
        <patternFill patternType="solid">
          <fgColor rgb="FF002060"/>
          <bgColor rgb="FF000000"/>
        </patternFill>
      </fill>
    </dxf>
    <dxf>
      <border diagonalUp="false" diagonalDown="false"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diagon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CC"/>
        </patternFill>
      </fill>
    </dxf>
    <dxf>
      <fill>
        <patternFill>
          <bgColor rgb="FFECECEC"/>
        </patternFill>
      </fill>
    </dxf>
    <dxf>
      <fill>
        <patternFill>
          <bgColor rgb="FF6666FF"/>
        </patternFill>
      </fill>
    </dxf>
    <dxf>
      <fill>
        <patternFill>
          <bgColor rgb="FFCC66FF"/>
        </patternFill>
      </fill>
    </dxf>
    <dxf>
      <fill>
        <patternFill>
          <bgColor rgb="FFA8D08D"/>
        </patternFill>
      </fill>
    </dxf>
    <dxf>
      <fill>
        <patternFill>
          <bgColor rgb="FF9CC2E5"/>
        </patternFill>
      </fill>
    </dxf>
    <dxf>
      <fill>
        <patternFill>
          <bgColor rgb="FFC8C8C8"/>
        </patternFill>
      </fill>
    </dxf>
    <dxf>
      <fill>
        <patternFill>
          <bgColor rgb="FFFFD965"/>
        </patternFill>
      </fill>
    </dxf>
    <dxf>
      <font>
        <color rgb="FF002060"/>
      </font>
      <fill>
        <patternFill>
          <bgColor rgb="FFBDD6EE"/>
        </patternFill>
      </fill>
      <border diagonalUp="false" diagonalDown="false">
        <left style="thin">
          <color rgb="FFCC00FF"/>
        </left>
        <right style="thin">
          <color rgb="FFCC00FF"/>
        </right>
        <top style="thin">
          <color rgb="FFCC00FF"/>
        </top>
        <bottom style="thin">
          <color rgb="FFCC00FF"/>
        </bottom>
        <diagonal/>
      </border>
    </dxf>
  </dxfs>
  <colors>
    <indexedColors>
      <rgbColor rgb="FF000000"/>
      <rgbColor rgb="FFFFFFFF"/>
      <rgbColor rgb="FFC00000"/>
      <rgbColor rgb="FF00FF00"/>
      <rgbColor rgb="FF0000FF"/>
      <rgbColor rgb="FFFFFF00"/>
      <rgbColor rgb="FFCC00FF"/>
      <rgbColor rgb="FF00FFFF"/>
      <rgbColor rgb="FF9C0006"/>
      <rgbColor rgb="FF006100"/>
      <rgbColor rgb="FF000080"/>
      <rgbColor rgb="FF808000"/>
      <rgbColor rgb="FF800080"/>
      <rgbColor rgb="FF0563C1"/>
      <rgbColor rgb="FFC8C8C8"/>
      <rgbColor rgb="FF808080"/>
      <rgbColor rgb="FF9999FF"/>
      <rgbColor rgb="FF7030A0"/>
      <rgbColor rgb="FFECECEC"/>
      <rgbColor rgb="FFD9E1F2"/>
      <rgbColor rgb="FF660066"/>
      <rgbColor rgb="FFFF66CC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E8E8E8"/>
      <rgbColor rgb="FFC6EFCE"/>
      <rgbColor rgb="FFFFD965"/>
      <rgbColor rgb="FF9CC2E5"/>
      <rgbColor rgb="FFFF99CC"/>
      <rgbColor rgb="FFCC66FF"/>
      <rgbColor rgb="FFFFC7CE"/>
      <rgbColor rgb="FF6666FF"/>
      <rgbColor rgb="FF33CCCC"/>
      <rgbColor rgb="FF99CC00"/>
      <rgbColor rgb="FFFFCC00"/>
      <rgbColor rgb="FFFF9900"/>
      <rgbColor rgb="FFFF6600"/>
      <rgbColor rgb="FF666666"/>
      <rgbColor rgb="FFA8D08D"/>
      <rgbColor rgb="FF002060"/>
      <rgbColor rgb="FF00B050"/>
      <rgbColor rgb="FF003300"/>
      <rgbColor rgb="FF333300"/>
      <rgbColor rgb="FF993300"/>
      <rgbColor rgb="FF993366"/>
      <rgbColor rgb="FF1F478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19080</xdr:colOff>
      <xdr:row>2</xdr:row>
      <xdr:rowOff>133200</xdr:rowOff>
    </xdr:from>
    <xdr:to>
      <xdr:col>18</xdr:col>
      <xdr:colOff>784440</xdr:colOff>
      <xdr:row>10</xdr:row>
      <xdr:rowOff>180360</xdr:rowOff>
    </xdr:to>
    <xdr:pic>
      <xdr:nvPicPr>
        <xdr:cNvPr id="0" name="image1.jpg" descr="bonne mauvaise stratégie"/>
        <xdr:cNvPicPr/>
      </xdr:nvPicPr>
      <xdr:blipFill>
        <a:blip r:embed="rId1"/>
        <a:stretch/>
      </xdr:blipFill>
      <xdr:spPr>
        <a:xfrm>
          <a:off x="13230720" y="828360"/>
          <a:ext cx="2800080" cy="2504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drive.google.com/drive/folders/1wT64h4QBNpQQ4rS5M9voY5Y-4cv-RYE7?usp=drive_link" TargetMode="External"/><Relationship Id="rId2" Type="http://schemas.openxmlformats.org/officeDocument/2006/relationships/hyperlink" Target="https://linktr.ee/fmpmpromo22.23?utm_source=linktree_profile_share&amp;ltsid=7999f4e4-83d4-4378-9791-10389cf2335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0"/>
    <col collapsed="false" customWidth="true" hidden="false" outlineLevel="0" max="4" min="4" style="0" width="16"/>
    <col collapsed="false" customWidth="true" hidden="false" outlineLevel="0" max="5" min="5" style="0" width="20.14"/>
    <col collapsed="false" customWidth="true" hidden="false" outlineLevel="0" max="6" min="6" style="0" width="14"/>
    <col collapsed="false" customWidth="true" hidden="false" outlineLevel="0" max="13" min="7" style="0" width="8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T1" s="2"/>
      <c r="U1" s="2"/>
      <c r="V1" s="2"/>
      <c r="W1" s="2"/>
      <c r="X1" s="2"/>
      <c r="Y1" s="2"/>
      <c r="Z1" s="2"/>
    </row>
    <row r="2" customFormat="false" ht="15" hidden="false" customHeight="true" outlineLevel="0" collapsed="false">
      <c r="A2" s="3" t="s">
        <v>1</v>
      </c>
      <c r="B2" s="3" t="str">
        <f aca="true">TEXT(TODAY(),"DDDD, MMMM DD, YYYY")</f>
        <v>Wednesday, February 11, 2026</v>
      </c>
    </row>
    <row r="4" customFormat="false" ht="30" hidden="false" customHeight="true" outlineLevel="0" collapsed="false">
      <c r="A4" s="4" t="s">
        <v>2</v>
      </c>
      <c r="B4" s="4"/>
      <c r="C4" s="5" t="s">
        <v>3</v>
      </c>
      <c r="D4" s="5"/>
      <c r="E4" s="6" t="s">
        <v>4</v>
      </c>
      <c r="F4" s="6"/>
      <c r="G4" s="7" t="s">
        <v>5</v>
      </c>
      <c r="H4" s="7"/>
    </row>
    <row r="5" customFormat="false" ht="69.75" hidden="false" customHeight="true" outlineLevel="0" collapsed="false">
      <c r="A5" s="8" t="n">
        <f aca="true">COUNTIFS('lesson-database'!$G:$G,"&lt;="&amp;TODAY(),'lesson-database'!$A:$A,"&lt;&gt;""")+(COUNTIF('lesson-database'!$E:$E,"")-COUNTBLANK('lesson-database'!$A:$A))</f>
        <v>179</v>
      </c>
      <c r="B5" s="8"/>
      <c r="C5" s="9" t="n">
        <f aca="true">COUNTIF('lesson-database'!$G:$G,TODAY()+1)</f>
        <v>1</v>
      </c>
      <c r="D5" s="9"/>
      <c r="E5" s="10" t="n">
        <f aca="true">SUMPRODUCT(('lesson-database'!$G:$G&gt;=TODAY())*('lesson-database'!$G:$G&lt;=TODAY()+7)*('lesson-database'!$A:$A&lt;&gt;""))</f>
        <v>1</v>
      </c>
      <c r="F5" s="10"/>
      <c r="G5" s="11" t="str">
        <f aca="false">ROUND(A5*3/60,1)&amp;" hrs"</f>
        <v>9 hrs</v>
      </c>
      <c r="H5" s="11"/>
    </row>
    <row r="6" customFormat="false" ht="18.75" hidden="false" customHeight="true" outlineLevel="0" collapsed="false">
      <c r="A6" s="12"/>
      <c r="B6" s="12"/>
      <c r="D6" s="12"/>
      <c r="E6" s="12"/>
    </row>
    <row r="7" customFormat="false" ht="16.5" hidden="false" customHeight="true" outlineLevel="0" collapsed="false">
      <c r="A7" s="13" t="s">
        <v>6</v>
      </c>
      <c r="B7" s="13"/>
      <c r="C7" s="13"/>
      <c r="D7" s="13"/>
      <c r="E7" s="13"/>
      <c r="F7" s="13"/>
      <c r="G7" s="13"/>
      <c r="H7" s="13"/>
    </row>
    <row r="8" customFormat="false" ht="15" hidden="false" customHeight="true" outlineLevel="0" collapsed="false">
      <c r="A8" s="0" t="s">
        <v>7</v>
      </c>
      <c r="B8" s="14" t="n">
        <f aca="true">COUNTIFS('lesson-database'!$G:$G,"&lt;="&amp;TODAY(),'lesson-database'!$E:$E,TODAY())</f>
        <v>0</v>
      </c>
      <c r="D8" s="0" t="s">
        <v>8</v>
      </c>
      <c r="E8" s="15" t="n">
        <f aca="false">MAX(0,A5-B8)</f>
        <v>179</v>
      </c>
      <c r="G8" s="0" t="s">
        <v>9</v>
      </c>
      <c r="H8" s="16" t="str">
        <f aca="false">IF(A5=0,"100%",ROUND(B8/A5*100,0)&amp;"%")</f>
        <v>0%</v>
      </c>
    </row>
    <row r="9" customFormat="false" ht="14.25" hidden="false" customHeight="true" outlineLevel="0" collapsed="false">
      <c r="A9" s="0" t="s">
        <v>10</v>
      </c>
      <c r="B9" s="17"/>
      <c r="C9" s="17"/>
      <c r="D9" s="17"/>
      <c r="E9" s="17"/>
      <c r="F9" s="17"/>
      <c r="G9" s="17"/>
      <c r="H9" s="17"/>
    </row>
    <row r="10" customFormat="false" ht="14.25" hidden="false" customHeight="true" outlineLevel="0" collapsed="false"/>
    <row r="11" customFormat="false" ht="14.25" hidden="false" customHeight="true" outlineLevel="0" collapsed="false">
      <c r="A11" s="13" t="s">
        <v>11</v>
      </c>
      <c r="B11" s="13"/>
      <c r="C11" s="13"/>
      <c r="D11" s="13"/>
      <c r="F11" s="13" t="s">
        <v>12</v>
      </c>
      <c r="G11" s="13"/>
      <c r="H11" s="13"/>
    </row>
    <row r="12" customFormat="false" ht="14.25" hidden="false" customHeight="true" outlineLevel="0" collapsed="false">
      <c r="A12" s="18" t="s">
        <v>13</v>
      </c>
      <c r="B12" s="18" t="s">
        <v>14</v>
      </c>
      <c r="C12" s="18" t="s">
        <v>15</v>
      </c>
      <c r="D12" s="18" t="s">
        <v>16</v>
      </c>
      <c r="F12" s="18" t="s">
        <v>17</v>
      </c>
      <c r="G12" s="18" t="s">
        <v>18</v>
      </c>
      <c r="H12" s="18" t="s">
        <v>19</v>
      </c>
    </row>
    <row r="13" customFormat="false" ht="14.25" hidden="false" customHeight="true" outlineLevel="0" collapsed="false">
      <c r="A13" s="0" t="s">
        <v>20</v>
      </c>
      <c r="B13" s="19" t="n">
        <f aca="false">COUNTIF('lesson-database'!$D:$D,0)+COUNTIF('lesson-database'!$D:$D,1)</f>
        <v>90</v>
      </c>
      <c r="C13" s="20" t="n">
        <f aca="false">IF(COUNTA('lesson-database'!$D:$D)=0,0,B13/COUNTA('lesson-database'!$D:$D))</f>
        <v>0.989010989010989</v>
      </c>
      <c r="D13" s="21" t="s">
        <v>21</v>
      </c>
      <c r="E13" s="21"/>
      <c r="F13" s="21" t="str">
        <f aca="true">TEXT(TODAY()+0,"ddd MM/DD")</f>
        <v>Wed 02/11</v>
      </c>
      <c r="G13" s="21" t="n">
        <f aca="true">COUNTIF('lesson-database'!$G:$G,TODAY()+0)</f>
        <v>0</v>
      </c>
      <c r="H13" s="21" t="str">
        <f aca="false">IF(G13&gt;25,"🔴 Heavy",IF(G13&gt;15,"🟡 Busy","🟢 Light"))</f>
        <v>🟢 Light</v>
      </c>
    </row>
    <row r="14" customFormat="false" ht="14.25" hidden="false" customHeight="true" outlineLevel="0" collapsed="false">
      <c r="A14" s="0" t="s">
        <v>22</v>
      </c>
      <c r="B14" s="19" t="n">
        <f aca="false">COUNTIF('lesson-database'!$D:$D,2)+COUNTIF('lesson-database'!$D:$D,3)</f>
        <v>0</v>
      </c>
      <c r="C14" s="20" t="n">
        <f aca="false">IF(COUNTA('lesson-database'!$D:$D)=0,0,B14/COUNTA('lesson-database'!$D:$D))</f>
        <v>0</v>
      </c>
      <c r="D14" s="0" t="s">
        <v>23</v>
      </c>
      <c r="F14" s="19" t="str">
        <f aca="true">TEXT(TODAY()+1,"ddd MM/DD")</f>
        <v>Thu 02/12</v>
      </c>
      <c r="G14" s="19" t="n">
        <f aca="true">COUNTIF('lesson-database'!$G:$G,TODAY()+1)</f>
        <v>1</v>
      </c>
      <c r="H14" s="19" t="str">
        <f aca="false">IF(G14&gt;25,"🔴 Heavy",IF(G14&gt;15,"🟡 Busy","🟢 Light"))</f>
        <v>🟢 Light</v>
      </c>
    </row>
    <row r="15" customFormat="false" ht="14.25" hidden="false" customHeight="true" outlineLevel="0" collapsed="false">
      <c r="A15" s="0" t="s">
        <v>24</v>
      </c>
      <c r="B15" s="19" t="n">
        <f aca="false">COUNTIF('lesson-database'!$D:$D,4)+COUNTIF('lesson-database'!$D:$D,5)</f>
        <v>0</v>
      </c>
      <c r="C15" s="20" t="n">
        <f aca="false">IF(COUNTA('lesson-database'!$D:$D)=0,0,B15/COUNTA('lesson-database'!$D:$D))</f>
        <v>0</v>
      </c>
      <c r="D15" s="0" t="s">
        <v>25</v>
      </c>
      <c r="E15" s="12"/>
      <c r="F15" s="12" t="str">
        <f aca="true">TEXT(TODAY()+2,"ddd MM/DD")</f>
        <v>Fri 02/13</v>
      </c>
      <c r="G15" s="12" t="n">
        <f aca="true">COUNTIF('lesson-database'!$G:$G,TODAY()+2)</f>
        <v>0</v>
      </c>
      <c r="H15" s="12" t="str">
        <f aca="false">IF(G15&gt;25,"🔴 Heavy",IF(G15&gt;15,"🟡 Busy","🟢 Light"))</f>
        <v>🟢 Light</v>
      </c>
      <c r="I15" s="12"/>
      <c r="J15" s="12"/>
      <c r="K15" s="12"/>
      <c r="L15" s="12"/>
      <c r="M15" s="12"/>
      <c r="N15" s="12"/>
      <c r="O15" s="12"/>
    </row>
    <row r="16" customFormat="false" ht="14.25" hidden="false" customHeight="true" outlineLevel="0" collapsed="false">
      <c r="A16" s="0" t="s">
        <v>26</v>
      </c>
      <c r="B16" s="19" t="n">
        <f aca="false">COUNTIF('lesson-database'!$D:$D,6)+COUNTIF('lesson-database'!$D:$D,7)</f>
        <v>0</v>
      </c>
      <c r="C16" s="20" t="n">
        <f aca="false">IF(COUNTA('lesson-database'!$D:$D)=0,0,B16/COUNTA('lesson-database'!$D:$D))</f>
        <v>0</v>
      </c>
      <c r="D16" s="0" t="s">
        <v>27</v>
      </c>
      <c r="F16" s="19" t="str">
        <f aca="true">TEXT(TODAY()+3,"ddd MM/DD")</f>
        <v>Sat 02/14</v>
      </c>
      <c r="G16" s="19" t="n">
        <f aca="true">COUNTIF('lesson-database'!$G:$G,TODAY()+3)</f>
        <v>0</v>
      </c>
      <c r="H16" s="19" t="str">
        <f aca="false">IF(G16&gt;25,"🔴 Heavy",IF(G16&gt;15,"🟡 Busy","🟢 Light"))</f>
        <v>🟢 Light</v>
      </c>
    </row>
    <row r="17" customFormat="false" ht="14.25" hidden="false" customHeight="true" outlineLevel="0" collapsed="false">
      <c r="F17" s="19" t="str">
        <f aca="true">TEXT(TODAY()+4,"ddd MM/DD")</f>
        <v>Sun 02/15</v>
      </c>
      <c r="G17" s="19" t="n">
        <f aca="true">COUNTIF('lesson-database'!$G:$G,TODAY()+4)</f>
        <v>0</v>
      </c>
      <c r="H17" s="19" t="str">
        <f aca="false">IF(G17&gt;25,"🔴 Heavy",IF(G17&gt;15,"🟡 Busy","🟢 Light"))</f>
        <v>🟢 Light</v>
      </c>
    </row>
    <row r="18" customFormat="false" ht="14.25" hidden="false" customHeight="true" outlineLevel="0" collapsed="false">
      <c r="A18" s="13" t="s">
        <v>28</v>
      </c>
      <c r="B18" s="13"/>
      <c r="C18" s="13"/>
      <c r="D18" s="13"/>
      <c r="E18" s="13"/>
      <c r="F18" s="13" t="s">
        <v>29</v>
      </c>
      <c r="G18" s="13"/>
      <c r="H18" s="13"/>
    </row>
    <row r="19" customFormat="false" ht="14.25" hidden="false" customHeight="true" outlineLevel="0" collapsed="false">
      <c r="A19" s="18" t="s">
        <v>30</v>
      </c>
      <c r="B19" s="18" t="s">
        <v>14</v>
      </c>
      <c r="C19" s="18" t="s">
        <v>31</v>
      </c>
      <c r="D19" s="18" t="s">
        <v>32</v>
      </c>
      <c r="F19" s="18" t="s">
        <v>33</v>
      </c>
      <c r="G19" s="18" t="s">
        <v>34</v>
      </c>
      <c r="H19" s="18" t="s">
        <v>18</v>
      </c>
    </row>
    <row r="20" customFormat="false" ht="14.25" hidden="false" customHeight="true" outlineLevel="0" collapsed="false">
      <c r="A20" s="0" t="s">
        <v>35</v>
      </c>
      <c r="B20" s="19" t="n">
        <f aca="true">COUNTIFS('lesson-database'!$G:$G,"&lt;"&amp;TODAY()-10,'lesson-database'!$A:$A,"&lt;&gt;")</f>
        <v>89</v>
      </c>
      <c r="C20" s="0" t="s">
        <v>36</v>
      </c>
      <c r="D20" s="0" t="s">
        <v>37</v>
      </c>
      <c r="F20" s="0" t="s">
        <v>38</v>
      </c>
      <c r="G20" s="19" t="n">
        <f aca="false">COUNTIF('lesson-database'!$A:$A,F20)</f>
        <v>19</v>
      </c>
      <c r="H20" s="19" t="n">
        <f aca="true">COUNTIFS('lesson-database'!$A:$A,F20,'lesson-database'!$G:$G,"&lt;="&amp;TODAY())</f>
        <v>18</v>
      </c>
    </row>
    <row r="21" customFormat="false" ht="14.25" hidden="false" customHeight="true" outlineLevel="0" collapsed="false">
      <c r="A21" s="0" t="s">
        <v>39</v>
      </c>
      <c r="B21" s="19" t="n">
        <f aca="true">COUNTIFS('lesson-database'!$G:$G,"&lt;"&amp;TODAY()-5,'lesson-database'!$G:$G,"&gt;="&amp;TODAY()-10)</f>
        <v>0</v>
      </c>
      <c r="C21" s="0" t="s">
        <v>40</v>
      </c>
      <c r="D21" s="0" t="s">
        <v>41</v>
      </c>
      <c r="F21" s="0" t="s">
        <v>42</v>
      </c>
      <c r="G21" s="19" t="n">
        <f aca="false">COUNTIF('lesson-database'!$A:$A,F21)</f>
        <v>0</v>
      </c>
      <c r="H21" s="19" t="n">
        <f aca="true">COUNTIFS('lesson-database'!$A:$A,F21,'lesson-database'!$G:$G,"&lt;="&amp;TODAY())</f>
        <v>0</v>
      </c>
    </row>
    <row r="22" customFormat="false" ht="14.25" hidden="false" customHeight="true" outlineLevel="0" collapsed="false">
      <c r="A22" s="0" t="s">
        <v>43</v>
      </c>
      <c r="B22" s="19" t="n">
        <f aca="true">COUNTIFS('lesson-database'!$G:$G,"&lt;"&amp;TODAY()-1,'lesson-database'!$G:$G,"&gt;="&amp;TODAY()-5)</f>
        <v>0</v>
      </c>
      <c r="C22" s="0" t="s">
        <v>44</v>
      </c>
      <c r="D22" s="0" t="s">
        <v>45</v>
      </c>
      <c r="F22" s="0" t="s">
        <v>46</v>
      </c>
      <c r="G22" s="19" t="n">
        <f aca="false">COUNTIF('lesson-database'!$A:$A,F22)</f>
        <v>0</v>
      </c>
      <c r="H22" s="19" t="n">
        <f aca="true">COUNTIFS('lesson-database'!$A:$A,F22,'lesson-database'!$G:$G,"&lt;="&amp;TODAY())</f>
        <v>0</v>
      </c>
    </row>
    <row r="23" customFormat="false" ht="14.25" hidden="false" customHeight="true" outlineLevel="0" collapsed="false">
      <c r="A23" s="0" t="s">
        <v>47</v>
      </c>
      <c r="B23" s="19" t="n">
        <f aca="true">COUNTIF('lesson-database'!$G:$G,TODAY())</f>
        <v>0</v>
      </c>
      <c r="C23" s="0" t="s">
        <v>48</v>
      </c>
      <c r="D23" s="0" t="s">
        <v>49</v>
      </c>
      <c r="F23" s="0" t="s">
        <v>50</v>
      </c>
      <c r="G23" s="19" t="n">
        <f aca="false">COUNTIF('lesson-database'!$A:$A,F23)</f>
        <v>0</v>
      </c>
      <c r="H23" s="19" t="n">
        <f aca="true">COUNTIFS('lesson-database'!$A:$A,F23,'lesson-database'!$G:$G,"&lt;="&amp;TODAY())</f>
        <v>0</v>
      </c>
    </row>
    <row r="24" customFormat="false" ht="14.25" hidden="false" customHeight="true" outlineLevel="0" collapsed="false">
      <c r="D24" s="21"/>
      <c r="E24" s="21"/>
      <c r="F24" s="21"/>
      <c r="G24" s="21"/>
      <c r="H24" s="21"/>
    </row>
    <row r="25" customFormat="false" ht="30" hidden="false" customHeight="true" outlineLevel="0" collapsed="false">
      <c r="A25" s="22" t="s">
        <v>51</v>
      </c>
      <c r="B25" s="22"/>
      <c r="C25" s="22"/>
      <c r="D25" s="22"/>
      <c r="E25" s="22"/>
      <c r="F25" s="22"/>
      <c r="G25" s="22"/>
      <c r="H25" s="22"/>
    </row>
    <row r="26" customFormat="false" ht="14.25" hidden="false" customHeight="true" outlineLevel="0" collapsed="false">
      <c r="A26" s="23" t="s">
        <v>52</v>
      </c>
      <c r="B26" s="23"/>
      <c r="C26" s="23"/>
      <c r="D26" s="23"/>
      <c r="E26" s="23"/>
      <c r="F26" s="23"/>
      <c r="G26" s="23"/>
      <c r="H26" s="23"/>
    </row>
    <row r="27" customFormat="false" ht="14.25" hidden="false" customHeight="true" outlineLevel="0" collapsed="false">
      <c r="A27" s="23" t="s">
        <v>53</v>
      </c>
      <c r="B27" s="23"/>
      <c r="C27" s="23"/>
      <c r="D27" s="23"/>
      <c r="E27" s="23"/>
      <c r="F27" s="23"/>
      <c r="G27" s="23"/>
      <c r="H27" s="23"/>
    </row>
    <row r="28" customFormat="false" ht="14.25" hidden="false" customHeight="true" outlineLevel="0" collapsed="false">
      <c r="A28" s="23" t="s">
        <v>54</v>
      </c>
      <c r="B28" s="23"/>
      <c r="C28" s="23"/>
      <c r="D28" s="23"/>
      <c r="E28" s="23"/>
      <c r="F28" s="23"/>
      <c r="G28" s="23"/>
      <c r="H28" s="23"/>
    </row>
    <row r="29" customFormat="false" ht="14.25" hidden="false" customHeight="true" outlineLevel="0" collapsed="false">
      <c r="A29" s="23" t="s">
        <v>55</v>
      </c>
      <c r="B29" s="23"/>
      <c r="C29" s="23"/>
      <c r="D29" s="23"/>
      <c r="E29" s="23"/>
      <c r="F29" s="23"/>
      <c r="G29" s="23"/>
      <c r="H29" s="23"/>
    </row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4">
    <mergeCell ref="A1:H1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D6:E6"/>
    <mergeCell ref="A7:H7"/>
    <mergeCell ref="A11:D11"/>
    <mergeCell ref="F11:H11"/>
    <mergeCell ref="D13:H13"/>
    <mergeCell ref="E15:O15"/>
    <mergeCell ref="A18:D18"/>
    <mergeCell ref="D18:H18"/>
    <mergeCell ref="D24:H24"/>
    <mergeCell ref="A25:H25"/>
    <mergeCell ref="A26:H26"/>
    <mergeCell ref="A27:H27"/>
    <mergeCell ref="A28:H28"/>
    <mergeCell ref="A29:H29"/>
  </mergeCells>
  <conditionalFormatting sqref="B9:H9">
    <cfRule type="expression" priority="2" aboveAverage="0" equalAverage="0" bottom="0" percent="0" rank="0" text="" dxfId="0">
      <formula>COLUMN()-1&lt;=$B$8/$A$5*7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1.14"/>
    <col collapsed="false" customWidth="true" hidden="false" outlineLevel="0" max="2" min="2" style="0" width="57.29"/>
    <col collapsed="false" customWidth="true" hidden="false" outlineLevel="0" max="3" min="3" style="0" width="18.57"/>
    <col collapsed="false" customWidth="true" hidden="false" outlineLevel="0" max="4" min="4" style="0" width="11.43"/>
    <col collapsed="false" customWidth="true" hidden="false" outlineLevel="0" max="5" min="5" style="0" width="13.86"/>
    <col collapsed="false" customWidth="true" hidden="false" outlineLevel="0" max="6" min="6" style="0" width="12.15"/>
    <col collapsed="false" customWidth="true" hidden="false" outlineLevel="0" max="7" min="7" style="0" width="17.15"/>
    <col collapsed="false" customWidth="true" hidden="false" outlineLevel="0" max="8" min="8" style="0" width="8.71"/>
    <col collapsed="false" customWidth="true" hidden="false" outlineLevel="0" max="9" min="9" style="0" width="25"/>
    <col collapsed="false" customWidth="true" hidden="false" outlineLevel="0" max="26" min="10" style="0" width="8.71"/>
  </cols>
  <sheetData>
    <row r="1" customFormat="false" ht="15" hidden="false" customHeight="false" outlineLevel="0" collapsed="false">
      <c r="A1" s="24" t="s">
        <v>56</v>
      </c>
      <c r="B1" s="24"/>
      <c r="C1" s="24"/>
      <c r="D1" s="24"/>
      <c r="E1" s="24"/>
      <c r="F1" s="24"/>
      <c r="G1" s="24"/>
      <c r="H1" s="2"/>
      <c r="I1" s="25" t="s">
        <v>57</v>
      </c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customFormat="false" ht="36" hidden="false" customHeight="true" outlineLevel="0" collapsed="false">
      <c r="A2" s="27" t="s">
        <v>33</v>
      </c>
      <c r="B2" s="28" t="s">
        <v>58</v>
      </c>
      <c r="C2" s="29" t="s">
        <v>16</v>
      </c>
      <c r="D2" s="30" t="s">
        <v>59</v>
      </c>
      <c r="E2" s="30" t="s">
        <v>60</v>
      </c>
      <c r="F2" s="27" t="s">
        <v>61</v>
      </c>
      <c r="G2" s="27" t="s">
        <v>62</v>
      </c>
      <c r="H2" s="31"/>
      <c r="I2" s="32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customFormat="false" ht="15" hidden="false" customHeight="false" outlineLevel="0" collapsed="false">
      <c r="A3" s="33" t="s">
        <v>38</v>
      </c>
      <c r="B3" s="34" t="s">
        <v>63</v>
      </c>
      <c r="C3" s="35" t="str">
        <f aca="true">IF(G3 &lt;= TODAY(), "⚡ STUDY NOW", "✅ Wait")</f>
        <v>⚡ STUDY NOW</v>
      </c>
      <c r="D3" s="36" t="n">
        <v>0</v>
      </c>
      <c r="E3" s="37"/>
      <c r="F3" s="38" t="n">
        <f aca="false">CHOOSE(D3+1, 1, 3, 10, 15, 30, 60, 90, 120)</f>
        <v>1</v>
      </c>
      <c r="G3" s="37" t="n">
        <f aca="false">E3 + F3</f>
        <v>1</v>
      </c>
      <c r="H3" s="2"/>
      <c r="I3" s="39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customFormat="false" ht="15" hidden="false" customHeight="false" outlineLevel="0" collapsed="false">
      <c r="A4" s="40" t="s">
        <v>38</v>
      </c>
      <c r="B4" s="41" t="s">
        <v>64</v>
      </c>
      <c r="C4" s="42" t="str">
        <f aca="true">IF(G4 &lt;= TODAY(), "⚡ STUDY NOW", "✅ Wait")</f>
        <v>⚡ STUDY NOW</v>
      </c>
      <c r="D4" s="36" t="n">
        <v>0</v>
      </c>
      <c r="E4" s="37"/>
      <c r="F4" s="43" t="n">
        <f aca="false">CHOOSE(D4+1, 1, 3, 7, 14, 30, 60, 90, 120)</f>
        <v>1</v>
      </c>
      <c r="G4" s="44" t="n">
        <f aca="false">E4 + F4</f>
        <v>1</v>
      </c>
      <c r="H4" s="2"/>
      <c r="I4" s="39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customFormat="false" ht="15" hidden="false" customHeight="false" outlineLevel="0" collapsed="false">
      <c r="A5" s="45" t="s">
        <v>38</v>
      </c>
      <c r="B5" s="41" t="s">
        <v>65</v>
      </c>
      <c r="C5" s="42" t="str">
        <f aca="true">IF(G5 &lt;= TODAY(), "⚡ STUDY NOW", "✅ Wait")</f>
        <v>✅ Wait</v>
      </c>
      <c r="D5" s="36" t="n">
        <v>0</v>
      </c>
      <c r="E5" s="37" t="n">
        <v>46064</v>
      </c>
      <c r="F5" s="43" t="n">
        <f aca="false">CHOOSE(D5+1, 1, 3, 7, 14, 30, 60, 90, 120)</f>
        <v>1</v>
      </c>
      <c r="G5" s="44" t="n">
        <f aca="false">E5 + F5</f>
        <v>46065</v>
      </c>
      <c r="H5" s="2" t="s">
        <v>66</v>
      </c>
      <c r="I5" s="39" t="s">
        <v>67</v>
      </c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customFormat="false" ht="15" hidden="false" customHeight="false" outlineLevel="0" collapsed="false">
      <c r="A6" s="45" t="s">
        <v>38</v>
      </c>
      <c r="B6" s="41" t="s">
        <v>68</v>
      </c>
      <c r="C6" s="42" t="str">
        <f aca="true">IF(G6 &lt;= TODAY(), "⚡ STUDY NOW", "✅ Wait")</f>
        <v>⚡ STUDY NOW</v>
      </c>
      <c r="D6" s="36" t="n">
        <v>0</v>
      </c>
      <c r="E6" s="37"/>
      <c r="F6" s="43" t="n">
        <f aca="false">CHOOSE(D6+1, 1, 3, 7, 14, 30, 60, 90, 120)</f>
        <v>1</v>
      </c>
      <c r="G6" s="44" t="n">
        <f aca="false">E6 + F6</f>
        <v>1</v>
      </c>
      <c r="H6" s="2"/>
      <c r="I6" s="39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customFormat="false" ht="15" hidden="false" customHeight="false" outlineLevel="0" collapsed="false">
      <c r="A7" s="45" t="s">
        <v>38</v>
      </c>
      <c r="B7" s="41" t="s">
        <v>69</v>
      </c>
      <c r="C7" s="46" t="str">
        <f aca="true">IF(G7 &lt;= TODAY(), "⚡ STUDY NOW", "✅ Wait")</f>
        <v>⚡ STUDY NOW</v>
      </c>
      <c r="D7" s="36" t="n">
        <v>0</v>
      </c>
      <c r="E7" s="37"/>
      <c r="F7" s="43" t="n">
        <f aca="false">CHOOSE(D7+1, 1, 3, 7, 14, 30, 60, 90, 120)</f>
        <v>1</v>
      </c>
      <c r="G7" s="44" t="n">
        <f aca="false">E7 + F7</f>
        <v>1</v>
      </c>
      <c r="H7" s="2"/>
      <c r="I7" s="39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customFormat="false" ht="15" hidden="false" customHeight="false" outlineLevel="0" collapsed="false">
      <c r="A8" s="45" t="s">
        <v>38</v>
      </c>
      <c r="B8" s="41" t="s">
        <v>70</v>
      </c>
      <c r="C8" s="46" t="str">
        <f aca="true">IF(G8 &lt;= TODAY(), "⚡ STUDY NOW", "✅ Wait")</f>
        <v>⚡ STUDY NOW</v>
      </c>
      <c r="D8" s="36" t="n">
        <v>0</v>
      </c>
      <c r="E8" s="37"/>
      <c r="F8" s="43" t="n">
        <f aca="false">CHOOSE(D8+1, 1, 3, 7, 14, 30, 60, 90, 120)</f>
        <v>1</v>
      </c>
      <c r="G8" s="44" t="n">
        <f aca="false">E8 + F8</f>
        <v>1</v>
      </c>
      <c r="H8" s="2"/>
      <c r="I8" s="39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customFormat="false" ht="15" hidden="false" customHeight="false" outlineLevel="0" collapsed="false">
      <c r="A9" s="45" t="s">
        <v>38</v>
      </c>
      <c r="B9" s="41" t="s">
        <v>71</v>
      </c>
      <c r="C9" s="46" t="str">
        <f aca="true">IF(G9 &lt;= TODAY(), "⚡ STUDY NOW", "✅ Wait")</f>
        <v>⚡ STUDY NOW</v>
      </c>
      <c r="D9" s="36" t="n">
        <v>0</v>
      </c>
      <c r="E9" s="37"/>
      <c r="F9" s="43" t="n">
        <f aca="false">CHOOSE(D9+1, 1, 3, 7, 14, 30, 60, 90, 120)</f>
        <v>1</v>
      </c>
      <c r="G9" s="44" t="n">
        <f aca="false">E9 + F9</f>
        <v>1</v>
      </c>
      <c r="H9" s="2"/>
      <c r="I9" s="39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customFormat="false" ht="15" hidden="false" customHeight="false" outlineLevel="0" collapsed="false">
      <c r="A10" s="45" t="s">
        <v>38</v>
      </c>
      <c r="B10" s="41" t="s">
        <v>72</v>
      </c>
      <c r="C10" s="46" t="str">
        <f aca="true">IF(G10 &lt;= TODAY(), "⚡ STUDY NOW", "✅ Wait")</f>
        <v>⚡ STUDY NOW</v>
      </c>
      <c r="D10" s="36" t="n">
        <v>0</v>
      </c>
      <c r="E10" s="37"/>
      <c r="F10" s="43" t="n">
        <f aca="false">CHOOSE(D10+1, 1, 3, 7, 14, 30, 60, 90, 120)</f>
        <v>1</v>
      </c>
      <c r="G10" s="44" t="n">
        <f aca="false">E10 + F10</f>
        <v>1</v>
      </c>
      <c r="H10" s="2"/>
      <c r="I10" s="39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customFormat="false" ht="15" hidden="false" customHeight="false" outlineLevel="0" collapsed="false">
      <c r="A11" s="45" t="s">
        <v>38</v>
      </c>
      <c r="B11" s="41" t="s">
        <v>73</v>
      </c>
      <c r="C11" s="46" t="str">
        <f aca="true">IF(G11 &lt;= TODAY(), "⚡ STUDY NOW", "✅ Wait")</f>
        <v>⚡ STUDY NOW</v>
      </c>
      <c r="D11" s="36" t="n">
        <v>0</v>
      </c>
      <c r="E11" s="37"/>
      <c r="F11" s="43" t="n">
        <f aca="false">CHOOSE(D11+1, 1, 3, 7, 14, 30, 60, 90, 120)</f>
        <v>1</v>
      </c>
      <c r="G11" s="44" t="n">
        <f aca="false">E11 + F11</f>
        <v>1</v>
      </c>
      <c r="H11" s="2"/>
      <c r="I11" s="39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customFormat="false" ht="15" hidden="false" customHeight="false" outlineLevel="0" collapsed="false">
      <c r="A12" s="45" t="s">
        <v>38</v>
      </c>
      <c r="B12" s="41" t="s">
        <v>74</v>
      </c>
      <c r="C12" s="46" t="str">
        <f aca="true">IF(G12 &lt;= TODAY(), "⚡ STUDY NOW", "✅ Wait")</f>
        <v>⚡ STUDY NOW</v>
      </c>
      <c r="D12" s="36" t="n">
        <v>0</v>
      </c>
      <c r="E12" s="37"/>
      <c r="F12" s="43" t="n">
        <f aca="false">CHOOSE(D12+1, 1, 3, 7, 14, 30, 60, 90, 120)</f>
        <v>1</v>
      </c>
      <c r="G12" s="44" t="n">
        <f aca="false">E12 + F12</f>
        <v>1</v>
      </c>
      <c r="H12" s="2"/>
      <c r="I12" s="39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customFormat="false" ht="15" hidden="false" customHeight="false" outlineLevel="0" collapsed="false">
      <c r="A13" s="45" t="s">
        <v>38</v>
      </c>
      <c r="B13" s="41" t="s">
        <v>75</v>
      </c>
      <c r="C13" s="46" t="str">
        <f aca="true">IF(G13 &lt;= TODAY(), "⚡ STUDY NOW", "✅ Wait")</f>
        <v>⚡ STUDY NOW</v>
      </c>
      <c r="D13" s="36" t="n">
        <v>0</v>
      </c>
      <c r="E13" s="37"/>
      <c r="F13" s="43" t="n">
        <f aca="false">CHOOSE(D13+1, 1, 3, 7, 14, 30, 60, 90, 120)</f>
        <v>1</v>
      </c>
      <c r="G13" s="44" t="n">
        <f aca="false">E13 + F13</f>
        <v>1</v>
      </c>
      <c r="H13" s="2"/>
      <c r="I13" s="39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customFormat="false" ht="15" hidden="false" customHeight="false" outlineLevel="0" collapsed="false">
      <c r="A14" s="45" t="s">
        <v>38</v>
      </c>
      <c r="B14" s="41" t="s">
        <v>76</v>
      </c>
      <c r="C14" s="46" t="str">
        <f aca="true">IF(G14 &lt;= TODAY(), "⚡ STUDY NOW", "✅ Wait")</f>
        <v>⚡ STUDY NOW</v>
      </c>
      <c r="D14" s="36" t="n">
        <v>0</v>
      </c>
      <c r="E14" s="37"/>
      <c r="F14" s="43" t="n">
        <f aca="false">CHOOSE(D14+1, 1, 3, 7, 14, 30, 60, 90, 120)</f>
        <v>1</v>
      </c>
      <c r="G14" s="44" t="n">
        <f aca="false">E14 + F14</f>
        <v>1</v>
      </c>
      <c r="H14" s="2"/>
      <c r="I14" s="39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customFormat="false" ht="15" hidden="false" customHeight="false" outlineLevel="0" collapsed="false">
      <c r="A15" s="45" t="s">
        <v>38</v>
      </c>
      <c r="B15" s="41" t="s">
        <v>77</v>
      </c>
      <c r="C15" s="46" t="str">
        <f aca="true">IF(G15 &lt;= TODAY(), "⚡ STUDY NOW", "✅ Wait")</f>
        <v>⚡ STUDY NOW</v>
      </c>
      <c r="D15" s="36" t="n">
        <v>0</v>
      </c>
      <c r="E15" s="37"/>
      <c r="F15" s="43" t="n">
        <f aca="false">CHOOSE(D15+1, 1, 3, 7, 14, 30, 60, 90, 120)</f>
        <v>1</v>
      </c>
      <c r="G15" s="44" t="n">
        <f aca="false">E15 + F15</f>
        <v>1</v>
      </c>
      <c r="H15" s="2"/>
      <c r="I15" s="39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customFormat="false" ht="15" hidden="false" customHeight="false" outlineLevel="0" collapsed="false">
      <c r="A16" s="45" t="s">
        <v>38</v>
      </c>
      <c r="B16" s="41" t="s">
        <v>78</v>
      </c>
      <c r="C16" s="46" t="str">
        <f aca="true">IF(G16 &lt;= TODAY(), "⚡ STUDY NOW", "✅ Wait")</f>
        <v>⚡ STUDY NOW</v>
      </c>
      <c r="D16" s="36" t="n">
        <v>0</v>
      </c>
      <c r="E16" s="37"/>
      <c r="F16" s="43" t="n">
        <f aca="false">CHOOSE(D16+1, 1, 3, 7, 14, 30, 60, 90, 120)</f>
        <v>1</v>
      </c>
      <c r="G16" s="44" t="n">
        <f aca="false">E16 + F16</f>
        <v>1</v>
      </c>
      <c r="H16" s="2"/>
      <c r="I16" s="39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customFormat="false" ht="15" hidden="false" customHeight="false" outlineLevel="0" collapsed="false">
      <c r="A17" s="45" t="s">
        <v>38</v>
      </c>
      <c r="B17" s="41" t="s">
        <v>79</v>
      </c>
      <c r="C17" s="46" t="str">
        <f aca="true">IF(G17 &lt;= TODAY(), "⚡ STUDY NOW", "✅ Wait")</f>
        <v>⚡ STUDY NOW</v>
      </c>
      <c r="D17" s="36" t="n">
        <v>0</v>
      </c>
      <c r="E17" s="37"/>
      <c r="F17" s="43" t="n">
        <f aca="false">CHOOSE(D17+1, 1, 3, 7, 14, 30, 60, 90, 120)</f>
        <v>1</v>
      </c>
      <c r="G17" s="44" t="n">
        <f aca="false">E17 + F17</f>
        <v>1</v>
      </c>
      <c r="H17" s="2"/>
      <c r="I17" s="39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customFormat="false" ht="15" hidden="false" customHeight="false" outlineLevel="0" collapsed="false">
      <c r="A18" s="45" t="s">
        <v>38</v>
      </c>
      <c r="B18" s="41" t="s">
        <v>80</v>
      </c>
      <c r="C18" s="46" t="str">
        <f aca="true">IF(G18 &lt;= TODAY(), "⚡ STUDY NOW", "✅ Wait")</f>
        <v>⚡ STUDY NOW</v>
      </c>
      <c r="D18" s="36" t="n">
        <v>0</v>
      </c>
      <c r="E18" s="37"/>
      <c r="F18" s="43" t="n">
        <f aca="false">CHOOSE(D18+1, 1, 3, 7, 14, 30, 60, 90, 120)</f>
        <v>1</v>
      </c>
      <c r="G18" s="44" t="n">
        <f aca="false">E18 + F18</f>
        <v>1</v>
      </c>
      <c r="H18" s="2"/>
      <c r="I18" s="39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customFormat="false" ht="15" hidden="false" customHeight="false" outlineLevel="0" collapsed="false">
      <c r="A19" s="45" t="s">
        <v>38</v>
      </c>
      <c r="B19" s="41" t="s">
        <v>81</v>
      </c>
      <c r="C19" s="46" t="str">
        <f aca="true">IF(G19 &lt;= TODAY(), "⚡ STUDY NOW", "✅ Wait")</f>
        <v>⚡ STUDY NOW</v>
      </c>
      <c r="D19" s="36" t="n">
        <v>0</v>
      </c>
      <c r="E19" s="37"/>
      <c r="F19" s="43" t="n">
        <f aca="false">CHOOSE(D19+1, 1, 3, 7, 14, 30, 60, 90, 120)</f>
        <v>1</v>
      </c>
      <c r="G19" s="44" t="n">
        <f aca="false">E19 + F19</f>
        <v>1</v>
      </c>
      <c r="H19" s="2"/>
      <c r="I19" s="39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customFormat="false" ht="15" hidden="false" customHeight="false" outlineLevel="0" collapsed="false">
      <c r="A20" s="45" t="s">
        <v>38</v>
      </c>
      <c r="B20" s="41" t="s">
        <v>82</v>
      </c>
      <c r="C20" s="46" t="str">
        <f aca="true">IF(G20 &lt;= TODAY(), "⚡ STUDY NOW", "✅ Wait")</f>
        <v>⚡ STUDY NOW</v>
      </c>
      <c r="D20" s="36" t="n">
        <v>0</v>
      </c>
      <c r="E20" s="37"/>
      <c r="F20" s="43" t="n">
        <f aca="false">CHOOSE(D20+1, 1, 3, 7, 14, 30, 60, 90, 120)</f>
        <v>1</v>
      </c>
      <c r="G20" s="44" t="n">
        <f aca="false">E20 + F20</f>
        <v>1</v>
      </c>
      <c r="H20" s="2"/>
      <c r="I20" s="39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customFormat="false" ht="15.75" hidden="false" customHeight="true" outlineLevel="0" collapsed="false">
      <c r="A21" s="45" t="s">
        <v>38</v>
      </c>
      <c r="B21" s="41" t="s">
        <v>83</v>
      </c>
      <c r="C21" s="46" t="str">
        <f aca="true">IF(G21 &lt;= TODAY(), "⚡ STUDY NOW", "✅ Wait")</f>
        <v>⚡ STUDY NOW</v>
      </c>
      <c r="D21" s="36" t="n">
        <v>0</v>
      </c>
      <c r="E21" s="37"/>
      <c r="F21" s="43" t="n">
        <f aca="false">CHOOSE(D21+1, 1, 3, 7, 14, 30, 60, 90, 120)</f>
        <v>1</v>
      </c>
      <c r="G21" s="44" t="n">
        <f aca="false">E21 + F21</f>
        <v>1</v>
      </c>
      <c r="H21" s="2"/>
      <c r="I21" s="39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customFormat="false" ht="15.75" hidden="false" customHeight="true" outlineLevel="0" collapsed="false">
      <c r="A22" s="45" t="s">
        <v>84</v>
      </c>
      <c r="B22" s="41" t="s">
        <v>85</v>
      </c>
      <c r="C22" s="46" t="str">
        <f aca="true">IF(G22 &lt;= TODAY(), "⚡ STUDY NOW", "✅ Wait")</f>
        <v>⚡ STUDY NOW</v>
      </c>
      <c r="D22" s="36" t="n">
        <v>0</v>
      </c>
      <c r="E22" s="37"/>
      <c r="F22" s="43" t="n">
        <f aca="false">CHOOSE(D22+1, 1, 3, 7, 14, 30, 60, 90, 120)</f>
        <v>1</v>
      </c>
      <c r="G22" s="44" t="n">
        <f aca="false">E22 + F22</f>
        <v>1</v>
      </c>
      <c r="H22" s="2"/>
      <c r="I22" s="39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customFormat="false" ht="15.75" hidden="false" customHeight="true" outlineLevel="0" collapsed="false">
      <c r="A23" s="45" t="s">
        <v>84</v>
      </c>
      <c r="B23" s="41" t="s">
        <v>86</v>
      </c>
      <c r="C23" s="46" t="str">
        <f aca="true">IF(G23 &lt;= TODAY(), "⚡ STUDY NOW", "✅ Wait")</f>
        <v>⚡ STUDY NOW</v>
      </c>
      <c r="D23" s="36" t="n">
        <v>0</v>
      </c>
      <c r="E23" s="37"/>
      <c r="F23" s="43" t="n">
        <f aca="false">CHOOSE(D23+1, 1, 3, 7, 14, 30, 60, 90, 120)</f>
        <v>1</v>
      </c>
      <c r="G23" s="44" t="n">
        <f aca="false">E23 + F23</f>
        <v>1</v>
      </c>
      <c r="H23" s="2"/>
      <c r="I23" s="39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customFormat="false" ht="15.75" hidden="false" customHeight="true" outlineLevel="0" collapsed="false">
      <c r="A24" s="45" t="s">
        <v>84</v>
      </c>
      <c r="B24" s="41" t="s">
        <v>87</v>
      </c>
      <c r="C24" s="46" t="str">
        <f aca="true">IF(G24 &lt;= TODAY(), "⚡ STUDY NOW", "✅ Wait")</f>
        <v>⚡ STUDY NOW</v>
      </c>
      <c r="D24" s="36" t="n">
        <v>0</v>
      </c>
      <c r="E24" s="37"/>
      <c r="F24" s="43" t="n">
        <f aca="false">CHOOSE(D24+1, 1, 3, 7, 14, 30, 60, 90, 120)</f>
        <v>1</v>
      </c>
      <c r="G24" s="44" t="n">
        <f aca="false">E24 + F24</f>
        <v>1</v>
      </c>
      <c r="H24" s="2"/>
      <c r="I24" s="39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customFormat="false" ht="15.75" hidden="false" customHeight="true" outlineLevel="0" collapsed="false">
      <c r="A25" s="45" t="s">
        <v>84</v>
      </c>
      <c r="B25" s="41" t="s">
        <v>88</v>
      </c>
      <c r="C25" s="46" t="str">
        <f aca="true">IF(G25 &lt;= TODAY(), "⚡ STUDY NOW", "✅ Wait")</f>
        <v>⚡ STUDY NOW</v>
      </c>
      <c r="D25" s="36" t="n">
        <v>0</v>
      </c>
      <c r="E25" s="37"/>
      <c r="F25" s="43" t="n">
        <f aca="false">CHOOSE(D25+1, 1, 3, 7, 14, 30, 60, 90, 120)</f>
        <v>1</v>
      </c>
      <c r="G25" s="44" t="n">
        <f aca="false">E25 + F25</f>
        <v>1</v>
      </c>
      <c r="H25" s="2"/>
      <c r="I25" s="39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customFormat="false" ht="15.75" hidden="false" customHeight="true" outlineLevel="0" collapsed="false">
      <c r="A26" s="45" t="s">
        <v>84</v>
      </c>
      <c r="B26" s="41" t="s">
        <v>89</v>
      </c>
      <c r="C26" s="46" t="str">
        <f aca="true">IF(G26 &lt;= TODAY(), "⚡ STUDY NOW", "✅ Wait")</f>
        <v>⚡ STUDY NOW</v>
      </c>
      <c r="D26" s="36" t="n">
        <v>0</v>
      </c>
      <c r="E26" s="37"/>
      <c r="F26" s="43" t="n">
        <f aca="false">CHOOSE(D26+1, 1, 3, 7, 14, 30, 60, 90, 120)</f>
        <v>1</v>
      </c>
      <c r="G26" s="44" t="n">
        <f aca="false">E26 + F26</f>
        <v>1</v>
      </c>
      <c r="H26" s="2"/>
      <c r="I26" s="39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customFormat="false" ht="15.75" hidden="false" customHeight="true" outlineLevel="0" collapsed="false">
      <c r="A27" s="45" t="s">
        <v>84</v>
      </c>
      <c r="B27" s="41" t="s">
        <v>90</v>
      </c>
      <c r="C27" s="46" t="str">
        <f aca="true">IF(G27 &lt;= TODAY(), "⚡ STUDY NOW", "✅ Wait")</f>
        <v>⚡ STUDY NOW</v>
      </c>
      <c r="D27" s="36" t="n">
        <v>0</v>
      </c>
      <c r="E27" s="37"/>
      <c r="F27" s="43" t="n">
        <f aca="false">CHOOSE(D27+1, 1, 3, 7, 14, 30, 60, 90, 120)</f>
        <v>1</v>
      </c>
      <c r="G27" s="44" t="n">
        <f aca="false">E27 + F27</f>
        <v>1</v>
      </c>
      <c r="H27" s="2"/>
      <c r="I27" s="39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customFormat="false" ht="15.75" hidden="false" customHeight="true" outlineLevel="0" collapsed="false">
      <c r="A28" s="45" t="s">
        <v>84</v>
      </c>
      <c r="B28" s="41" t="s">
        <v>91</v>
      </c>
      <c r="C28" s="46" t="str">
        <f aca="true">IF(G28 &lt;= TODAY(), "⚡ STUDY NOW", "✅ Wait")</f>
        <v>⚡ STUDY NOW</v>
      </c>
      <c r="D28" s="36" t="n">
        <v>0</v>
      </c>
      <c r="E28" s="37"/>
      <c r="F28" s="43" t="n">
        <f aca="false">CHOOSE(D28+1, 1, 3, 7, 14, 30, 60, 90, 120)</f>
        <v>1</v>
      </c>
      <c r="G28" s="44" t="n">
        <f aca="false">E28 + F28</f>
        <v>1</v>
      </c>
      <c r="H28" s="2"/>
      <c r="I28" s="39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customFormat="false" ht="15.75" hidden="false" customHeight="true" outlineLevel="0" collapsed="false">
      <c r="A29" s="45" t="s">
        <v>84</v>
      </c>
      <c r="B29" s="41" t="s">
        <v>92</v>
      </c>
      <c r="C29" s="46" t="str">
        <f aca="true">IF(G29 &lt;= TODAY(), "⚡ STUDY NOW", "✅ Wait")</f>
        <v>⚡ STUDY NOW</v>
      </c>
      <c r="D29" s="36" t="n">
        <v>0</v>
      </c>
      <c r="E29" s="37"/>
      <c r="F29" s="43" t="n">
        <f aca="false">CHOOSE(D29+1, 1, 3, 7, 14, 30, 60, 90, 120)</f>
        <v>1</v>
      </c>
      <c r="G29" s="44" t="n">
        <f aca="false">E29 + F29</f>
        <v>1</v>
      </c>
      <c r="H29" s="2"/>
      <c r="I29" s="39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customFormat="false" ht="15.75" hidden="false" customHeight="true" outlineLevel="0" collapsed="false">
      <c r="A30" s="45" t="s">
        <v>84</v>
      </c>
      <c r="B30" s="41" t="s">
        <v>93</v>
      </c>
      <c r="C30" s="46" t="str">
        <f aca="true">IF(G30 &lt;= TODAY(), "⚡ STUDY NOW", "✅ Wait")</f>
        <v>⚡ STUDY NOW</v>
      </c>
      <c r="D30" s="36" t="n">
        <v>0</v>
      </c>
      <c r="E30" s="37"/>
      <c r="F30" s="43" t="n">
        <f aca="false">CHOOSE(D30+1, 1, 3, 7, 14, 30, 60, 90, 120)</f>
        <v>1</v>
      </c>
      <c r="G30" s="44" t="n">
        <f aca="false">E30 + F30</f>
        <v>1</v>
      </c>
      <c r="H30" s="2"/>
      <c r="I30" s="39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customFormat="false" ht="15.75" hidden="false" customHeight="true" outlineLevel="0" collapsed="false">
      <c r="A31" s="45" t="s">
        <v>84</v>
      </c>
      <c r="B31" s="41" t="s">
        <v>94</v>
      </c>
      <c r="C31" s="46" t="str">
        <f aca="true">IF(G31 &lt;= TODAY(), "⚡ STUDY NOW", "✅ Wait")</f>
        <v>⚡ STUDY NOW</v>
      </c>
      <c r="D31" s="36" t="n">
        <v>0</v>
      </c>
      <c r="E31" s="44"/>
      <c r="F31" s="43" t="n">
        <f aca="false">CHOOSE(D31+1, 1, 3, 7, 14, 30, 60, 90, 120)</f>
        <v>1</v>
      </c>
      <c r="G31" s="44" t="n">
        <f aca="false">E31 + F31</f>
        <v>1</v>
      </c>
      <c r="H31" s="2"/>
      <c r="I31" s="39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customFormat="false" ht="15.75" hidden="false" customHeight="true" outlineLevel="0" collapsed="false">
      <c r="A32" s="45" t="s">
        <v>84</v>
      </c>
      <c r="B32" s="41" t="s">
        <v>95</v>
      </c>
      <c r="C32" s="46" t="str">
        <f aca="true">IF(G32 &lt;= TODAY(), "⚡ STUDY NOW", "✅ Wait")</f>
        <v>⚡ STUDY NOW</v>
      </c>
      <c r="D32" s="36" t="n">
        <v>0</v>
      </c>
      <c r="E32" s="44"/>
      <c r="F32" s="43" t="n">
        <f aca="false">CHOOSE(D32+1, 1, 3, 7, 14, 30, 60, 90, 120)</f>
        <v>1</v>
      </c>
      <c r="G32" s="44" t="n">
        <f aca="false">E32 + F32</f>
        <v>1</v>
      </c>
      <c r="H32" s="2"/>
      <c r="I32" s="39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customFormat="false" ht="15.75" hidden="false" customHeight="true" outlineLevel="0" collapsed="false">
      <c r="A33" s="45" t="s">
        <v>84</v>
      </c>
      <c r="B33" s="41" t="s">
        <v>96</v>
      </c>
      <c r="C33" s="46" t="str">
        <f aca="true">IF(G33 &lt;= TODAY(), "⚡ STUDY NOW", "✅ Wait")</f>
        <v>⚡ STUDY NOW</v>
      </c>
      <c r="D33" s="36" t="n">
        <v>0</v>
      </c>
      <c r="E33" s="44"/>
      <c r="F33" s="43" t="n">
        <f aca="false">CHOOSE(D33+1, 1, 3, 7, 14, 30, 60, 90, 120)</f>
        <v>1</v>
      </c>
      <c r="G33" s="44" t="n">
        <f aca="false">E33 + F33</f>
        <v>1</v>
      </c>
      <c r="H33" s="2"/>
      <c r="I33" s="39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customFormat="false" ht="15.75" hidden="false" customHeight="true" outlineLevel="0" collapsed="false">
      <c r="A34" s="45" t="s">
        <v>84</v>
      </c>
      <c r="B34" s="41" t="s">
        <v>97</v>
      </c>
      <c r="C34" s="46" t="str">
        <f aca="true">IF(G34 &lt;= TODAY(), "⚡ STUDY NOW", "✅ Wait")</f>
        <v>⚡ STUDY NOW</v>
      </c>
      <c r="D34" s="36" t="n">
        <v>0</v>
      </c>
      <c r="E34" s="44"/>
      <c r="F34" s="43" t="n">
        <f aca="false">CHOOSE(D34+1, 1, 3, 7, 14, 30, 60, 90, 120)</f>
        <v>1</v>
      </c>
      <c r="G34" s="44" t="n">
        <f aca="false">E34 + F34</f>
        <v>1</v>
      </c>
      <c r="H34" s="2"/>
      <c r="I34" s="39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customFormat="false" ht="15.75" hidden="false" customHeight="true" outlineLevel="0" collapsed="false">
      <c r="A35" s="45" t="s">
        <v>84</v>
      </c>
      <c r="B35" s="41" t="s">
        <v>98</v>
      </c>
      <c r="C35" s="46" t="str">
        <f aca="true">IF(G35 &lt;= TODAY(), "⚡ STUDY NOW", "✅ Wait")</f>
        <v>⚡ STUDY NOW</v>
      </c>
      <c r="D35" s="36" t="n">
        <v>0</v>
      </c>
      <c r="E35" s="44"/>
      <c r="F35" s="43" t="n">
        <f aca="false">CHOOSE(D35+1, 1, 3, 7, 14, 30, 60, 90, 120)</f>
        <v>1</v>
      </c>
      <c r="G35" s="44" t="n">
        <f aca="false">E35 + F35</f>
        <v>1</v>
      </c>
      <c r="H35" s="2"/>
      <c r="I35" s="39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customFormat="false" ht="15.75" hidden="false" customHeight="true" outlineLevel="0" collapsed="false">
      <c r="A36" s="45" t="s">
        <v>84</v>
      </c>
      <c r="B36" s="41" t="s">
        <v>99</v>
      </c>
      <c r="C36" s="46" t="str">
        <f aca="true">IF(G36 &lt;= TODAY(), "⚡ STUDY NOW", "✅ Wait")</f>
        <v>⚡ STUDY NOW</v>
      </c>
      <c r="D36" s="36" t="n">
        <v>0</v>
      </c>
      <c r="E36" s="44"/>
      <c r="F36" s="43" t="n">
        <f aca="false">CHOOSE(D36+1, 1, 3, 7, 14, 30, 60, 90, 120)</f>
        <v>1</v>
      </c>
      <c r="G36" s="44" t="n">
        <f aca="false">E36 + F36</f>
        <v>1</v>
      </c>
      <c r="H36" s="2"/>
      <c r="I36" s="39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customFormat="false" ht="15.75" hidden="false" customHeight="true" outlineLevel="0" collapsed="false">
      <c r="A37" s="45" t="s">
        <v>84</v>
      </c>
      <c r="B37" s="41" t="s">
        <v>100</v>
      </c>
      <c r="C37" s="46" t="str">
        <f aca="true">IF(G37 &lt;= TODAY(), "⚡ STUDY NOW", "✅ Wait")</f>
        <v>⚡ STUDY NOW</v>
      </c>
      <c r="D37" s="36" t="n">
        <v>0</v>
      </c>
      <c r="E37" s="44"/>
      <c r="F37" s="43" t="n">
        <f aca="false">CHOOSE(D37+1, 1, 3, 7, 14, 30, 60, 90, 120)</f>
        <v>1</v>
      </c>
      <c r="G37" s="44" t="n">
        <f aca="false">E37 + F37</f>
        <v>1</v>
      </c>
      <c r="H37" s="2"/>
      <c r="I37" s="39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customFormat="false" ht="15.75" hidden="false" customHeight="true" outlineLevel="0" collapsed="false">
      <c r="A38" s="45" t="s">
        <v>84</v>
      </c>
      <c r="B38" s="41" t="s">
        <v>101</v>
      </c>
      <c r="C38" s="46" t="str">
        <f aca="true">IF(G38 &lt;= TODAY(), "⚡ STUDY NOW", "✅ Wait")</f>
        <v>⚡ STUDY NOW</v>
      </c>
      <c r="D38" s="36" t="n">
        <v>0</v>
      </c>
      <c r="E38" s="44"/>
      <c r="F38" s="43" t="n">
        <f aca="false">CHOOSE(D38+1, 1, 3, 7, 14, 30, 60, 90, 120)</f>
        <v>1</v>
      </c>
      <c r="G38" s="44" t="n">
        <f aca="false">E38 + F38</f>
        <v>1</v>
      </c>
      <c r="H38" s="2"/>
      <c r="I38" s="39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customFormat="false" ht="15.75" hidden="false" customHeight="true" outlineLevel="0" collapsed="false">
      <c r="A39" s="45" t="s">
        <v>84</v>
      </c>
      <c r="B39" s="41" t="s">
        <v>102</v>
      </c>
      <c r="C39" s="46" t="str">
        <f aca="true">IF(G39 &lt;= TODAY(), "⚡ STUDY NOW", "✅ Wait")</f>
        <v>⚡ STUDY NOW</v>
      </c>
      <c r="D39" s="36" t="n">
        <v>0</v>
      </c>
      <c r="E39" s="44"/>
      <c r="F39" s="43" t="n">
        <f aca="false">CHOOSE(D39+1, 1, 3, 7, 14, 30, 60, 90, 120)</f>
        <v>1</v>
      </c>
      <c r="G39" s="44" t="n">
        <f aca="false">E39 + F39</f>
        <v>1</v>
      </c>
      <c r="H39" s="2"/>
      <c r="I39" s="39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customFormat="false" ht="15.75" hidden="false" customHeight="true" outlineLevel="0" collapsed="false">
      <c r="A40" s="45" t="s">
        <v>103</v>
      </c>
      <c r="B40" s="41" t="s">
        <v>104</v>
      </c>
      <c r="C40" s="46" t="str">
        <f aca="true">IF(G40 &lt;= TODAY(), "⚡ STUDY NOW", "✅ Wait")</f>
        <v>⚡ STUDY NOW</v>
      </c>
      <c r="D40" s="36" t="n">
        <v>0</v>
      </c>
      <c r="E40" s="44"/>
      <c r="F40" s="43" t="n">
        <f aca="false">CHOOSE(D40+1, 1, 3, 7, 14, 30, 60, 90, 120)</f>
        <v>1</v>
      </c>
      <c r="G40" s="44" t="n">
        <f aca="false">E40 + F40</f>
        <v>1</v>
      </c>
      <c r="H40" s="2"/>
      <c r="I40" s="39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customFormat="false" ht="15.75" hidden="false" customHeight="true" outlineLevel="0" collapsed="false">
      <c r="A41" s="45" t="s">
        <v>103</v>
      </c>
      <c r="B41" s="41" t="s">
        <v>105</v>
      </c>
      <c r="C41" s="46" t="str">
        <f aca="true">IF(G41 &lt;= TODAY(), "⚡ STUDY NOW", "✅ Wait")</f>
        <v>⚡ STUDY NOW</v>
      </c>
      <c r="D41" s="36" t="n">
        <v>0</v>
      </c>
      <c r="E41" s="44"/>
      <c r="F41" s="43" t="n">
        <f aca="false">CHOOSE(D41+1, 1, 3, 7, 14, 30, 60, 90, 120)</f>
        <v>1</v>
      </c>
      <c r="G41" s="44" t="n">
        <f aca="false">E41 + F41</f>
        <v>1</v>
      </c>
      <c r="H41" s="2"/>
      <c r="I41" s="39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customFormat="false" ht="15.75" hidden="false" customHeight="true" outlineLevel="0" collapsed="false">
      <c r="A42" s="45" t="s">
        <v>103</v>
      </c>
      <c r="B42" s="41" t="s">
        <v>106</v>
      </c>
      <c r="C42" s="46" t="str">
        <f aca="true">IF(G42 &lt;= TODAY(), "⚡ STUDY NOW", "✅ Wait")</f>
        <v>⚡ STUDY NOW</v>
      </c>
      <c r="D42" s="36" t="n">
        <v>0</v>
      </c>
      <c r="E42" s="44"/>
      <c r="F42" s="43" t="n">
        <f aca="false">CHOOSE(D42+1, 1, 3, 7, 14, 30, 60, 90, 120)</f>
        <v>1</v>
      </c>
      <c r="G42" s="44" t="n">
        <f aca="false">E42 + F42</f>
        <v>1</v>
      </c>
      <c r="H42" s="2"/>
      <c r="I42" s="39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customFormat="false" ht="15.75" hidden="false" customHeight="true" outlineLevel="0" collapsed="false">
      <c r="A43" s="45" t="s">
        <v>103</v>
      </c>
      <c r="B43" s="41" t="s">
        <v>107</v>
      </c>
      <c r="C43" s="46" t="str">
        <f aca="true">IF(G43 &lt;= TODAY(), "⚡ STUDY NOW", "✅ Wait")</f>
        <v>⚡ STUDY NOW</v>
      </c>
      <c r="D43" s="36" t="n">
        <v>0</v>
      </c>
      <c r="E43" s="44"/>
      <c r="F43" s="43" t="n">
        <f aca="false">CHOOSE(D43+1, 1, 3, 7, 14, 30, 60, 90, 120)</f>
        <v>1</v>
      </c>
      <c r="G43" s="44" t="n">
        <f aca="false">E43 + F43</f>
        <v>1</v>
      </c>
      <c r="H43" s="2"/>
      <c r="I43" s="39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customFormat="false" ht="15.75" hidden="false" customHeight="true" outlineLevel="0" collapsed="false">
      <c r="A44" s="45" t="s">
        <v>103</v>
      </c>
      <c r="B44" s="41" t="s">
        <v>108</v>
      </c>
      <c r="C44" s="46" t="str">
        <f aca="true">IF(G44 &lt;= TODAY(), "⚡ STUDY NOW", "✅ Wait")</f>
        <v>⚡ STUDY NOW</v>
      </c>
      <c r="D44" s="36" t="n">
        <v>0</v>
      </c>
      <c r="E44" s="44"/>
      <c r="F44" s="43" t="n">
        <f aca="false">CHOOSE(D44+1, 1, 3, 7, 14, 30, 60, 90, 120)</f>
        <v>1</v>
      </c>
      <c r="G44" s="44" t="n">
        <f aca="false">E44 + F44</f>
        <v>1</v>
      </c>
      <c r="H44" s="2"/>
      <c r="I44" s="39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customFormat="false" ht="15.75" hidden="false" customHeight="true" outlineLevel="0" collapsed="false">
      <c r="A45" s="45" t="s">
        <v>109</v>
      </c>
      <c r="B45" s="41" t="s">
        <v>110</v>
      </c>
      <c r="C45" s="46" t="str">
        <f aca="true">IF(G45 &lt;= TODAY(), "⚡ STUDY NOW", "✅ Wait")</f>
        <v>⚡ STUDY NOW</v>
      </c>
      <c r="D45" s="36" t="n">
        <v>0</v>
      </c>
      <c r="E45" s="44"/>
      <c r="F45" s="43" t="n">
        <f aca="false">CHOOSE(D45+1, 1, 3, 7, 14, 30, 60, 90, 120)</f>
        <v>1</v>
      </c>
      <c r="G45" s="44" t="n">
        <f aca="false">E45 + F45</f>
        <v>1</v>
      </c>
      <c r="H45" s="2"/>
      <c r="I45" s="39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customFormat="false" ht="15.75" hidden="false" customHeight="true" outlineLevel="0" collapsed="false">
      <c r="A46" s="45" t="s">
        <v>109</v>
      </c>
      <c r="B46" s="41" t="s">
        <v>111</v>
      </c>
      <c r="C46" s="46" t="str">
        <f aca="true">IF(G46 &lt;= TODAY(), "⚡ STUDY NOW", "✅ Wait")</f>
        <v>⚡ STUDY NOW</v>
      </c>
      <c r="D46" s="36" t="n">
        <v>0</v>
      </c>
      <c r="E46" s="44"/>
      <c r="F46" s="43" t="n">
        <f aca="false">CHOOSE(D46+1, 1, 3, 7, 14, 30, 60, 90, 120)</f>
        <v>1</v>
      </c>
      <c r="G46" s="44" t="n">
        <f aca="false">E46 + F46</f>
        <v>1</v>
      </c>
      <c r="H46" s="2"/>
      <c r="I46" s="39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customFormat="false" ht="15.75" hidden="false" customHeight="true" outlineLevel="0" collapsed="false">
      <c r="A47" s="45" t="s">
        <v>109</v>
      </c>
      <c r="B47" s="41" t="s">
        <v>112</v>
      </c>
      <c r="C47" s="46" t="str">
        <f aca="true">IF(G47 &lt;= TODAY(), "⚡ STUDY NOW", "✅ Wait")</f>
        <v>⚡ STUDY NOW</v>
      </c>
      <c r="D47" s="36" t="n">
        <v>0</v>
      </c>
      <c r="E47" s="44"/>
      <c r="F47" s="43" t="n">
        <f aca="false">CHOOSE(D47+1, 1, 3, 7, 14, 30, 60, 90, 120)</f>
        <v>1</v>
      </c>
      <c r="G47" s="44" t="n">
        <f aca="false">E47 + F47</f>
        <v>1</v>
      </c>
      <c r="H47" s="2"/>
      <c r="I47" s="39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customFormat="false" ht="15.75" hidden="false" customHeight="true" outlineLevel="0" collapsed="false">
      <c r="A48" s="45" t="s">
        <v>109</v>
      </c>
      <c r="B48" s="41" t="s">
        <v>113</v>
      </c>
      <c r="C48" s="46" t="str">
        <f aca="true">IF(G48 &lt;= TODAY(), "⚡ STUDY NOW", "✅ Wait")</f>
        <v>⚡ STUDY NOW</v>
      </c>
      <c r="D48" s="36" t="n">
        <v>0</v>
      </c>
      <c r="E48" s="44"/>
      <c r="F48" s="43" t="n">
        <f aca="false">CHOOSE(D48+1, 1, 3, 7, 14, 30, 60, 90, 120)</f>
        <v>1</v>
      </c>
      <c r="G48" s="44" t="n">
        <f aca="false">E48 + F48</f>
        <v>1</v>
      </c>
      <c r="H48" s="2"/>
      <c r="I48" s="39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customFormat="false" ht="15.75" hidden="false" customHeight="true" outlineLevel="0" collapsed="false">
      <c r="A49" s="45" t="s">
        <v>109</v>
      </c>
      <c r="B49" s="41" t="s">
        <v>114</v>
      </c>
      <c r="C49" s="46" t="str">
        <f aca="true">IF(G49 &lt;= TODAY(), "⚡ STUDY NOW", "✅ Wait")</f>
        <v>⚡ STUDY NOW</v>
      </c>
      <c r="D49" s="36" t="n">
        <v>0</v>
      </c>
      <c r="E49" s="44"/>
      <c r="F49" s="43" t="n">
        <f aca="false">CHOOSE(D49+1, 1, 3, 7, 14, 30, 60, 90, 120)</f>
        <v>1</v>
      </c>
      <c r="G49" s="44" t="n">
        <f aca="false">E49 + F49</f>
        <v>1</v>
      </c>
      <c r="H49" s="2"/>
      <c r="I49" s="39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customFormat="false" ht="15.75" hidden="false" customHeight="true" outlineLevel="0" collapsed="false">
      <c r="A50" s="45" t="s">
        <v>109</v>
      </c>
      <c r="B50" s="41" t="s">
        <v>115</v>
      </c>
      <c r="C50" s="46" t="str">
        <f aca="true">IF(G50 &lt;= TODAY(), "⚡ STUDY NOW", "✅ Wait")</f>
        <v>⚡ STUDY NOW</v>
      </c>
      <c r="D50" s="36" t="n">
        <v>0</v>
      </c>
      <c r="E50" s="44"/>
      <c r="F50" s="43" t="n">
        <f aca="false">CHOOSE(D50+1, 1, 3, 7, 14, 30, 60, 90, 120)</f>
        <v>1</v>
      </c>
      <c r="G50" s="44" t="n">
        <f aca="false">E50 + F50</f>
        <v>1</v>
      </c>
      <c r="H50" s="2"/>
      <c r="I50" s="39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customFormat="false" ht="15.75" hidden="false" customHeight="true" outlineLevel="0" collapsed="false">
      <c r="A51" s="45" t="s">
        <v>109</v>
      </c>
      <c r="B51" s="41" t="s">
        <v>116</v>
      </c>
      <c r="C51" s="46" t="str">
        <f aca="true">IF(G51 &lt;= TODAY(), "⚡ STUDY NOW", "✅ Wait")</f>
        <v>⚡ STUDY NOW</v>
      </c>
      <c r="D51" s="36" t="n">
        <v>0</v>
      </c>
      <c r="E51" s="44"/>
      <c r="F51" s="43" t="n">
        <f aca="false">CHOOSE(D51+1, 1, 3, 7, 14, 30, 60, 90, 120)</f>
        <v>1</v>
      </c>
      <c r="G51" s="44" t="n">
        <f aca="false">E51 + F51</f>
        <v>1</v>
      </c>
      <c r="H51" s="2"/>
      <c r="I51" s="39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customFormat="false" ht="15.75" hidden="false" customHeight="true" outlineLevel="0" collapsed="false">
      <c r="A52" s="45" t="s">
        <v>109</v>
      </c>
      <c r="B52" s="41" t="s">
        <v>117</v>
      </c>
      <c r="C52" s="46" t="str">
        <f aca="true">IF(G52 &lt;= TODAY(), "⚡ STUDY NOW", "✅ Wait")</f>
        <v>⚡ STUDY NOW</v>
      </c>
      <c r="D52" s="36" t="n">
        <v>0</v>
      </c>
      <c r="E52" s="44"/>
      <c r="F52" s="43" t="n">
        <f aca="false">CHOOSE(D52+1, 1, 3, 7, 14, 30, 60, 90, 120)</f>
        <v>1</v>
      </c>
      <c r="G52" s="44" t="n">
        <f aca="false">E52 + F52</f>
        <v>1</v>
      </c>
      <c r="H52" s="2"/>
      <c r="I52" s="39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customFormat="false" ht="15.75" hidden="false" customHeight="true" outlineLevel="0" collapsed="false">
      <c r="A53" s="45" t="s">
        <v>109</v>
      </c>
      <c r="B53" s="41" t="s">
        <v>118</v>
      </c>
      <c r="C53" s="46" t="str">
        <f aca="true">IF(G53 &lt;= TODAY(), "⚡ STUDY NOW", "✅ Wait")</f>
        <v>⚡ STUDY NOW</v>
      </c>
      <c r="D53" s="36" t="n">
        <v>0</v>
      </c>
      <c r="E53" s="44"/>
      <c r="F53" s="43" t="n">
        <f aca="false">CHOOSE(D53+1, 1, 3, 7, 14, 30, 60, 90, 120)</f>
        <v>1</v>
      </c>
      <c r="G53" s="44" t="n">
        <f aca="false">E53 + F53</f>
        <v>1</v>
      </c>
      <c r="H53" s="2"/>
      <c r="I53" s="39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customFormat="false" ht="15.75" hidden="false" customHeight="true" outlineLevel="0" collapsed="false">
      <c r="A54" s="45" t="s">
        <v>109</v>
      </c>
      <c r="B54" s="41" t="s">
        <v>119</v>
      </c>
      <c r="C54" s="46" t="str">
        <f aca="true">IF(G54 &lt;= TODAY(), "⚡ STUDY NOW", "✅ Wait")</f>
        <v>⚡ STUDY NOW</v>
      </c>
      <c r="D54" s="36" t="n">
        <v>0</v>
      </c>
      <c r="E54" s="44"/>
      <c r="F54" s="43" t="n">
        <f aca="false">CHOOSE(D54+1, 1, 3, 7, 14, 30, 60, 90, 120)</f>
        <v>1</v>
      </c>
      <c r="G54" s="44" t="n">
        <f aca="false">E54 + F54</f>
        <v>1</v>
      </c>
      <c r="H54" s="2"/>
      <c r="I54" s="39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customFormat="false" ht="15.75" hidden="false" customHeight="true" outlineLevel="0" collapsed="false">
      <c r="A55" s="45" t="s">
        <v>109</v>
      </c>
      <c r="B55" s="41" t="s">
        <v>120</v>
      </c>
      <c r="C55" s="46" t="str">
        <f aca="true">IF(G55 &lt;= TODAY(), "⚡ STUDY NOW", "✅ Wait")</f>
        <v>⚡ STUDY NOW</v>
      </c>
      <c r="D55" s="36" t="n">
        <v>0</v>
      </c>
      <c r="E55" s="44"/>
      <c r="F55" s="43" t="n">
        <f aca="false">CHOOSE(D55+1, 1, 3, 7, 14, 30, 60, 90, 120)</f>
        <v>1</v>
      </c>
      <c r="G55" s="44" t="n">
        <f aca="false">E55 + F55</f>
        <v>1</v>
      </c>
      <c r="H55" s="2"/>
      <c r="I55" s="39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customFormat="false" ht="15.75" hidden="false" customHeight="true" outlineLevel="0" collapsed="false">
      <c r="A56" s="45" t="s">
        <v>109</v>
      </c>
      <c r="B56" s="41" t="s">
        <v>121</v>
      </c>
      <c r="C56" s="46" t="str">
        <f aca="true">IF(G56 &lt;= TODAY(), "⚡ STUDY NOW", "✅ Wait")</f>
        <v>⚡ STUDY NOW</v>
      </c>
      <c r="D56" s="36" t="n">
        <v>0</v>
      </c>
      <c r="E56" s="44"/>
      <c r="F56" s="43" t="n">
        <f aca="false">CHOOSE(D56+1, 1, 3, 7, 14, 30, 60, 90, 120)</f>
        <v>1</v>
      </c>
      <c r="G56" s="44" t="n">
        <f aca="false">E56 + F56</f>
        <v>1</v>
      </c>
      <c r="H56" s="2"/>
      <c r="I56" s="39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customFormat="false" ht="15.75" hidden="false" customHeight="true" outlineLevel="0" collapsed="false">
      <c r="A57" s="45" t="s">
        <v>109</v>
      </c>
      <c r="B57" s="41" t="s">
        <v>122</v>
      </c>
      <c r="C57" s="46" t="str">
        <f aca="true">IF(G57 &lt;= TODAY(), "⚡ STUDY NOW", "✅ Wait")</f>
        <v>⚡ STUDY NOW</v>
      </c>
      <c r="D57" s="36" t="n">
        <v>0</v>
      </c>
      <c r="E57" s="44"/>
      <c r="F57" s="43" t="n">
        <f aca="false">CHOOSE(D57+1, 1, 3, 7, 14, 30, 60, 90, 120)</f>
        <v>1</v>
      </c>
      <c r="G57" s="44" t="n">
        <f aca="false">E57 + F57</f>
        <v>1</v>
      </c>
      <c r="H57" s="2"/>
      <c r="I57" s="39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customFormat="false" ht="15.75" hidden="false" customHeight="true" outlineLevel="0" collapsed="false">
      <c r="A58" s="45" t="s">
        <v>109</v>
      </c>
      <c r="B58" s="41" t="s">
        <v>123</v>
      </c>
      <c r="C58" s="46" t="str">
        <f aca="true">IF(G58 &lt;= TODAY(), "⚡ STUDY NOW", "✅ Wait")</f>
        <v>⚡ STUDY NOW</v>
      </c>
      <c r="D58" s="36" t="n">
        <v>0</v>
      </c>
      <c r="E58" s="44"/>
      <c r="F58" s="43" t="n">
        <f aca="false">CHOOSE(D58+1, 1, 3, 7, 14, 30, 60, 90, 120)</f>
        <v>1</v>
      </c>
      <c r="G58" s="44" t="n">
        <f aca="false">E58 + F58</f>
        <v>1</v>
      </c>
      <c r="H58" s="2"/>
      <c r="I58" s="39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customFormat="false" ht="15.75" hidden="false" customHeight="true" outlineLevel="0" collapsed="false">
      <c r="A59" s="45" t="s">
        <v>109</v>
      </c>
      <c r="B59" s="41" t="s">
        <v>124</v>
      </c>
      <c r="C59" s="46" t="str">
        <f aca="true">IF(G59 &lt;= TODAY(), "⚡ STUDY NOW", "✅ Wait")</f>
        <v>⚡ STUDY NOW</v>
      </c>
      <c r="D59" s="36" t="n">
        <v>0</v>
      </c>
      <c r="E59" s="44"/>
      <c r="F59" s="43" t="n">
        <f aca="false">CHOOSE(D59+1, 1, 3, 7, 14, 30, 60, 90, 120)</f>
        <v>1</v>
      </c>
      <c r="G59" s="44" t="n">
        <f aca="false">E59 + F59</f>
        <v>1</v>
      </c>
      <c r="H59" s="2"/>
      <c r="I59" s="39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customFormat="false" ht="15.75" hidden="false" customHeight="true" outlineLevel="0" collapsed="false">
      <c r="A60" s="45" t="s">
        <v>125</v>
      </c>
      <c r="B60" s="41" t="s">
        <v>126</v>
      </c>
      <c r="C60" s="46" t="str">
        <f aca="true">IF(G60 &lt;= TODAY(), "⚡ STUDY NOW", "✅ Wait")</f>
        <v>⚡ STUDY NOW</v>
      </c>
      <c r="D60" s="36" t="n">
        <v>0</v>
      </c>
      <c r="E60" s="44"/>
      <c r="F60" s="43" t="n">
        <f aca="false">CHOOSE(D60+1, 1, 3, 7, 14, 30, 60, 90, 120)</f>
        <v>1</v>
      </c>
      <c r="G60" s="44" t="n">
        <f aca="false">E60 + F60</f>
        <v>1</v>
      </c>
      <c r="H60" s="2"/>
      <c r="I60" s="39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customFormat="false" ht="15.75" hidden="false" customHeight="true" outlineLevel="0" collapsed="false">
      <c r="A61" s="45" t="s">
        <v>125</v>
      </c>
      <c r="B61" s="41" t="s">
        <v>127</v>
      </c>
      <c r="C61" s="46" t="str">
        <f aca="true">IF(G61 &lt;= TODAY(), "⚡ STUDY NOW", "✅ Wait")</f>
        <v>⚡ STUDY NOW</v>
      </c>
      <c r="D61" s="36" t="n">
        <v>0</v>
      </c>
      <c r="E61" s="44"/>
      <c r="F61" s="43" t="n">
        <f aca="false">CHOOSE(D61+1, 1, 3, 7, 14, 30, 60, 90, 120)</f>
        <v>1</v>
      </c>
      <c r="G61" s="44" t="n">
        <f aca="false">E61 + F61</f>
        <v>1</v>
      </c>
      <c r="H61" s="2"/>
      <c r="I61" s="39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customFormat="false" ht="15.75" hidden="false" customHeight="true" outlineLevel="0" collapsed="false">
      <c r="A62" s="45" t="s">
        <v>125</v>
      </c>
      <c r="B62" s="41" t="s">
        <v>128</v>
      </c>
      <c r="C62" s="46" t="str">
        <f aca="true">IF(G62 &lt;= TODAY(), "⚡ STUDY NOW", "✅ Wait")</f>
        <v>⚡ STUDY NOW</v>
      </c>
      <c r="D62" s="36" t="n">
        <v>0</v>
      </c>
      <c r="E62" s="44"/>
      <c r="F62" s="43" t="n">
        <f aca="false">CHOOSE(D62+1, 1, 3, 7, 14, 30, 60, 90, 120)</f>
        <v>1</v>
      </c>
      <c r="G62" s="44" t="n">
        <f aca="false">E62 + F62</f>
        <v>1</v>
      </c>
      <c r="H62" s="2"/>
      <c r="I62" s="39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customFormat="false" ht="15.75" hidden="false" customHeight="true" outlineLevel="0" collapsed="false">
      <c r="A63" s="45" t="s">
        <v>125</v>
      </c>
      <c r="B63" s="41" t="s">
        <v>129</v>
      </c>
      <c r="C63" s="46" t="str">
        <f aca="true">IF(G63 &lt;= TODAY(), "⚡ STUDY NOW", "✅ Wait")</f>
        <v>⚡ STUDY NOW</v>
      </c>
      <c r="D63" s="36" t="n">
        <v>0</v>
      </c>
      <c r="E63" s="44"/>
      <c r="F63" s="43" t="n">
        <f aca="false">CHOOSE(D63+1, 1, 3, 7, 14, 30, 60, 90, 120)</f>
        <v>1</v>
      </c>
      <c r="G63" s="44" t="n">
        <f aca="false">E63 + F63</f>
        <v>1</v>
      </c>
      <c r="H63" s="2"/>
      <c r="I63" s="39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customFormat="false" ht="15.75" hidden="false" customHeight="true" outlineLevel="0" collapsed="false">
      <c r="A64" s="45" t="s">
        <v>125</v>
      </c>
      <c r="B64" s="41" t="s">
        <v>130</v>
      </c>
      <c r="C64" s="46" t="str">
        <f aca="true">IF(G64 &lt;= TODAY(), "⚡ STUDY NOW", "✅ Wait")</f>
        <v>⚡ STUDY NOW</v>
      </c>
      <c r="D64" s="36" t="n">
        <v>0</v>
      </c>
      <c r="E64" s="44"/>
      <c r="F64" s="43" t="n">
        <f aca="false">CHOOSE(D64+1, 1, 3, 7, 14, 30, 60, 90, 120)</f>
        <v>1</v>
      </c>
      <c r="G64" s="44" t="n">
        <f aca="false">E64 + F64</f>
        <v>1</v>
      </c>
      <c r="H64" s="2"/>
      <c r="I64" s="39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customFormat="false" ht="15.75" hidden="false" customHeight="true" outlineLevel="0" collapsed="false">
      <c r="A65" s="45" t="s">
        <v>125</v>
      </c>
      <c r="B65" s="41" t="s">
        <v>131</v>
      </c>
      <c r="C65" s="46" t="str">
        <f aca="true">IF(G65 &lt;= TODAY(), "⚡ STUDY NOW", "✅ Wait")</f>
        <v>⚡ STUDY NOW</v>
      </c>
      <c r="D65" s="36" t="n">
        <v>0</v>
      </c>
      <c r="E65" s="44"/>
      <c r="F65" s="43" t="n">
        <f aca="false">CHOOSE(D65+1, 1, 3, 7, 14, 30, 60, 90, 120)</f>
        <v>1</v>
      </c>
      <c r="G65" s="44" t="n">
        <f aca="false">E65 + F65</f>
        <v>1</v>
      </c>
      <c r="H65" s="2"/>
      <c r="I65" s="39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customFormat="false" ht="15.75" hidden="false" customHeight="true" outlineLevel="0" collapsed="false">
      <c r="A66" s="45" t="s">
        <v>125</v>
      </c>
      <c r="B66" s="41" t="s">
        <v>132</v>
      </c>
      <c r="C66" s="46" t="str">
        <f aca="true">IF(G66 &lt;= TODAY(), "⚡ STUDY NOW", "✅ Wait")</f>
        <v>⚡ STUDY NOW</v>
      </c>
      <c r="D66" s="36" t="n">
        <v>0</v>
      </c>
      <c r="E66" s="44"/>
      <c r="F66" s="43" t="n">
        <f aca="false">CHOOSE(D66+1, 1, 3, 7, 14, 30, 60, 90, 120)</f>
        <v>1</v>
      </c>
      <c r="G66" s="44" t="n">
        <f aca="false">E66 + F66</f>
        <v>1</v>
      </c>
      <c r="H66" s="2"/>
      <c r="I66" s="39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customFormat="false" ht="15.75" hidden="false" customHeight="true" outlineLevel="0" collapsed="false">
      <c r="A67" s="45" t="s">
        <v>125</v>
      </c>
      <c r="B67" s="41" t="s">
        <v>133</v>
      </c>
      <c r="C67" s="46" t="str">
        <f aca="true">IF(G67 &lt;= TODAY(), "⚡ STUDY NOW", "✅ Wait")</f>
        <v>⚡ STUDY NOW</v>
      </c>
      <c r="D67" s="36" t="n">
        <v>0</v>
      </c>
      <c r="E67" s="44"/>
      <c r="F67" s="43" t="n">
        <f aca="false">CHOOSE(D67+1, 1, 3, 7, 14, 30, 60, 90, 120)</f>
        <v>1</v>
      </c>
      <c r="G67" s="44" t="n">
        <f aca="false">E67 + F67</f>
        <v>1</v>
      </c>
      <c r="H67" s="2"/>
      <c r="I67" s="39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customFormat="false" ht="15.75" hidden="false" customHeight="true" outlineLevel="0" collapsed="false">
      <c r="A68" s="45" t="s">
        <v>125</v>
      </c>
      <c r="B68" s="41" t="s">
        <v>134</v>
      </c>
      <c r="C68" s="46" t="str">
        <f aca="true">IF(G68 &lt;= TODAY(), "⚡ STUDY NOW", "✅ Wait")</f>
        <v>⚡ STUDY NOW</v>
      </c>
      <c r="D68" s="36" t="n">
        <v>0</v>
      </c>
      <c r="E68" s="44"/>
      <c r="F68" s="43" t="n">
        <f aca="false">CHOOSE(D68+1, 1, 3, 7, 14, 30, 60, 90, 120)</f>
        <v>1</v>
      </c>
      <c r="G68" s="44" t="n">
        <f aca="false">E68 + F68</f>
        <v>1</v>
      </c>
      <c r="H68" s="2"/>
      <c r="I68" s="39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customFormat="false" ht="15.75" hidden="false" customHeight="true" outlineLevel="0" collapsed="false">
      <c r="A69" s="45" t="s">
        <v>125</v>
      </c>
      <c r="B69" s="41" t="s">
        <v>135</v>
      </c>
      <c r="C69" s="46" t="str">
        <f aca="true">IF(G69 &lt;= TODAY(), "⚡ STUDY NOW", "✅ Wait")</f>
        <v>⚡ STUDY NOW</v>
      </c>
      <c r="D69" s="36" t="n">
        <v>0</v>
      </c>
      <c r="E69" s="44"/>
      <c r="F69" s="43" t="n">
        <f aca="false">CHOOSE(D69+1, 1, 3, 7, 14, 30, 60, 90, 120)</f>
        <v>1</v>
      </c>
      <c r="G69" s="44" t="n">
        <f aca="false">E69 + F69</f>
        <v>1</v>
      </c>
      <c r="H69" s="2"/>
      <c r="I69" s="39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customFormat="false" ht="15.75" hidden="false" customHeight="true" outlineLevel="0" collapsed="false">
      <c r="A70" s="45" t="s">
        <v>136</v>
      </c>
      <c r="B70" s="41" t="s">
        <v>137</v>
      </c>
      <c r="C70" s="46" t="str">
        <f aca="true">IF(G70 &lt;= TODAY(), "⚡ STUDY NOW", "✅ Wait")</f>
        <v>⚡ STUDY NOW</v>
      </c>
      <c r="D70" s="36" t="n">
        <v>0</v>
      </c>
      <c r="E70" s="44"/>
      <c r="F70" s="43" t="n">
        <f aca="false">CHOOSE(D70+1, 1, 3, 7, 14, 30, 60, 90, 120)</f>
        <v>1</v>
      </c>
      <c r="G70" s="44" t="n">
        <f aca="false">E70 + F70</f>
        <v>1</v>
      </c>
      <c r="H70" s="2"/>
      <c r="I70" s="39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customFormat="false" ht="15.75" hidden="false" customHeight="true" outlineLevel="0" collapsed="false">
      <c r="A71" s="45" t="s">
        <v>136</v>
      </c>
      <c r="B71" s="41" t="s">
        <v>138</v>
      </c>
      <c r="C71" s="46" t="str">
        <f aca="true">IF(G71 &lt;= TODAY(), "⚡ STUDY NOW", "✅ Wait")</f>
        <v>⚡ STUDY NOW</v>
      </c>
      <c r="D71" s="36" t="n">
        <v>0</v>
      </c>
      <c r="E71" s="44"/>
      <c r="F71" s="43" t="n">
        <f aca="false">CHOOSE(D71+1, 1, 3, 7, 14, 30, 60, 90, 120)</f>
        <v>1</v>
      </c>
      <c r="G71" s="44" t="n">
        <f aca="false">E71 + F71</f>
        <v>1</v>
      </c>
      <c r="H71" s="2"/>
      <c r="I71" s="39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customFormat="false" ht="15.75" hidden="false" customHeight="true" outlineLevel="0" collapsed="false">
      <c r="A72" s="45" t="s">
        <v>136</v>
      </c>
      <c r="B72" s="41" t="s">
        <v>139</v>
      </c>
      <c r="C72" s="46" t="str">
        <f aca="true">IF(G72 &lt;= TODAY(), "⚡ STUDY NOW", "✅ Wait")</f>
        <v>⚡ STUDY NOW</v>
      </c>
      <c r="D72" s="36" t="n">
        <v>0</v>
      </c>
      <c r="E72" s="44"/>
      <c r="F72" s="43" t="n">
        <f aca="false">CHOOSE(D72+1, 1, 3, 7, 14, 30, 60, 90, 120)</f>
        <v>1</v>
      </c>
      <c r="G72" s="44" t="n">
        <f aca="false">E72 + F72</f>
        <v>1</v>
      </c>
      <c r="H72" s="2"/>
      <c r="I72" s="39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customFormat="false" ht="15" hidden="false" customHeight="true" outlineLevel="0" collapsed="false">
      <c r="A73" s="45" t="s">
        <v>136</v>
      </c>
      <c r="B73" s="41" t="s">
        <v>140</v>
      </c>
      <c r="C73" s="46" t="str">
        <f aca="true">IF(G73 &lt;= TODAY(), "⚡ STUDY NOW", "✅ Wait")</f>
        <v>⚡ STUDY NOW</v>
      </c>
      <c r="D73" s="36" t="n">
        <v>0</v>
      </c>
      <c r="E73" s="44"/>
      <c r="F73" s="43" t="n">
        <f aca="false">CHOOSE(D73+1, 1, 3, 7, 14, 30, 60, 90, 120)</f>
        <v>1</v>
      </c>
      <c r="G73" s="44" t="n">
        <f aca="false">E73 + F73</f>
        <v>1</v>
      </c>
      <c r="H73" s="2"/>
      <c r="I73" s="39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customFormat="false" ht="15.75" hidden="false" customHeight="true" outlineLevel="0" collapsed="false">
      <c r="A74" s="45" t="s">
        <v>136</v>
      </c>
      <c r="B74" s="41" t="s">
        <v>141</v>
      </c>
      <c r="C74" s="46" t="str">
        <f aca="true">IF(G74 &lt;= TODAY(), "⚡ STUDY NOW", "✅ Wait")</f>
        <v>⚡ STUDY NOW</v>
      </c>
      <c r="D74" s="36" t="n">
        <v>0</v>
      </c>
      <c r="E74" s="44"/>
      <c r="F74" s="43" t="n">
        <f aca="false">CHOOSE(D74+1, 1, 3, 7, 14, 30, 60, 90, 120)</f>
        <v>1</v>
      </c>
      <c r="G74" s="44" t="n">
        <f aca="false">E74 + F74</f>
        <v>1</v>
      </c>
      <c r="H74" s="2"/>
      <c r="I74" s="39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customFormat="false" ht="15.75" hidden="false" customHeight="true" outlineLevel="0" collapsed="false">
      <c r="A75" s="45" t="s">
        <v>136</v>
      </c>
      <c r="B75" s="41" t="s">
        <v>142</v>
      </c>
      <c r="C75" s="46" t="str">
        <f aca="true">IF(G75 &lt;= TODAY(), "⚡ STUDY NOW", "✅ Wait")</f>
        <v>⚡ STUDY NOW</v>
      </c>
      <c r="D75" s="36" t="n">
        <v>0</v>
      </c>
      <c r="E75" s="44"/>
      <c r="F75" s="43" t="n">
        <f aca="false">CHOOSE(D75+1, 1, 3, 7, 14, 30, 60, 90, 120)</f>
        <v>1</v>
      </c>
      <c r="G75" s="44" t="n">
        <f aca="false">E75 + F75</f>
        <v>1</v>
      </c>
      <c r="H75" s="2"/>
      <c r="I75" s="39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customFormat="false" ht="15.75" hidden="false" customHeight="true" outlineLevel="0" collapsed="false">
      <c r="A76" s="45" t="s">
        <v>136</v>
      </c>
      <c r="B76" s="41" t="s">
        <v>143</v>
      </c>
      <c r="C76" s="46" t="str">
        <f aca="true">IF(G76 &lt;= TODAY(), "⚡ STUDY NOW", "✅ Wait")</f>
        <v>⚡ STUDY NOW</v>
      </c>
      <c r="D76" s="36" t="n">
        <v>0</v>
      </c>
      <c r="E76" s="44"/>
      <c r="F76" s="43" t="n">
        <f aca="false">CHOOSE(D76+1, 1, 3, 7, 14, 30, 60, 90, 120)</f>
        <v>1</v>
      </c>
      <c r="G76" s="44" t="n">
        <f aca="false">E76 + F76</f>
        <v>1</v>
      </c>
      <c r="H76" s="2"/>
      <c r="I76" s="39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customFormat="false" ht="15.75" hidden="false" customHeight="true" outlineLevel="0" collapsed="false">
      <c r="A77" s="45" t="s">
        <v>136</v>
      </c>
      <c r="B77" s="41" t="s">
        <v>144</v>
      </c>
      <c r="C77" s="46" t="str">
        <f aca="true">IF(G77 &lt;= TODAY(), "⚡ STUDY NOW", "✅ Wait")</f>
        <v>⚡ STUDY NOW</v>
      </c>
      <c r="D77" s="36" t="n">
        <v>0</v>
      </c>
      <c r="E77" s="44"/>
      <c r="F77" s="43" t="n">
        <f aca="false">CHOOSE(D77+1, 1, 3, 7, 14, 30, 60, 90, 120)</f>
        <v>1</v>
      </c>
      <c r="G77" s="44" t="n">
        <f aca="false">E77 + F77</f>
        <v>1</v>
      </c>
      <c r="H77" s="2"/>
      <c r="I77" s="39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customFormat="false" ht="15.75" hidden="false" customHeight="true" outlineLevel="0" collapsed="false">
      <c r="A78" s="45" t="s">
        <v>136</v>
      </c>
      <c r="B78" s="41" t="s">
        <v>145</v>
      </c>
      <c r="C78" s="46" t="str">
        <f aca="true">IF(G78 &lt;= TODAY(), "⚡ STUDY NOW", "✅ Wait")</f>
        <v>⚡ STUDY NOW</v>
      </c>
      <c r="D78" s="36" t="n">
        <v>0</v>
      </c>
      <c r="E78" s="44"/>
      <c r="F78" s="43" t="n">
        <f aca="false">CHOOSE(D78+1, 1, 3, 7, 14, 30, 60, 90, 120)</f>
        <v>1</v>
      </c>
      <c r="G78" s="44" t="n">
        <f aca="false">E78 + F78</f>
        <v>1</v>
      </c>
      <c r="H78" s="2"/>
      <c r="I78" s="39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customFormat="false" ht="15.75" hidden="false" customHeight="true" outlineLevel="0" collapsed="false">
      <c r="A79" s="45" t="s">
        <v>136</v>
      </c>
      <c r="B79" s="41" t="s">
        <v>146</v>
      </c>
      <c r="C79" s="46" t="str">
        <f aca="true">IF(G79 &lt;= TODAY(), "⚡ STUDY NOW", "✅ Wait")</f>
        <v>⚡ STUDY NOW</v>
      </c>
      <c r="D79" s="36" t="n">
        <v>0</v>
      </c>
      <c r="E79" s="44"/>
      <c r="F79" s="43" t="n">
        <f aca="false">CHOOSE(D79+1, 1, 3, 7, 14, 30, 60, 90, 120)</f>
        <v>1</v>
      </c>
      <c r="G79" s="44" t="n">
        <f aca="false">E79 + F79</f>
        <v>1</v>
      </c>
      <c r="H79" s="2"/>
      <c r="I79" s="39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customFormat="false" ht="15.75" hidden="false" customHeight="true" outlineLevel="0" collapsed="false">
      <c r="A80" s="45" t="s">
        <v>136</v>
      </c>
      <c r="B80" s="41" t="s">
        <v>147</v>
      </c>
      <c r="C80" s="46" t="str">
        <f aca="true">IF(G80 &lt;= TODAY(), "⚡ STUDY NOW", "✅ Wait")</f>
        <v>⚡ STUDY NOW</v>
      </c>
      <c r="D80" s="36" t="n">
        <v>0</v>
      </c>
      <c r="E80" s="44"/>
      <c r="F80" s="43" t="n">
        <f aca="false">CHOOSE(D80+1, 1, 3, 7, 14, 30, 60, 90, 120)</f>
        <v>1</v>
      </c>
      <c r="G80" s="44" t="n">
        <f aca="false">E80 + F80</f>
        <v>1</v>
      </c>
      <c r="H80" s="2"/>
      <c r="I80" s="39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customFormat="false" ht="15.75" hidden="false" customHeight="true" outlineLevel="0" collapsed="false">
      <c r="A81" s="45" t="s">
        <v>136</v>
      </c>
      <c r="B81" s="41" t="s">
        <v>148</v>
      </c>
      <c r="C81" s="46" t="str">
        <f aca="true">IF(G81 &lt;= TODAY(), "⚡ STUDY NOW", "✅ Wait")</f>
        <v>⚡ STUDY NOW</v>
      </c>
      <c r="D81" s="36" t="n">
        <v>0</v>
      </c>
      <c r="E81" s="44"/>
      <c r="F81" s="43" t="n">
        <f aca="false">CHOOSE(D81+1, 1, 3, 7, 14, 30, 60, 90, 120)</f>
        <v>1</v>
      </c>
      <c r="G81" s="44" t="n">
        <f aca="false">E81 + F81</f>
        <v>1</v>
      </c>
      <c r="H81" s="2"/>
      <c r="I81" s="39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customFormat="false" ht="15.75" hidden="false" customHeight="true" outlineLevel="0" collapsed="false">
      <c r="A82" s="45" t="s">
        <v>149</v>
      </c>
      <c r="B82" s="41" t="s">
        <v>150</v>
      </c>
      <c r="C82" s="46" t="str">
        <f aca="true">IF(G82 &lt;= TODAY(), "⚡ STUDY NOW", "✅ Wait")</f>
        <v>⚡ STUDY NOW</v>
      </c>
      <c r="D82" s="36" t="n">
        <v>0</v>
      </c>
      <c r="E82" s="44"/>
      <c r="F82" s="43" t="n">
        <f aca="false">CHOOSE(D82+1, 1, 3, 7, 14, 30, 60, 90, 120)</f>
        <v>1</v>
      </c>
      <c r="G82" s="44" t="n">
        <f aca="false">E82 + F82</f>
        <v>1</v>
      </c>
      <c r="H82" s="2"/>
      <c r="I82" s="39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customFormat="false" ht="15.75" hidden="false" customHeight="true" outlineLevel="0" collapsed="false">
      <c r="A83" s="45" t="s">
        <v>149</v>
      </c>
      <c r="B83" s="41" t="s">
        <v>151</v>
      </c>
      <c r="C83" s="46" t="str">
        <f aca="true">IF(G83 &lt;= TODAY(), "⚡ STUDY NOW", "✅ Wait")</f>
        <v>⚡ STUDY NOW</v>
      </c>
      <c r="D83" s="36" t="n">
        <v>0</v>
      </c>
      <c r="E83" s="44"/>
      <c r="F83" s="43" t="n">
        <f aca="false">CHOOSE(D83+1, 1, 3, 7, 14, 30, 60, 90, 120)</f>
        <v>1</v>
      </c>
      <c r="G83" s="44" t="n">
        <f aca="false">E83 + F83</f>
        <v>1</v>
      </c>
      <c r="H83" s="2"/>
      <c r="I83" s="39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customFormat="false" ht="15.75" hidden="false" customHeight="true" outlineLevel="0" collapsed="false">
      <c r="A84" s="45" t="s">
        <v>149</v>
      </c>
      <c r="B84" s="41" t="s">
        <v>152</v>
      </c>
      <c r="C84" s="46" t="str">
        <f aca="true">IF(G84 &lt;= TODAY(), "⚡ STUDY NOW", "✅ Wait")</f>
        <v>⚡ STUDY NOW</v>
      </c>
      <c r="D84" s="36" t="n">
        <v>0</v>
      </c>
      <c r="E84" s="44"/>
      <c r="F84" s="43" t="n">
        <f aca="false">CHOOSE(D84+1, 1, 3, 7, 14, 30, 60, 90, 120)</f>
        <v>1</v>
      </c>
      <c r="G84" s="44" t="n">
        <f aca="false">E84 + F84</f>
        <v>1</v>
      </c>
      <c r="H84" s="2"/>
      <c r="I84" s="39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customFormat="false" ht="15.75" hidden="false" customHeight="true" outlineLevel="0" collapsed="false">
      <c r="A85" s="45" t="s">
        <v>149</v>
      </c>
      <c r="B85" s="41" t="s">
        <v>153</v>
      </c>
      <c r="C85" s="46" t="str">
        <f aca="true">IF(G85 &lt;= TODAY(), "⚡ STUDY NOW", "✅ Wait")</f>
        <v>⚡ STUDY NOW</v>
      </c>
      <c r="D85" s="36" t="n">
        <v>0</v>
      </c>
      <c r="E85" s="44"/>
      <c r="F85" s="43" t="n">
        <f aca="false">CHOOSE(D85+1, 1, 3, 7, 14, 30, 60, 90, 120)</f>
        <v>1</v>
      </c>
      <c r="G85" s="44" t="n">
        <f aca="false">E85 + F85</f>
        <v>1</v>
      </c>
      <c r="H85" s="2"/>
      <c r="I85" s="39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customFormat="false" ht="15.75" hidden="false" customHeight="true" outlineLevel="0" collapsed="false">
      <c r="A86" s="45" t="s">
        <v>149</v>
      </c>
      <c r="B86" s="41" t="s">
        <v>154</v>
      </c>
      <c r="C86" s="46" t="str">
        <f aca="true">IF(G86 &lt;= TODAY(), "⚡ STUDY NOW", "✅ Wait")</f>
        <v>⚡ STUDY NOW</v>
      </c>
      <c r="D86" s="36" t="n">
        <v>0</v>
      </c>
      <c r="E86" s="44"/>
      <c r="F86" s="43" t="n">
        <f aca="false">CHOOSE(D86+1, 1, 3, 7, 14, 30, 60, 90, 120)</f>
        <v>1</v>
      </c>
      <c r="G86" s="44" t="n">
        <f aca="false">E86 + F86</f>
        <v>1</v>
      </c>
      <c r="H86" s="2"/>
      <c r="I86" s="39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customFormat="false" ht="15.75" hidden="false" customHeight="true" outlineLevel="0" collapsed="false">
      <c r="A87" s="45" t="s">
        <v>149</v>
      </c>
      <c r="B87" s="41" t="s">
        <v>155</v>
      </c>
      <c r="C87" s="46" t="str">
        <f aca="true">IF(G87 &lt;= TODAY(), "⚡ STUDY NOW", "✅ Wait")</f>
        <v>⚡ STUDY NOW</v>
      </c>
      <c r="D87" s="36" t="n">
        <v>0</v>
      </c>
      <c r="E87" s="44"/>
      <c r="F87" s="43" t="n">
        <f aca="false">CHOOSE(D87+1, 1, 3, 7, 14, 30, 60, 90, 120)</f>
        <v>1</v>
      </c>
      <c r="G87" s="44" t="n">
        <f aca="false">E87 + F87</f>
        <v>1</v>
      </c>
      <c r="H87" s="2"/>
      <c r="I87" s="39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customFormat="false" ht="15.75" hidden="false" customHeight="true" outlineLevel="0" collapsed="false">
      <c r="A88" s="45" t="s">
        <v>149</v>
      </c>
      <c r="B88" s="41" t="s">
        <v>156</v>
      </c>
      <c r="C88" s="46" t="str">
        <f aca="true">IF(G88 &lt;= TODAY(), "⚡ STUDY NOW", "✅ Wait")</f>
        <v>⚡ STUDY NOW</v>
      </c>
      <c r="D88" s="36" t="n">
        <v>0</v>
      </c>
      <c r="E88" s="44"/>
      <c r="F88" s="43" t="n">
        <f aca="false">CHOOSE(D88+1, 1, 3, 7, 14, 30, 60, 90, 120)</f>
        <v>1</v>
      </c>
      <c r="G88" s="44" t="n">
        <f aca="false">E88 + F88</f>
        <v>1</v>
      </c>
      <c r="H88" s="2"/>
      <c r="I88" s="39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customFormat="false" ht="15.75" hidden="false" customHeight="true" outlineLevel="0" collapsed="false">
      <c r="A89" s="45" t="s">
        <v>149</v>
      </c>
      <c r="B89" s="41" t="s">
        <v>157</v>
      </c>
      <c r="C89" s="46" t="str">
        <f aca="true">IF(G89 &lt;= TODAY(), "⚡ STUDY NOW", "✅ Wait")</f>
        <v>⚡ STUDY NOW</v>
      </c>
      <c r="D89" s="36" t="n">
        <v>0</v>
      </c>
      <c r="E89" s="44"/>
      <c r="F89" s="43" t="n">
        <f aca="false">CHOOSE(D89+1, 1, 3, 7, 14, 30, 60, 90, 120)</f>
        <v>1</v>
      </c>
      <c r="G89" s="44" t="n">
        <f aca="false">E89 + F89</f>
        <v>1</v>
      </c>
      <c r="H89" s="2"/>
      <c r="I89" s="39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customFormat="false" ht="15.75" hidden="false" customHeight="true" outlineLevel="0" collapsed="false">
      <c r="A90" s="45" t="s">
        <v>149</v>
      </c>
      <c r="B90" s="41" t="s">
        <v>158</v>
      </c>
      <c r="C90" s="46" t="str">
        <f aca="true">IF(G90 &lt;= TODAY(), "⚡ STUDY NOW", "✅ Wait")</f>
        <v>⚡ STUDY NOW</v>
      </c>
      <c r="D90" s="36" t="n">
        <v>0</v>
      </c>
      <c r="E90" s="44"/>
      <c r="F90" s="43" t="n">
        <f aca="false">CHOOSE(D90+1, 1, 3, 7, 14, 30, 60, 90, 120)</f>
        <v>1</v>
      </c>
      <c r="G90" s="44" t="n">
        <f aca="false">E90 + F90</f>
        <v>1</v>
      </c>
      <c r="H90" s="2"/>
      <c r="I90" s="39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customFormat="false" ht="15.75" hidden="false" customHeight="true" outlineLevel="0" collapsed="false">
      <c r="A91" s="45" t="s">
        <v>149</v>
      </c>
      <c r="B91" s="41" t="s">
        <v>159</v>
      </c>
      <c r="C91" s="46" t="str">
        <f aca="true">IF(G91 &lt;= TODAY(), "⚡ STUDY NOW", "✅ Wait")</f>
        <v>⚡ STUDY NOW</v>
      </c>
      <c r="D91" s="36" t="n">
        <v>0</v>
      </c>
      <c r="E91" s="44"/>
      <c r="F91" s="43" t="n">
        <f aca="false">CHOOSE(D91+1, 1, 3, 7, 14, 30, 60, 90, 120)</f>
        <v>1</v>
      </c>
      <c r="G91" s="44" t="n">
        <f aca="false">E91 + F91</f>
        <v>1</v>
      </c>
      <c r="H91" s="2"/>
      <c r="I91" s="39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customFormat="false" ht="15.75" hidden="false" customHeight="true" outlineLevel="0" collapsed="false">
      <c r="A92" s="47" t="s">
        <v>149</v>
      </c>
      <c r="B92" s="41" t="s">
        <v>160</v>
      </c>
      <c r="C92" s="48" t="str">
        <f aca="true">IF(G92 &lt;= TODAY(), "⚡ STUDY NOW", "✅ Wait")</f>
        <v>⚡ STUDY NOW</v>
      </c>
      <c r="D92" s="36" t="n">
        <v>0</v>
      </c>
      <c r="E92" s="49"/>
      <c r="F92" s="50" t="n">
        <f aca="false">CHOOSE(D92+1, 1, 3, 7, 14, 30, 60, 90, 120)</f>
        <v>1</v>
      </c>
      <c r="G92" s="49" t="n">
        <f aca="false">E92 + F92</f>
        <v>1</v>
      </c>
      <c r="H92" s="2"/>
      <c r="I92" s="39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customFormat="false" ht="15.75" hidden="false" customHeight="true" outlineLevel="0" collapsed="false">
      <c r="A93" s="51"/>
      <c r="B93" s="52"/>
      <c r="C93" s="26"/>
      <c r="D93" s="53"/>
      <c r="E93" s="54"/>
      <c r="F93" s="55"/>
      <c r="G93" s="54"/>
      <c r="H93" s="2"/>
      <c r="I93" s="39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customFormat="false" ht="15.75" hidden="false" customHeight="true" outlineLevel="0" collapsed="false">
      <c r="A94" s="51"/>
      <c r="B94" s="52"/>
      <c r="C94" s="26"/>
      <c r="D94" s="53"/>
      <c r="E94" s="54"/>
      <c r="F94" s="55"/>
      <c r="G94" s="54"/>
      <c r="H94" s="2"/>
      <c r="I94" s="39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customFormat="false" ht="15.75" hidden="false" customHeight="true" outlineLevel="0" collapsed="false">
      <c r="A95" s="51"/>
      <c r="B95" s="52"/>
      <c r="C95" s="26"/>
      <c r="D95" s="53"/>
      <c r="E95" s="54"/>
      <c r="F95" s="55"/>
      <c r="G95" s="54"/>
      <c r="H95" s="2"/>
      <c r="I95" s="39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customFormat="false" ht="15.75" hidden="false" customHeight="true" outlineLevel="0" collapsed="false">
      <c r="A96" s="51"/>
      <c r="B96" s="52"/>
      <c r="C96" s="26"/>
      <c r="D96" s="53"/>
      <c r="E96" s="54"/>
      <c r="F96" s="55"/>
      <c r="G96" s="54"/>
      <c r="H96" s="2"/>
      <c r="I96" s="39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customFormat="false" ht="15.75" hidden="false" customHeight="true" outlineLevel="0" collapsed="false">
      <c r="A97" s="51"/>
      <c r="B97" s="52"/>
      <c r="C97" s="26"/>
      <c r="D97" s="53"/>
      <c r="E97" s="54"/>
      <c r="F97" s="55"/>
      <c r="G97" s="54"/>
      <c r="H97" s="2"/>
      <c r="I97" s="39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customFormat="false" ht="15.75" hidden="false" customHeight="true" outlineLevel="0" collapsed="false">
      <c r="A98" s="51"/>
      <c r="B98" s="52"/>
      <c r="C98" s="26"/>
      <c r="D98" s="53"/>
      <c r="E98" s="54"/>
      <c r="F98" s="55"/>
      <c r="G98" s="54"/>
      <c r="H98" s="2"/>
      <c r="I98" s="39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customFormat="false" ht="15.75" hidden="false" customHeight="true" outlineLevel="0" collapsed="false">
      <c r="A99" s="51"/>
      <c r="B99" s="52"/>
      <c r="C99" s="26"/>
      <c r="D99" s="53"/>
      <c r="E99" s="54"/>
      <c r="F99" s="55"/>
      <c r="G99" s="54"/>
      <c r="H99" s="2"/>
      <c r="I99" s="39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customFormat="false" ht="15.75" hidden="false" customHeight="true" outlineLevel="0" collapsed="false">
      <c r="A100" s="51"/>
      <c r="B100" s="52"/>
      <c r="C100" s="26"/>
      <c r="D100" s="53"/>
      <c r="E100" s="54"/>
      <c r="F100" s="55"/>
      <c r="G100" s="54"/>
      <c r="H100" s="2"/>
      <c r="I100" s="39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customFormat="false" ht="15.75" hidden="false" customHeight="true" outlineLevel="0" collapsed="false">
      <c r="A101" s="51"/>
      <c r="B101" s="52"/>
      <c r="C101" s="26"/>
      <c r="D101" s="53"/>
      <c r="E101" s="54"/>
      <c r="F101" s="55"/>
      <c r="G101" s="54"/>
      <c r="H101" s="2"/>
      <c r="I101" s="39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customFormat="false" ht="15.75" hidden="false" customHeight="true" outlineLevel="0" collapsed="false">
      <c r="A102" s="51"/>
      <c r="B102" s="52"/>
      <c r="C102" s="26"/>
      <c r="D102" s="53"/>
      <c r="E102" s="54"/>
      <c r="F102" s="55"/>
      <c r="G102" s="54"/>
      <c r="H102" s="2"/>
      <c r="I102" s="39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customFormat="false" ht="15.75" hidden="false" customHeight="true" outlineLevel="0" collapsed="false">
      <c r="A103" s="51"/>
      <c r="B103" s="52"/>
      <c r="C103" s="26"/>
      <c r="D103" s="53"/>
      <c r="E103" s="54"/>
      <c r="F103" s="55"/>
      <c r="G103" s="54"/>
      <c r="H103" s="2"/>
      <c r="I103" s="39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customFormat="false" ht="15.75" hidden="false" customHeight="true" outlineLevel="0" collapsed="false">
      <c r="A104" s="51"/>
      <c r="B104" s="52"/>
      <c r="C104" s="26"/>
      <c r="D104" s="53"/>
      <c r="E104" s="54"/>
      <c r="F104" s="55"/>
      <c r="G104" s="54"/>
      <c r="H104" s="2"/>
      <c r="I104" s="39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customFormat="false" ht="15.75" hidden="false" customHeight="true" outlineLevel="0" collapsed="false">
      <c r="A105" s="51"/>
      <c r="B105" s="52"/>
      <c r="C105" s="26"/>
      <c r="D105" s="53"/>
      <c r="E105" s="54"/>
      <c r="F105" s="55"/>
      <c r="G105" s="54"/>
      <c r="H105" s="2"/>
      <c r="I105" s="39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customFormat="false" ht="15.75" hidden="false" customHeight="true" outlineLevel="0" collapsed="false">
      <c r="A106" s="51"/>
      <c r="B106" s="52"/>
      <c r="C106" s="26"/>
      <c r="D106" s="53"/>
      <c r="E106" s="54"/>
      <c r="F106" s="55"/>
      <c r="G106" s="54"/>
      <c r="H106" s="2"/>
      <c r="I106" s="39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customFormat="false" ht="15.75" hidden="false" customHeight="true" outlineLevel="0" collapsed="false">
      <c r="A107" s="51"/>
      <c r="B107" s="52"/>
      <c r="C107" s="26"/>
      <c r="D107" s="53"/>
      <c r="E107" s="54"/>
      <c r="F107" s="55"/>
      <c r="G107" s="54"/>
      <c r="H107" s="2"/>
      <c r="I107" s="39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customFormat="false" ht="15.75" hidden="false" customHeight="true" outlineLevel="0" collapsed="false">
      <c r="A108" s="51"/>
      <c r="B108" s="52"/>
      <c r="C108" s="26"/>
      <c r="D108" s="53"/>
      <c r="E108" s="54"/>
      <c r="F108" s="55"/>
      <c r="G108" s="54"/>
      <c r="H108" s="2"/>
      <c r="I108" s="39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customFormat="false" ht="15.75" hidden="false" customHeight="true" outlineLevel="0" collapsed="false">
      <c r="A109" s="51"/>
      <c r="B109" s="52"/>
      <c r="C109" s="26"/>
      <c r="D109" s="53"/>
      <c r="E109" s="54"/>
      <c r="F109" s="55"/>
      <c r="G109" s="54"/>
      <c r="H109" s="2"/>
      <c r="I109" s="39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customFormat="false" ht="15.75" hidden="false" customHeight="true" outlineLevel="0" collapsed="false">
      <c r="A110" s="51"/>
      <c r="B110" s="52"/>
      <c r="C110" s="26"/>
      <c r="D110" s="53"/>
      <c r="E110" s="54"/>
      <c r="F110" s="55"/>
      <c r="G110" s="54"/>
      <c r="H110" s="2"/>
      <c r="I110" s="39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customFormat="false" ht="15.75" hidden="false" customHeight="true" outlineLevel="0" collapsed="false">
      <c r="A111" s="51"/>
      <c r="B111" s="52"/>
      <c r="C111" s="26"/>
      <c r="D111" s="53"/>
      <c r="E111" s="54"/>
      <c r="F111" s="55"/>
      <c r="G111" s="54"/>
      <c r="H111" s="2"/>
      <c r="I111" s="39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customFormat="false" ht="15.75" hidden="false" customHeight="true" outlineLevel="0" collapsed="false">
      <c r="A112" s="51"/>
      <c r="B112" s="52"/>
      <c r="C112" s="26"/>
      <c r="D112" s="53"/>
      <c r="E112" s="54"/>
      <c r="F112" s="55"/>
      <c r="G112" s="54"/>
      <c r="H112" s="2"/>
      <c r="I112" s="39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customFormat="false" ht="15.75" hidden="false" customHeight="true" outlineLevel="0" collapsed="false">
      <c r="A113" s="51"/>
      <c r="B113" s="52"/>
      <c r="C113" s="26"/>
      <c r="D113" s="53"/>
      <c r="E113" s="54"/>
      <c r="F113" s="55"/>
      <c r="G113" s="54"/>
      <c r="H113" s="2"/>
      <c r="I113" s="39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customFormat="false" ht="15.75" hidden="false" customHeight="true" outlineLevel="0" collapsed="false">
      <c r="A114" s="51"/>
      <c r="B114" s="52"/>
      <c r="C114" s="26"/>
      <c r="D114" s="53"/>
      <c r="E114" s="54"/>
      <c r="F114" s="55"/>
      <c r="G114" s="54"/>
      <c r="H114" s="2"/>
      <c r="I114" s="39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customFormat="false" ht="15.75" hidden="false" customHeight="true" outlineLevel="0" collapsed="false">
      <c r="A115" s="51"/>
      <c r="B115" s="52"/>
      <c r="C115" s="26"/>
      <c r="D115" s="53"/>
      <c r="E115" s="54"/>
      <c r="F115" s="55"/>
      <c r="G115" s="54"/>
      <c r="H115" s="2"/>
      <c r="I115" s="39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customFormat="false" ht="15.75" hidden="false" customHeight="true" outlineLevel="0" collapsed="false">
      <c r="A116" s="51"/>
      <c r="B116" s="52"/>
      <c r="C116" s="26"/>
      <c r="D116" s="53"/>
      <c r="E116" s="54"/>
      <c r="F116" s="55"/>
      <c r="G116" s="54"/>
      <c r="H116" s="2"/>
      <c r="I116" s="39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customFormat="false" ht="15.75" hidden="false" customHeight="true" outlineLevel="0" collapsed="false">
      <c r="A117" s="51"/>
      <c r="B117" s="52"/>
      <c r="C117" s="26"/>
      <c r="D117" s="53"/>
      <c r="E117" s="54"/>
      <c r="F117" s="55"/>
      <c r="G117" s="54"/>
      <c r="H117" s="2"/>
      <c r="I117" s="39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customFormat="false" ht="15.75" hidden="false" customHeight="true" outlineLevel="0" collapsed="false">
      <c r="A118" s="51"/>
      <c r="B118" s="52"/>
      <c r="C118" s="26"/>
      <c r="D118" s="53"/>
      <c r="E118" s="54"/>
      <c r="F118" s="55"/>
      <c r="G118" s="54"/>
      <c r="H118" s="2"/>
      <c r="I118" s="39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customFormat="false" ht="15.75" hidden="false" customHeight="true" outlineLevel="0" collapsed="false">
      <c r="A119" s="51"/>
      <c r="B119" s="52"/>
      <c r="C119" s="26"/>
      <c r="D119" s="53"/>
      <c r="E119" s="54"/>
      <c r="F119" s="55"/>
      <c r="G119" s="54"/>
      <c r="H119" s="2"/>
      <c r="I119" s="39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customFormat="false" ht="15.75" hidden="false" customHeight="true" outlineLevel="0" collapsed="false">
      <c r="A120" s="51"/>
      <c r="B120" s="52"/>
      <c r="C120" s="26"/>
      <c r="D120" s="53"/>
      <c r="E120" s="54"/>
      <c r="F120" s="55"/>
      <c r="G120" s="54"/>
      <c r="H120" s="2"/>
      <c r="I120" s="39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customFormat="false" ht="15.75" hidden="false" customHeight="true" outlineLevel="0" collapsed="false">
      <c r="A121" s="51"/>
      <c r="B121" s="52"/>
      <c r="C121" s="26"/>
      <c r="D121" s="53"/>
      <c r="E121" s="54"/>
      <c r="F121" s="55"/>
      <c r="G121" s="54"/>
      <c r="H121" s="2"/>
      <c r="I121" s="39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customFormat="false" ht="15.75" hidden="false" customHeight="true" outlineLevel="0" collapsed="false">
      <c r="A122" s="51"/>
      <c r="B122" s="52"/>
      <c r="C122" s="26"/>
      <c r="D122" s="53"/>
      <c r="E122" s="54"/>
      <c r="F122" s="55"/>
      <c r="G122" s="54"/>
      <c r="H122" s="2"/>
      <c r="I122" s="39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customFormat="false" ht="15.75" hidden="false" customHeight="true" outlineLevel="0" collapsed="false">
      <c r="A123" s="51"/>
      <c r="B123" s="52"/>
      <c r="C123" s="26"/>
      <c r="D123" s="53"/>
      <c r="E123" s="54"/>
      <c r="F123" s="55"/>
      <c r="G123" s="54"/>
      <c r="H123" s="2"/>
      <c r="I123" s="39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customFormat="false" ht="15.75" hidden="false" customHeight="true" outlineLevel="0" collapsed="false">
      <c r="A124" s="51"/>
      <c r="B124" s="52"/>
      <c r="C124" s="26"/>
      <c r="D124" s="53"/>
      <c r="E124" s="54"/>
      <c r="F124" s="55"/>
      <c r="G124" s="54"/>
      <c r="H124" s="2"/>
      <c r="I124" s="39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customFormat="false" ht="15.75" hidden="false" customHeight="true" outlineLevel="0" collapsed="false">
      <c r="A125" s="51"/>
      <c r="B125" s="52"/>
      <c r="C125" s="26"/>
      <c r="D125" s="53"/>
      <c r="E125" s="54"/>
      <c r="F125" s="55"/>
      <c r="G125" s="54"/>
      <c r="H125" s="2"/>
      <c r="I125" s="39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customFormat="false" ht="15.75" hidden="false" customHeight="true" outlineLevel="0" collapsed="false">
      <c r="A126" s="51"/>
      <c r="B126" s="52"/>
      <c r="C126" s="26"/>
      <c r="D126" s="53"/>
      <c r="E126" s="54"/>
      <c r="F126" s="55"/>
      <c r="G126" s="54"/>
      <c r="H126" s="2"/>
      <c r="I126" s="39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customFormat="false" ht="15.75" hidden="false" customHeight="true" outlineLevel="0" collapsed="false">
      <c r="A127" s="51"/>
      <c r="B127" s="52"/>
      <c r="C127" s="26"/>
      <c r="D127" s="53"/>
      <c r="E127" s="54"/>
      <c r="F127" s="55"/>
      <c r="G127" s="54"/>
      <c r="H127" s="2"/>
      <c r="I127" s="39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customFormat="false" ht="15.75" hidden="false" customHeight="true" outlineLevel="0" collapsed="false">
      <c r="A128" s="51"/>
      <c r="B128" s="52"/>
      <c r="C128" s="26"/>
      <c r="D128" s="53"/>
      <c r="E128" s="54"/>
      <c r="F128" s="55"/>
      <c r="G128" s="54"/>
      <c r="H128" s="2"/>
      <c r="I128" s="39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customFormat="false" ht="15.75" hidden="false" customHeight="true" outlineLevel="0" collapsed="false">
      <c r="A129" s="51"/>
      <c r="B129" s="52"/>
      <c r="C129" s="26"/>
      <c r="D129" s="53"/>
      <c r="E129" s="54"/>
      <c r="F129" s="55"/>
      <c r="G129" s="54"/>
      <c r="H129" s="2"/>
      <c r="I129" s="39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customFormat="false" ht="15.75" hidden="false" customHeight="true" outlineLevel="0" collapsed="false">
      <c r="A130" s="51"/>
      <c r="B130" s="52"/>
      <c r="C130" s="26"/>
      <c r="D130" s="53"/>
      <c r="E130" s="54"/>
      <c r="F130" s="55"/>
      <c r="G130" s="54"/>
      <c r="H130" s="2"/>
      <c r="I130" s="39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customFormat="false" ht="15.75" hidden="false" customHeight="true" outlineLevel="0" collapsed="false">
      <c r="A131" s="51"/>
      <c r="B131" s="52"/>
      <c r="C131" s="26"/>
      <c r="D131" s="53"/>
      <c r="E131" s="54"/>
      <c r="F131" s="55"/>
      <c r="G131" s="54"/>
      <c r="H131" s="2"/>
      <c r="I131" s="39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customFormat="false" ht="15.75" hidden="false" customHeight="true" outlineLevel="0" collapsed="false">
      <c r="A132" s="51"/>
      <c r="B132" s="52"/>
      <c r="C132" s="26"/>
      <c r="D132" s="53"/>
      <c r="E132" s="54"/>
      <c r="F132" s="55"/>
      <c r="G132" s="54"/>
      <c r="H132" s="2"/>
      <c r="I132" s="39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customFormat="false" ht="15.75" hidden="false" customHeight="true" outlineLevel="0" collapsed="false">
      <c r="A133" s="51"/>
      <c r="B133" s="52"/>
      <c r="C133" s="26"/>
      <c r="D133" s="53"/>
      <c r="E133" s="54"/>
      <c r="F133" s="55"/>
      <c r="G133" s="54"/>
      <c r="H133" s="2"/>
      <c r="I133" s="39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customFormat="false" ht="15.75" hidden="false" customHeight="true" outlineLevel="0" collapsed="false">
      <c r="A134" s="51"/>
      <c r="B134" s="52"/>
      <c r="C134" s="26"/>
      <c r="D134" s="53"/>
      <c r="E134" s="54"/>
      <c r="F134" s="55"/>
      <c r="G134" s="54"/>
      <c r="H134" s="2"/>
      <c r="I134" s="39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customFormat="false" ht="15.75" hidden="false" customHeight="true" outlineLevel="0" collapsed="false">
      <c r="A135" s="51"/>
      <c r="B135" s="52"/>
      <c r="C135" s="26"/>
      <c r="D135" s="53"/>
      <c r="E135" s="54"/>
      <c r="F135" s="55"/>
      <c r="G135" s="54"/>
      <c r="H135" s="2"/>
      <c r="I135" s="39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customFormat="false" ht="15.75" hidden="false" customHeight="true" outlineLevel="0" collapsed="false">
      <c r="A136" s="51"/>
      <c r="B136" s="52"/>
      <c r="C136" s="26"/>
      <c r="D136" s="53"/>
      <c r="E136" s="54"/>
      <c r="F136" s="55"/>
      <c r="G136" s="54"/>
      <c r="H136" s="2"/>
      <c r="I136" s="39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customFormat="false" ht="15.75" hidden="false" customHeight="true" outlineLevel="0" collapsed="false">
      <c r="A137" s="51"/>
      <c r="B137" s="52"/>
      <c r="C137" s="26"/>
      <c r="D137" s="53"/>
      <c r="E137" s="54"/>
      <c r="F137" s="55"/>
      <c r="G137" s="54"/>
      <c r="H137" s="2"/>
      <c r="I137" s="39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customFormat="false" ht="15.75" hidden="false" customHeight="true" outlineLevel="0" collapsed="false">
      <c r="A138" s="51"/>
      <c r="B138" s="52"/>
      <c r="C138" s="26"/>
      <c r="D138" s="53"/>
      <c r="E138" s="54"/>
      <c r="F138" s="55"/>
      <c r="G138" s="54"/>
      <c r="H138" s="2"/>
      <c r="I138" s="39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customFormat="false" ht="15.75" hidden="false" customHeight="true" outlineLevel="0" collapsed="false">
      <c r="A139" s="51"/>
      <c r="B139" s="52"/>
      <c r="C139" s="26"/>
      <c r="D139" s="53"/>
      <c r="E139" s="54"/>
      <c r="F139" s="55"/>
      <c r="G139" s="54"/>
      <c r="H139" s="2"/>
      <c r="I139" s="39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customFormat="false" ht="15.75" hidden="false" customHeight="true" outlineLevel="0" collapsed="false">
      <c r="A140" s="51"/>
      <c r="B140" s="52"/>
      <c r="C140" s="26"/>
      <c r="D140" s="53"/>
      <c r="E140" s="54"/>
      <c r="F140" s="55"/>
      <c r="G140" s="54"/>
      <c r="H140" s="2"/>
      <c r="I140" s="39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customFormat="false" ht="15.75" hidden="false" customHeight="true" outlineLevel="0" collapsed="false">
      <c r="A141" s="51"/>
      <c r="B141" s="52"/>
      <c r="C141" s="26"/>
      <c r="D141" s="53"/>
      <c r="E141" s="54"/>
      <c r="F141" s="55"/>
      <c r="G141" s="54"/>
      <c r="H141" s="2"/>
      <c r="I141" s="39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customFormat="false" ht="15.75" hidden="false" customHeight="true" outlineLevel="0" collapsed="false">
      <c r="A142" s="51"/>
      <c r="B142" s="52"/>
      <c r="C142" s="26"/>
      <c r="D142" s="53"/>
      <c r="E142" s="54"/>
      <c r="F142" s="55"/>
      <c r="G142" s="54"/>
      <c r="H142" s="2"/>
      <c r="I142" s="39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customFormat="false" ht="15.75" hidden="false" customHeight="true" outlineLevel="0" collapsed="false">
      <c r="A143" s="51"/>
      <c r="B143" s="52"/>
      <c r="C143" s="26"/>
      <c r="D143" s="53"/>
      <c r="E143" s="54"/>
      <c r="F143" s="55"/>
      <c r="G143" s="54"/>
      <c r="H143" s="2"/>
      <c r="I143" s="39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customFormat="false" ht="15.75" hidden="false" customHeight="true" outlineLevel="0" collapsed="false">
      <c r="A144" s="51"/>
      <c r="B144" s="52"/>
      <c r="C144" s="26"/>
      <c r="D144" s="53"/>
      <c r="E144" s="54"/>
      <c r="F144" s="55"/>
      <c r="G144" s="54"/>
      <c r="H144" s="2"/>
      <c r="I144" s="39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customFormat="false" ht="15.75" hidden="false" customHeight="true" outlineLevel="0" collapsed="false">
      <c r="A145" s="51"/>
      <c r="B145" s="52"/>
      <c r="C145" s="26"/>
      <c r="D145" s="53"/>
      <c r="E145" s="54"/>
      <c r="F145" s="55"/>
      <c r="G145" s="54"/>
      <c r="H145" s="2"/>
      <c r="I145" s="39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customFormat="false" ht="15.75" hidden="false" customHeight="true" outlineLevel="0" collapsed="false">
      <c r="A146" s="51"/>
      <c r="B146" s="52"/>
      <c r="C146" s="26"/>
      <c r="D146" s="53"/>
      <c r="E146" s="54"/>
      <c r="F146" s="55"/>
      <c r="G146" s="54"/>
      <c r="H146" s="2"/>
      <c r="I146" s="39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customFormat="false" ht="15.75" hidden="false" customHeight="true" outlineLevel="0" collapsed="false">
      <c r="A147" s="51"/>
      <c r="B147" s="52"/>
      <c r="C147" s="26"/>
      <c r="D147" s="53"/>
      <c r="E147" s="54"/>
      <c r="F147" s="55"/>
      <c r="G147" s="54"/>
      <c r="H147" s="2"/>
      <c r="I147" s="39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customFormat="false" ht="15.75" hidden="false" customHeight="true" outlineLevel="0" collapsed="false">
      <c r="A148" s="51"/>
      <c r="B148" s="52"/>
      <c r="C148" s="26"/>
      <c r="D148" s="53"/>
      <c r="E148" s="54"/>
      <c r="F148" s="55"/>
      <c r="G148" s="54"/>
      <c r="H148" s="2"/>
      <c r="I148" s="39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customFormat="false" ht="15.75" hidden="false" customHeight="true" outlineLevel="0" collapsed="false">
      <c r="A149" s="51"/>
      <c r="B149" s="52"/>
      <c r="C149" s="26"/>
      <c r="D149" s="53"/>
      <c r="E149" s="54"/>
      <c r="F149" s="55"/>
      <c r="G149" s="54"/>
      <c r="H149" s="2"/>
      <c r="I149" s="39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customFormat="false" ht="15.75" hidden="false" customHeight="true" outlineLevel="0" collapsed="false">
      <c r="A150" s="51"/>
      <c r="B150" s="52"/>
      <c r="C150" s="26"/>
      <c r="D150" s="53"/>
      <c r="E150" s="54"/>
      <c r="F150" s="55"/>
      <c r="G150" s="54"/>
      <c r="H150" s="2"/>
      <c r="I150" s="39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customFormat="false" ht="15.75" hidden="false" customHeight="true" outlineLevel="0" collapsed="false">
      <c r="A151" s="51"/>
      <c r="B151" s="52"/>
      <c r="C151" s="26"/>
      <c r="D151" s="53"/>
      <c r="E151" s="54"/>
      <c r="F151" s="55"/>
      <c r="G151" s="54"/>
      <c r="H151" s="2"/>
      <c r="I151" s="39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customFormat="false" ht="15.75" hidden="false" customHeight="true" outlineLevel="0" collapsed="false">
      <c r="A152" s="51"/>
      <c r="B152" s="52"/>
      <c r="C152" s="26"/>
      <c r="D152" s="53"/>
      <c r="E152" s="54"/>
      <c r="F152" s="55"/>
      <c r="G152" s="54"/>
      <c r="H152" s="2"/>
      <c r="I152" s="39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customFormat="false" ht="15.75" hidden="false" customHeight="true" outlineLevel="0" collapsed="false">
      <c r="A153" s="51"/>
      <c r="B153" s="52"/>
      <c r="C153" s="26"/>
      <c r="D153" s="53"/>
      <c r="E153" s="54"/>
      <c r="F153" s="55"/>
      <c r="G153" s="54"/>
      <c r="H153" s="2"/>
      <c r="I153" s="39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customFormat="false" ht="15.75" hidden="false" customHeight="true" outlineLevel="0" collapsed="false">
      <c r="A154" s="51"/>
      <c r="B154" s="52"/>
      <c r="C154" s="26"/>
      <c r="D154" s="53"/>
      <c r="E154" s="54"/>
      <c r="F154" s="55"/>
      <c r="G154" s="54"/>
      <c r="H154" s="2"/>
      <c r="I154" s="39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customFormat="false" ht="15.75" hidden="false" customHeight="true" outlineLevel="0" collapsed="false">
      <c r="A155" s="51"/>
      <c r="B155" s="52"/>
      <c r="C155" s="26"/>
      <c r="D155" s="53"/>
      <c r="E155" s="54"/>
      <c r="F155" s="55"/>
      <c r="G155" s="54"/>
      <c r="H155" s="2"/>
      <c r="I155" s="39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customFormat="false" ht="15.75" hidden="false" customHeight="true" outlineLevel="0" collapsed="false">
      <c r="A156" s="51"/>
      <c r="B156" s="52"/>
      <c r="C156" s="26"/>
      <c r="D156" s="53"/>
      <c r="E156" s="54"/>
      <c r="F156" s="55"/>
      <c r="G156" s="54"/>
      <c r="H156" s="2"/>
      <c r="I156" s="39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customFormat="false" ht="15.75" hidden="false" customHeight="true" outlineLevel="0" collapsed="false">
      <c r="A157" s="51"/>
      <c r="B157" s="52"/>
      <c r="C157" s="26"/>
      <c r="D157" s="53"/>
      <c r="E157" s="54"/>
      <c r="F157" s="55"/>
      <c r="G157" s="54"/>
      <c r="H157" s="2"/>
      <c r="I157" s="39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customFormat="false" ht="15.75" hidden="false" customHeight="true" outlineLevel="0" collapsed="false">
      <c r="A158" s="51"/>
      <c r="B158" s="52"/>
      <c r="C158" s="26"/>
      <c r="D158" s="53"/>
      <c r="E158" s="54"/>
      <c r="F158" s="55"/>
      <c r="G158" s="54"/>
      <c r="H158" s="2"/>
      <c r="I158" s="39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customFormat="false" ht="15.75" hidden="false" customHeight="true" outlineLevel="0" collapsed="false">
      <c r="A159" s="51"/>
      <c r="B159" s="52"/>
      <c r="C159" s="26"/>
      <c r="D159" s="53"/>
      <c r="E159" s="54"/>
      <c r="F159" s="55"/>
      <c r="G159" s="54"/>
      <c r="H159" s="2"/>
      <c r="I159" s="39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customFormat="false" ht="15.75" hidden="false" customHeight="true" outlineLevel="0" collapsed="false">
      <c r="A160" s="51"/>
      <c r="B160" s="52"/>
      <c r="C160" s="26"/>
      <c r="D160" s="53"/>
      <c r="E160" s="54"/>
      <c r="F160" s="55"/>
      <c r="G160" s="54"/>
      <c r="H160" s="2"/>
      <c r="I160" s="39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customFormat="false" ht="15.75" hidden="false" customHeight="true" outlineLevel="0" collapsed="false">
      <c r="A161" s="51"/>
      <c r="B161" s="52"/>
      <c r="C161" s="26"/>
      <c r="D161" s="53"/>
      <c r="E161" s="54"/>
      <c r="F161" s="55"/>
      <c r="G161" s="54"/>
      <c r="H161" s="2"/>
      <c r="I161" s="39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customFormat="false" ht="15.75" hidden="false" customHeight="true" outlineLevel="0" collapsed="false">
      <c r="A162" s="51"/>
      <c r="B162" s="52"/>
      <c r="C162" s="26"/>
      <c r="D162" s="53"/>
      <c r="E162" s="54"/>
      <c r="F162" s="55"/>
      <c r="G162" s="54"/>
      <c r="H162" s="2"/>
      <c r="I162" s="39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customFormat="false" ht="15.75" hidden="false" customHeight="true" outlineLevel="0" collapsed="false">
      <c r="A163" s="51"/>
      <c r="B163" s="52"/>
      <c r="C163" s="26"/>
      <c r="D163" s="53"/>
      <c r="E163" s="54"/>
      <c r="F163" s="55"/>
      <c r="G163" s="54"/>
      <c r="H163" s="2"/>
      <c r="I163" s="39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customFormat="false" ht="15.75" hidden="false" customHeight="true" outlineLevel="0" collapsed="false">
      <c r="A164" s="51"/>
      <c r="B164" s="52"/>
      <c r="C164" s="26"/>
      <c r="D164" s="53"/>
      <c r="E164" s="54"/>
      <c r="F164" s="55"/>
      <c r="G164" s="54"/>
      <c r="H164" s="2"/>
      <c r="I164" s="39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customFormat="false" ht="15.75" hidden="false" customHeight="true" outlineLevel="0" collapsed="false">
      <c r="A165" s="51"/>
      <c r="B165" s="52"/>
      <c r="C165" s="26"/>
      <c r="D165" s="53"/>
      <c r="E165" s="54"/>
      <c r="F165" s="55"/>
      <c r="G165" s="54"/>
      <c r="H165" s="2"/>
      <c r="I165" s="39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customFormat="false" ht="15.75" hidden="false" customHeight="true" outlineLevel="0" collapsed="false">
      <c r="A166" s="51"/>
      <c r="B166" s="52"/>
      <c r="C166" s="26"/>
      <c r="D166" s="53"/>
      <c r="E166" s="54"/>
      <c r="F166" s="55"/>
      <c r="G166" s="54"/>
      <c r="H166" s="2"/>
      <c r="I166" s="39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customFormat="false" ht="15.75" hidden="false" customHeight="true" outlineLevel="0" collapsed="false">
      <c r="A167" s="51"/>
      <c r="B167" s="52"/>
      <c r="C167" s="26"/>
      <c r="D167" s="53"/>
      <c r="E167" s="54"/>
      <c r="F167" s="55"/>
      <c r="G167" s="54"/>
      <c r="H167" s="2"/>
      <c r="I167" s="39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customFormat="false" ht="15.75" hidden="false" customHeight="true" outlineLevel="0" collapsed="false">
      <c r="A168" s="51"/>
      <c r="B168" s="52"/>
      <c r="C168" s="26"/>
      <c r="D168" s="53"/>
      <c r="E168" s="54"/>
      <c r="F168" s="55"/>
      <c r="G168" s="54"/>
      <c r="H168" s="2"/>
      <c r="I168" s="39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customFormat="false" ht="15.75" hidden="false" customHeight="true" outlineLevel="0" collapsed="false">
      <c r="A169" s="51"/>
      <c r="B169" s="52"/>
      <c r="C169" s="26"/>
      <c r="D169" s="53"/>
      <c r="E169" s="54"/>
      <c r="F169" s="55"/>
      <c r="G169" s="54"/>
      <c r="H169" s="2"/>
      <c r="I169" s="39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customFormat="false" ht="15.75" hidden="false" customHeight="true" outlineLevel="0" collapsed="false">
      <c r="A170" s="51"/>
      <c r="B170" s="52"/>
      <c r="C170" s="26"/>
      <c r="D170" s="53"/>
      <c r="E170" s="54"/>
      <c r="F170" s="55"/>
      <c r="G170" s="54"/>
      <c r="H170" s="2"/>
      <c r="I170" s="39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customFormat="false" ht="15.75" hidden="false" customHeight="true" outlineLevel="0" collapsed="false">
      <c r="A171" s="51"/>
      <c r="B171" s="52"/>
      <c r="C171" s="26"/>
      <c r="D171" s="53"/>
      <c r="E171" s="54"/>
      <c r="F171" s="55"/>
      <c r="G171" s="54"/>
      <c r="H171" s="2"/>
      <c r="I171" s="39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customFormat="false" ht="15.75" hidden="false" customHeight="true" outlineLevel="0" collapsed="false">
      <c r="A172" s="51"/>
      <c r="B172" s="52"/>
      <c r="C172" s="26"/>
      <c r="D172" s="53"/>
      <c r="E172" s="54"/>
      <c r="F172" s="55"/>
      <c r="G172" s="54"/>
      <c r="H172" s="2"/>
      <c r="I172" s="39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customFormat="false" ht="15.75" hidden="false" customHeight="true" outlineLevel="0" collapsed="false">
      <c r="A173" s="51"/>
      <c r="B173" s="52"/>
      <c r="C173" s="26"/>
      <c r="D173" s="53"/>
      <c r="E173" s="54"/>
      <c r="F173" s="55"/>
      <c r="G173" s="54"/>
      <c r="H173" s="2"/>
      <c r="I173" s="39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customFormat="false" ht="15.75" hidden="false" customHeight="true" outlineLevel="0" collapsed="false">
      <c r="A174" s="51"/>
      <c r="B174" s="52"/>
      <c r="C174" s="26"/>
      <c r="D174" s="53"/>
      <c r="E174" s="54"/>
      <c r="F174" s="55"/>
      <c r="G174" s="54"/>
      <c r="H174" s="2"/>
      <c r="I174" s="39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customFormat="false" ht="15.75" hidden="false" customHeight="true" outlineLevel="0" collapsed="false">
      <c r="A175" s="51"/>
      <c r="B175" s="52"/>
      <c r="C175" s="26"/>
      <c r="D175" s="53"/>
      <c r="E175" s="54"/>
      <c r="F175" s="55"/>
      <c r="G175" s="54"/>
      <c r="H175" s="2"/>
      <c r="I175" s="39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customFormat="false" ht="15.75" hidden="false" customHeight="true" outlineLevel="0" collapsed="false">
      <c r="A176" s="51"/>
      <c r="B176" s="52"/>
      <c r="C176" s="26"/>
      <c r="D176" s="53"/>
      <c r="E176" s="54"/>
      <c r="F176" s="55"/>
      <c r="G176" s="54"/>
      <c r="H176" s="2"/>
      <c r="I176" s="39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customFormat="false" ht="15.75" hidden="false" customHeight="true" outlineLevel="0" collapsed="false">
      <c r="A177" s="51"/>
      <c r="B177" s="52"/>
      <c r="C177" s="26"/>
      <c r="D177" s="53"/>
      <c r="E177" s="54"/>
      <c r="F177" s="55"/>
      <c r="G177" s="54"/>
      <c r="H177" s="2"/>
      <c r="I177" s="39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customFormat="false" ht="15.75" hidden="false" customHeight="true" outlineLevel="0" collapsed="false">
      <c r="A178" s="51"/>
      <c r="B178" s="52"/>
      <c r="C178" s="26"/>
      <c r="D178" s="53"/>
      <c r="E178" s="54"/>
      <c r="F178" s="55"/>
      <c r="G178" s="54"/>
      <c r="H178" s="2"/>
      <c r="I178" s="39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customFormat="false" ht="15.75" hidden="false" customHeight="true" outlineLevel="0" collapsed="false">
      <c r="A179" s="51"/>
      <c r="B179" s="52"/>
      <c r="C179" s="26"/>
      <c r="D179" s="53"/>
      <c r="E179" s="54"/>
      <c r="F179" s="55"/>
      <c r="G179" s="54"/>
      <c r="H179" s="2"/>
      <c r="I179" s="39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customFormat="false" ht="15.75" hidden="false" customHeight="true" outlineLevel="0" collapsed="false">
      <c r="A180" s="51"/>
      <c r="B180" s="52"/>
      <c r="C180" s="26"/>
      <c r="D180" s="53"/>
      <c r="E180" s="54"/>
      <c r="F180" s="55"/>
      <c r="G180" s="54"/>
      <c r="H180" s="2"/>
      <c r="I180" s="39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customFormat="false" ht="15.75" hidden="false" customHeight="true" outlineLevel="0" collapsed="false">
      <c r="A181" s="51"/>
      <c r="B181" s="52"/>
      <c r="C181" s="26"/>
      <c r="D181" s="53"/>
      <c r="E181" s="54"/>
      <c r="F181" s="55"/>
      <c r="G181" s="54"/>
      <c r="H181" s="2"/>
      <c r="I181" s="39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customFormat="false" ht="15.75" hidden="false" customHeight="true" outlineLevel="0" collapsed="false">
      <c r="A182" s="51"/>
      <c r="B182" s="52"/>
      <c r="C182" s="26"/>
      <c r="D182" s="53"/>
      <c r="E182" s="54"/>
      <c r="F182" s="55"/>
      <c r="G182" s="54"/>
      <c r="H182" s="2"/>
      <c r="I182" s="39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customFormat="false" ht="15.75" hidden="false" customHeight="true" outlineLevel="0" collapsed="false">
      <c r="A183" s="51"/>
      <c r="B183" s="52"/>
      <c r="C183" s="26"/>
      <c r="D183" s="53"/>
      <c r="E183" s="54"/>
      <c r="F183" s="55"/>
      <c r="G183" s="54"/>
      <c r="H183" s="2"/>
      <c r="I183" s="39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customFormat="false" ht="15.75" hidden="false" customHeight="true" outlineLevel="0" collapsed="false">
      <c r="A184" s="51"/>
      <c r="B184" s="52"/>
      <c r="C184" s="26"/>
      <c r="D184" s="53"/>
      <c r="E184" s="54"/>
      <c r="F184" s="55"/>
      <c r="G184" s="54"/>
      <c r="H184" s="2"/>
      <c r="I184" s="39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customFormat="false" ht="15.75" hidden="false" customHeight="true" outlineLevel="0" collapsed="false">
      <c r="A185" s="51"/>
      <c r="B185" s="52"/>
      <c r="C185" s="26"/>
      <c r="D185" s="53"/>
      <c r="E185" s="54"/>
      <c r="F185" s="55"/>
      <c r="G185" s="54"/>
      <c r="H185" s="2"/>
      <c r="I185" s="39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customFormat="false" ht="15.75" hidden="false" customHeight="true" outlineLevel="0" collapsed="false">
      <c r="A186" s="51"/>
      <c r="B186" s="52"/>
      <c r="C186" s="26"/>
      <c r="D186" s="53"/>
      <c r="E186" s="54"/>
      <c r="F186" s="55"/>
      <c r="G186" s="54"/>
      <c r="H186" s="2"/>
      <c r="I186" s="39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customFormat="false" ht="15.75" hidden="false" customHeight="true" outlineLevel="0" collapsed="false">
      <c r="A187" s="51"/>
      <c r="B187" s="52"/>
      <c r="C187" s="26"/>
      <c r="D187" s="53"/>
      <c r="E187" s="54"/>
      <c r="F187" s="55"/>
      <c r="G187" s="54"/>
      <c r="H187" s="2"/>
      <c r="I187" s="39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customFormat="false" ht="15.75" hidden="false" customHeight="true" outlineLevel="0" collapsed="false">
      <c r="A188" s="51"/>
      <c r="B188" s="52"/>
      <c r="C188" s="26"/>
      <c r="D188" s="53"/>
      <c r="E188" s="54"/>
      <c r="F188" s="55"/>
      <c r="G188" s="54"/>
      <c r="H188" s="2"/>
      <c r="I188" s="39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customFormat="false" ht="15.75" hidden="false" customHeight="true" outlineLevel="0" collapsed="false">
      <c r="A189" s="51"/>
      <c r="B189" s="52"/>
      <c r="C189" s="26"/>
      <c r="D189" s="53"/>
      <c r="E189" s="54"/>
      <c r="F189" s="55"/>
      <c r="G189" s="54"/>
      <c r="H189" s="2"/>
      <c r="I189" s="39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customFormat="false" ht="15.75" hidden="false" customHeight="true" outlineLevel="0" collapsed="false">
      <c r="A190" s="51"/>
      <c r="B190" s="52"/>
      <c r="C190" s="26"/>
      <c r="D190" s="53"/>
      <c r="E190" s="54"/>
      <c r="F190" s="55"/>
      <c r="G190" s="54"/>
      <c r="H190" s="2"/>
      <c r="I190" s="39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customFormat="false" ht="15.75" hidden="false" customHeight="true" outlineLevel="0" collapsed="false">
      <c r="A191" s="51"/>
      <c r="B191" s="52"/>
      <c r="C191" s="26"/>
      <c r="D191" s="53"/>
      <c r="E191" s="54"/>
      <c r="F191" s="55"/>
      <c r="G191" s="54"/>
      <c r="H191" s="2"/>
      <c r="I191" s="39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customFormat="false" ht="15.75" hidden="false" customHeight="true" outlineLevel="0" collapsed="false">
      <c r="A192" s="51"/>
      <c r="B192" s="52"/>
      <c r="C192" s="26"/>
      <c r="D192" s="53"/>
      <c r="E192" s="54"/>
      <c r="F192" s="55"/>
      <c r="G192" s="54"/>
      <c r="H192" s="2"/>
      <c r="I192" s="39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customFormat="false" ht="15.75" hidden="false" customHeight="true" outlineLevel="0" collapsed="false">
      <c r="A193" s="51"/>
      <c r="B193" s="52"/>
      <c r="C193" s="26"/>
      <c r="D193" s="53"/>
      <c r="E193" s="54"/>
      <c r="F193" s="55"/>
      <c r="G193" s="54"/>
      <c r="H193" s="2"/>
      <c r="I193" s="39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customFormat="false" ht="15.75" hidden="false" customHeight="true" outlineLevel="0" collapsed="false">
      <c r="A194" s="51"/>
      <c r="B194" s="52"/>
      <c r="C194" s="26"/>
      <c r="D194" s="53"/>
      <c r="E194" s="54"/>
      <c r="F194" s="55"/>
      <c r="G194" s="54"/>
      <c r="H194" s="2"/>
      <c r="I194" s="39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customFormat="false" ht="15.75" hidden="false" customHeight="true" outlineLevel="0" collapsed="false">
      <c r="A195" s="51"/>
      <c r="B195" s="52"/>
      <c r="C195" s="26"/>
      <c r="D195" s="53"/>
      <c r="E195" s="54"/>
      <c r="F195" s="55"/>
      <c r="G195" s="54"/>
      <c r="H195" s="2"/>
      <c r="I195" s="39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customFormat="false" ht="15.75" hidden="false" customHeight="true" outlineLevel="0" collapsed="false">
      <c r="A196" s="51"/>
      <c r="B196" s="52"/>
      <c r="C196" s="26"/>
      <c r="D196" s="53"/>
      <c r="E196" s="54"/>
      <c r="F196" s="55"/>
      <c r="G196" s="54"/>
      <c r="H196" s="2"/>
      <c r="I196" s="39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customFormat="false" ht="15.75" hidden="false" customHeight="true" outlineLevel="0" collapsed="false">
      <c r="A197" s="51"/>
      <c r="B197" s="52"/>
      <c r="C197" s="26"/>
      <c r="D197" s="53"/>
      <c r="E197" s="54"/>
      <c r="F197" s="55"/>
      <c r="G197" s="54"/>
      <c r="H197" s="2"/>
      <c r="I197" s="39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customFormat="false" ht="15.75" hidden="false" customHeight="true" outlineLevel="0" collapsed="false">
      <c r="A198" s="51"/>
      <c r="B198" s="52"/>
      <c r="C198" s="26"/>
      <c r="D198" s="53"/>
      <c r="E198" s="54"/>
      <c r="F198" s="55"/>
      <c r="G198" s="54"/>
      <c r="H198" s="2"/>
      <c r="I198" s="39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customFormat="false" ht="15.75" hidden="false" customHeight="true" outlineLevel="0" collapsed="false">
      <c r="A199" s="51"/>
      <c r="B199" s="52"/>
      <c r="C199" s="26"/>
      <c r="D199" s="53"/>
      <c r="E199" s="54"/>
      <c r="F199" s="55"/>
      <c r="G199" s="54"/>
      <c r="H199" s="2"/>
      <c r="I199" s="39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customFormat="false" ht="15.75" hidden="false" customHeight="true" outlineLevel="0" collapsed="false">
      <c r="A200" s="51"/>
      <c r="B200" s="52"/>
      <c r="C200" s="26"/>
      <c r="D200" s="53"/>
      <c r="E200" s="54"/>
      <c r="F200" s="55"/>
      <c r="G200" s="54"/>
      <c r="H200" s="2"/>
      <c r="I200" s="39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customFormat="false" ht="15.75" hidden="false" customHeight="true" outlineLevel="0" collapsed="false">
      <c r="A201" s="51"/>
      <c r="B201" s="52"/>
      <c r="C201" s="26"/>
      <c r="D201" s="53"/>
      <c r="E201" s="54"/>
      <c r="F201" s="55"/>
      <c r="G201" s="54"/>
      <c r="H201" s="2"/>
      <c r="I201" s="39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customFormat="false" ht="15.75" hidden="false" customHeight="true" outlineLevel="0" collapsed="false">
      <c r="A202" s="51"/>
      <c r="B202" s="52"/>
      <c r="C202" s="26"/>
      <c r="D202" s="53"/>
      <c r="E202" s="54"/>
      <c r="F202" s="55"/>
      <c r="G202" s="54"/>
      <c r="H202" s="2"/>
      <c r="I202" s="39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customFormat="false" ht="15.75" hidden="false" customHeight="true" outlineLevel="0" collapsed="false">
      <c r="A203" s="51"/>
      <c r="B203" s="52"/>
      <c r="C203" s="26"/>
      <c r="D203" s="53"/>
      <c r="E203" s="54"/>
      <c r="F203" s="55"/>
      <c r="G203" s="54"/>
      <c r="H203" s="2"/>
      <c r="I203" s="39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customFormat="false" ht="15.75" hidden="false" customHeight="true" outlineLevel="0" collapsed="false">
      <c r="A204" s="51"/>
      <c r="B204" s="52"/>
      <c r="C204" s="26"/>
      <c r="D204" s="53"/>
      <c r="E204" s="54"/>
      <c r="F204" s="55"/>
      <c r="G204" s="54"/>
      <c r="H204" s="2"/>
      <c r="I204" s="39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customFormat="false" ht="15.75" hidden="false" customHeight="true" outlineLevel="0" collapsed="false">
      <c r="A205" s="51"/>
      <c r="B205" s="52"/>
      <c r="C205" s="26"/>
      <c r="D205" s="53"/>
      <c r="E205" s="54"/>
      <c r="F205" s="55"/>
      <c r="G205" s="54"/>
      <c r="H205" s="2"/>
      <c r="I205" s="39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customFormat="false" ht="15.75" hidden="false" customHeight="true" outlineLevel="0" collapsed="false">
      <c r="A206" s="51"/>
      <c r="B206" s="52"/>
      <c r="C206" s="26"/>
      <c r="D206" s="53"/>
      <c r="E206" s="54"/>
      <c r="F206" s="55"/>
      <c r="G206" s="54"/>
      <c r="H206" s="2"/>
      <c r="I206" s="39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customFormat="false" ht="15.75" hidden="false" customHeight="true" outlineLevel="0" collapsed="false">
      <c r="A207" s="51"/>
      <c r="B207" s="52"/>
      <c r="C207" s="26"/>
      <c r="D207" s="53"/>
      <c r="E207" s="54"/>
      <c r="F207" s="55"/>
      <c r="G207" s="54"/>
      <c r="H207" s="2"/>
      <c r="I207" s="39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customFormat="false" ht="15.75" hidden="false" customHeight="true" outlineLevel="0" collapsed="false">
      <c r="A208" s="51"/>
      <c r="B208" s="52"/>
      <c r="C208" s="26"/>
      <c r="D208" s="53"/>
      <c r="E208" s="54"/>
      <c r="F208" s="55"/>
      <c r="G208" s="54"/>
      <c r="H208" s="2"/>
      <c r="I208" s="39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customFormat="false" ht="15.75" hidden="false" customHeight="true" outlineLevel="0" collapsed="false">
      <c r="A209" s="51"/>
      <c r="B209" s="52"/>
      <c r="C209" s="26"/>
      <c r="D209" s="53"/>
      <c r="E209" s="54"/>
      <c r="F209" s="55"/>
      <c r="G209" s="54"/>
      <c r="H209" s="2"/>
      <c r="I209" s="39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customFormat="false" ht="15.75" hidden="false" customHeight="true" outlineLevel="0" collapsed="false">
      <c r="A210" s="51"/>
      <c r="B210" s="52"/>
      <c r="C210" s="26"/>
      <c r="D210" s="53"/>
      <c r="E210" s="54"/>
      <c r="F210" s="55"/>
      <c r="G210" s="54"/>
      <c r="H210" s="2"/>
      <c r="I210" s="39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customFormat="false" ht="15.75" hidden="false" customHeight="true" outlineLevel="0" collapsed="false">
      <c r="A211" s="51"/>
      <c r="B211" s="52"/>
      <c r="C211" s="26"/>
      <c r="D211" s="53"/>
      <c r="E211" s="54"/>
      <c r="F211" s="55"/>
      <c r="G211" s="54"/>
      <c r="H211" s="2"/>
      <c r="I211" s="39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customFormat="false" ht="15.75" hidden="false" customHeight="true" outlineLevel="0" collapsed="false">
      <c r="A212" s="51"/>
      <c r="B212" s="52"/>
      <c r="C212" s="26"/>
      <c r="D212" s="53"/>
      <c r="E212" s="54"/>
      <c r="F212" s="55"/>
      <c r="G212" s="54"/>
      <c r="H212" s="2"/>
      <c r="I212" s="39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customFormat="false" ht="15.75" hidden="false" customHeight="true" outlineLevel="0" collapsed="false">
      <c r="A213" s="51"/>
      <c r="B213" s="52"/>
      <c r="C213" s="26"/>
      <c r="D213" s="53"/>
      <c r="E213" s="54"/>
      <c r="F213" s="55"/>
      <c r="G213" s="54"/>
      <c r="H213" s="2"/>
      <c r="I213" s="39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customFormat="false" ht="15.75" hidden="false" customHeight="true" outlineLevel="0" collapsed="false">
      <c r="A214" s="51"/>
      <c r="B214" s="52"/>
      <c r="C214" s="26"/>
      <c r="D214" s="53"/>
      <c r="E214" s="54"/>
      <c r="F214" s="55"/>
      <c r="G214" s="54"/>
      <c r="H214" s="2"/>
      <c r="I214" s="39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customFormat="false" ht="15.75" hidden="false" customHeight="true" outlineLevel="0" collapsed="false">
      <c r="A215" s="51"/>
      <c r="B215" s="52"/>
      <c r="C215" s="26"/>
      <c r="D215" s="53"/>
      <c r="E215" s="54"/>
      <c r="F215" s="55"/>
      <c r="G215" s="54"/>
      <c r="H215" s="2"/>
      <c r="I215" s="39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customFormat="false" ht="15.75" hidden="false" customHeight="true" outlineLevel="0" collapsed="false">
      <c r="A216" s="51"/>
      <c r="B216" s="52"/>
      <c r="C216" s="26"/>
      <c r="D216" s="53"/>
      <c r="E216" s="54"/>
      <c r="F216" s="55"/>
      <c r="G216" s="54"/>
      <c r="H216" s="2"/>
      <c r="I216" s="39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customFormat="false" ht="15.75" hidden="false" customHeight="true" outlineLevel="0" collapsed="false">
      <c r="A217" s="51"/>
      <c r="B217" s="52"/>
      <c r="C217" s="26"/>
      <c r="D217" s="53"/>
      <c r="E217" s="54"/>
      <c r="F217" s="55"/>
      <c r="G217" s="54"/>
      <c r="H217" s="2"/>
      <c r="I217" s="39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customFormat="false" ht="15.75" hidden="false" customHeight="true" outlineLevel="0" collapsed="false">
      <c r="A218" s="51"/>
      <c r="B218" s="52"/>
      <c r="C218" s="26"/>
      <c r="D218" s="53"/>
      <c r="E218" s="54"/>
      <c r="F218" s="55"/>
      <c r="G218" s="54"/>
      <c r="H218" s="2"/>
      <c r="I218" s="39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customFormat="false" ht="15.75" hidden="false" customHeight="true" outlineLevel="0" collapsed="false">
      <c r="A219" s="51"/>
      <c r="B219" s="52"/>
      <c r="C219" s="26"/>
      <c r="D219" s="53"/>
      <c r="E219" s="54"/>
      <c r="F219" s="55"/>
      <c r="G219" s="54"/>
      <c r="H219" s="2"/>
      <c r="I219" s="39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customFormat="false" ht="15.75" hidden="false" customHeight="true" outlineLevel="0" collapsed="false">
      <c r="A220" s="51"/>
      <c r="B220" s="52"/>
      <c r="C220" s="26"/>
      <c r="D220" s="53"/>
      <c r="E220" s="54"/>
      <c r="F220" s="55"/>
      <c r="G220" s="54"/>
      <c r="H220" s="2"/>
      <c r="I220" s="39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customFormat="false" ht="15.75" hidden="false" customHeight="true" outlineLevel="0" collapsed="false">
      <c r="A221" s="51"/>
      <c r="B221" s="52"/>
      <c r="C221" s="26"/>
      <c r="D221" s="53"/>
      <c r="E221" s="54"/>
      <c r="F221" s="55"/>
      <c r="G221" s="54"/>
      <c r="H221" s="2"/>
      <c r="I221" s="39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customFormat="false" ht="15.75" hidden="false" customHeight="true" outlineLevel="0" collapsed="false">
      <c r="A222" s="51"/>
      <c r="B222" s="52"/>
      <c r="C222" s="26"/>
      <c r="D222" s="53"/>
      <c r="E222" s="54"/>
      <c r="F222" s="55"/>
      <c r="G222" s="54"/>
      <c r="H222" s="2"/>
      <c r="I222" s="39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customFormat="false" ht="15.75" hidden="false" customHeight="true" outlineLevel="0" collapsed="false">
      <c r="A223" s="51"/>
      <c r="B223" s="52"/>
      <c r="C223" s="26"/>
      <c r="D223" s="53"/>
      <c r="E223" s="54"/>
      <c r="F223" s="55"/>
      <c r="G223" s="54"/>
      <c r="H223" s="2"/>
      <c r="I223" s="39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customFormat="false" ht="15.75" hidden="false" customHeight="true" outlineLevel="0" collapsed="false">
      <c r="A224" s="51"/>
      <c r="B224" s="52"/>
      <c r="C224" s="26"/>
      <c r="D224" s="53"/>
      <c r="E224" s="54"/>
      <c r="F224" s="55"/>
      <c r="G224" s="54"/>
      <c r="H224" s="2"/>
      <c r="I224" s="39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customFormat="false" ht="15.75" hidden="false" customHeight="true" outlineLevel="0" collapsed="false">
      <c r="A225" s="51"/>
      <c r="B225" s="52"/>
      <c r="C225" s="26"/>
      <c r="D225" s="53"/>
      <c r="E225" s="54"/>
      <c r="F225" s="55"/>
      <c r="G225" s="54"/>
      <c r="H225" s="2"/>
      <c r="I225" s="39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customFormat="false" ht="15.75" hidden="false" customHeight="true" outlineLevel="0" collapsed="false">
      <c r="A226" s="51"/>
      <c r="B226" s="52"/>
      <c r="C226" s="26"/>
      <c r="D226" s="53"/>
      <c r="E226" s="54"/>
      <c r="F226" s="55"/>
      <c r="G226" s="54"/>
      <c r="H226" s="2"/>
      <c r="I226" s="39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customFormat="false" ht="15.75" hidden="false" customHeight="true" outlineLevel="0" collapsed="false">
      <c r="A227" s="51"/>
      <c r="B227" s="52"/>
      <c r="C227" s="26"/>
      <c r="D227" s="53"/>
      <c r="E227" s="54"/>
      <c r="F227" s="55"/>
      <c r="G227" s="54"/>
      <c r="H227" s="2"/>
      <c r="I227" s="39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customFormat="false" ht="15.75" hidden="false" customHeight="true" outlineLevel="0" collapsed="false">
      <c r="A228" s="51"/>
      <c r="B228" s="52"/>
      <c r="C228" s="26"/>
      <c r="D228" s="53"/>
      <c r="E228" s="54"/>
      <c r="F228" s="55"/>
      <c r="G228" s="54"/>
      <c r="H228" s="2"/>
      <c r="I228" s="39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customFormat="false" ht="15.75" hidden="false" customHeight="true" outlineLevel="0" collapsed="false">
      <c r="A229" s="51"/>
      <c r="B229" s="52"/>
      <c r="C229" s="26"/>
      <c r="D229" s="53"/>
      <c r="E229" s="54"/>
      <c r="F229" s="55"/>
      <c r="G229" s="54"/>
      <c r="H229" s="2"/>
      <c r="I229" s="39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customFormat="false" ht="15.75" hidden="false" customHeight="true" outlineLevel="0" collapsed="false">
      <c r="A230" s="51"/>
      <c r="B230" s="52"/>
      <c r="C230" s="26"/>
      <c r="D230" s="53"/>
      <c r="E230" s="54"/>
      <c r="F230" s="55"/>
      <c r="G230" s="54"/>
      <c r="H230" s="2"/>
      <c r="I230" s="39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customFormat="false" ht="15.75" hidden="false" customHeight="true" outlineLevel="0" collapsed="false">
      <c r="A231" s="51"/>
      <c r="B231" s="52"/>
      <c r="C231" s="26"/>
      <c r="D231" s="53"/>
      <c r="E231" s="54"/>
      <c r="F231" s="55"/>
      <c r="G231" s="54"/>
      <c r="H231" s="2"/>
      <c r="I231" s="39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customFormat="false" ht="15.75" hidden="false" customHeight="true" outlineLevel="0" collapsed="false">
      <c r="A232" s="51"/>
      <c r="B232" s="52"/>
      <c r="C232" s="26"/>
      <c r="D232" s="53"/>
      <c r="E232" s="54"/>
      <c r="F232" s="55"/>
      <c r="G232" s="54"/>
      <c r="H232" s="2"/>
      <c r="I232" s="39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customFormat="false" ht="15.75" hidden="false" customHeight="true" outlineLevel="0" collapsed="false">
      <c r="A233" s="51"/>
      <c r="B233" s="52"/>
      <c r="C233" s="26"/>
      <c r="D233" s="53"/>
      <c r="E233" s="54"/>
      <c r="F233" s="55"/>
      <c r="G233" s="54"/>
      <c r="H233" s="2"/>
      <c r="I233" s="39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customFormat="false" ht="15.75" hidden="false" customHeight="true" outlineLevel="0" collapsed="false">
      <c r="A234" s="51"/>
      <c r="B234" s="52"/>
      <c r="C234" s="26"/>
      <c r="D234" s="53"/>
      <c r="E234" s="54"/>
      <c r="F234" s="55"/>
      <c r="G234" s="54"/>
      <c r="H234" s="2"/>
      <c r="I234" s="39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customFormat="false" ht="15.75" hidden="false" customHeight="true" outlineLevel="0" collapsed="false">
      <c r="A235" s="51"/>
      <c r="B235" s="52"/>
      <c r="C235" s="26"/>
      <c r="D235" s="53"/>
      <c r="E235" s="54"/>
      <c r="F235" s="55"/>
      <c r="G235" s="54"/>
      <c r="H235" s="2"/>
      <c r="I235" s="39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customFormat="false" ht="15.75" hidden="false" customHeight="true" outlineLevel="0" collapsed="false">
      <c r="A236" s="51"/>
      <c r="B236" s="52"/>
      <c r="C236" s="26"/>
      <c r="D236" s="53"/>
      <c r="E236" s="54"/>
      <c r="F236" s="55"/>
      <c r="G236" s="54"/>
      <c r="H236" s="2"/>
      <c r="I236" s="39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customFormat="false" ht="15.75" hidden="false" customHeight="true" outlineLevel="0" collapsed="false">
      <c r="A237" s="51"/>
      <c r="B237" s="52"/>
      <c r="C237" s="26"/>
      <c r="D237" s="53"/>
      <c r="E237" s="54"/>
      <c r="F237" s="55"/>
      <c r="G237" s="54"/>
      <c r="H237" s="2"/>
      <c r="I237" s="39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customFormat="false" ht="15.75" hidden="false" customHeight="true" outlineLevel="0" collapsed="false">
      <c r="A238" s="51"/>
      <c r="B238" s="52"/>
      <c r="C238" s="26"/>
      <c r="D238" s="53"/>
      <c r="E238" s="54"/>
      <c r="F238" s="55"/>
      <c r="G238" s="54"/>
      <c r="H238" s="2"/>
      <c r="I238" s="39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customFormat="false" ht="15.75" hidden="false" customHeight="true" outlineLevel="0" collapsed="false">
      <c r="A239" s="51"/>
      <c r="B239" s="52"/>
      <c r="C239" s="26"/>
      <c r="D239" s="53"/>
      <c r="E239" s="54"/>
      <c r="F239" s="55"/>
      <c r="G239" s="54"/>
      <c r="H239" s="2"/>
      <c r="I239" s="39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customFormat="false" ht="15.75" hidden="false" customHeight="true" outlineLevel="0" collapsed="false">
      <c r="A240" s="51"/>
      <c r="B240" s="52"/>
      <c r="C240" s="26"/>
      <c r="D240" s="53"/>
      <c r="E240" s="54"/>
      <c r="F240" s="55"/>
      <c r="G240" s="54"/>
      <c r="H240" s="2"/>
      <c r="I240" s="39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customFormat="false" ht="15.75" hidden="false" customHeight="true" outlineLevel="0" collapsed="false">
      <c r="A241" s="51"/>
      <c r="B241" s="52"/>
      <c r="C241" s="26"/>
      <c r="D241" s="53"/>
      <c r="E241" s="54"/>
      <c r="F241" s="55"/>
      <c r="G241" s="54"/>
      <c r="H241" s="2"/>
      <c r="I241" s="39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customFormat="false" ht="15.75" hidden="false" customHeight="true" outlineLevel="0" collapsed="false">
      <c r="A242" s="51"/>
      <c r="B242" s="52"/>
      <c r="C242" s="26"/>
      <c r="D242" s="53"/>
      <c r="E242" s="54"/>
      <c r="F242" s="55"/>
      <c r="G242" s="54"/>
      <c r="H242" s="2"/>
      <c r="I242" s="39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customFormat="false" ht="15.75" hidden="false" customHeight="true" outlineLevel="0" collapsed="false">
      <c r="A243" s="51"/>
      <c r="B243" s="52"/>
      <c r="C243" s="26"/>
      <c r="D243" s="53"/>
      <c r="E243" s="54"/>
      <c r="F243" s="55"/>
      <c r="G243" s="54"/>
      <c r="H243" s="2"/>
      <c r="I243" s="39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customFormat="false" ht="15.75" hidden="false" customHeight="true" outlineLevel="0" collapsed="false">
      <c r="A244" s="51"/>
      <c r="B244" s="52"/>
      <c r="C244" s="26"/>
      <c r="D244" s="53"/>
      <c r="E244" s="54"/>
      <c r="F244" s="55"/>
      <c r="G244" s="54"/>
      <c r="H244" s="2"/>
      <c r="I244" s="39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customFormat="false" ht="15.75" hidden="false" customHeight="true" outlineLevel="0" collapsed="false">
      <c r="A245" s="51"/>
      <c r="B245" s="52"/>
      <c r="C245" s="26"/>
      <c r="D245" s="53"/>
      <c r="E245" s="54"/>
      <c r="F245" s="55"/>
      <c r="G245" s="54"/>
      <c r="H245" s="2"/>
      <c r="I245" s="39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customFormat="false" ht="15.75" hidden="false" customHeight="true" outlineLevel="0" collapsed="false">
      <c r="A246" s="51"/>
      <c r="B246" s="52"/>
      <c r="C246" s="26"/>
      <c r="D246" s="53"/>
      <c r="E246" s="54"/>
      <c r="F246" s="55"/>
      <c r="G246" s="54"/>
      <c r="H246" s="2"/>
      <c r="I246" s="39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customFormat="false" ht="15.75" hidden="false" customHeight="true" outlineLevel="0" collapsed="false">
      <c r="A247" s="51"/>
      <c r="B247" s="52"/>
      <c r="C247" s="26"/>
      <c r="D247" s="53"/>
      <c r="E247" s="54"/>
      <c r="F247" s="55"/>
      <c r="G247" s="54"/>
      <c r="H247" s="2"/>
      <c r="I247" s="39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customFormat="false" ht="15.75" hidden="false" customHeight="true" outlineLevel="0" collapsed="false">
      <c r="A248" s="51"/>
      <c r="B248" s="52"/>
      <c r="C248" s="26"/>
      <c r="D248" s="53"/>
      <c r="E248" s="54"/>
      <c r="F248" s="55"/>
      <c r="G248" s="54"/>
      <c r="H248" s="2"/>
      <c r="I248" s="39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customFormat="false" ht="15.75" hidden="false" customHeight="true" outlineLevel="0" collapsed="false">
      <c r="A249" s="51"/>
      <c r="B249" s="52"/>
      <c r="C249" s="26"/>
      <c r="D249" s="53"/>
      <c r="E249" s="54"/>
      <c r="F249" s="55"/>
      <c r="G249" s="54"/>
      <c r="H249" s="2"/>
      <c r="I249" s="39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customFormat="false" ht="15.75" hidden="false" customHeight="true" outlineLevel="0" collapsed="false">
      <c r="A250" s="51"/>
      <c r="B250" s="52"/>
      <c r="C250" s="26"/>
      <c r="D250" s="53"/>
      <c r="E250" s="54"/>
      <c r="F250" s="55"/>
      <c r="G250" s="54"/>
      <c r="H250" s="2"/>
      <c r="I250" s="39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customFormat="false" ht="15.75" hidden="false" customHeight="true" outlineLevel="0" collapsed="false">
      <c r="A251" s="51"/>
      <c r="B251" s="52"/>
      <c r="C251" s="26"/>
      <c r="D251" s="53"/>
      <c r="E251" s="54"/>
      <c r="F251" s="55"/>
      <c r="G251" s="54"/>
      <c r="H251" s="2"/>
      <c r="I251" s="39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customFormat="false" ht="15.75" hidden="false" customHeight="true" outlineLevel="0" collapsed="false">
      <c r="A252" s="51"/>
      <c r="B252" s="52"/>
      <c r="C252" s="26"/>
      <c r="D252" s="53"/>
      <c r="E252" s="54"/>
      <c r="F252" s="55"/>
      <c r="G252" s="54"/>
      <c r="H252" s="2"/>
      <c r="I252" s="39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customFormat="false" ht="15.75" hidden="false" customHeight="true" outlineLevel="0" collapsed="false">
      <c r="A253" s="51"/>
      <c r="B253" s="52"/>
      <c r="C253" s="26"/>
      <c r="D253" s="53"/>
      <c r="E253" s="54"/>
      <c r="F253" s="55"/>
      <c r="G253" s="54"/>
      <c r="H253" s="2"/>
      <c r="I253" s="39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customFormat="false" ht="15.75" hidden="false" customHeight="true" outlineLevel="0" collapsed="false">
      <c r="A254" s="51"/>
      <c r="B254" s="52"/>
      <c r="C254" s="26"/>
      <c r="D254" s="53"/>
      <c r="E254" s="54"/>
      <c r="F254" s="55"/>
      <c r="G254" s="54"/>
      <c r="H254" s="2"/>
      <c r="I254" s="39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customFormat="false" ht="15.75" hidden="false" customHeight="true" outlineLevel="0" collapsed="false">
      <c r="A255" s="51"/>
      <c r="B255" s="52"/>
      <c r="C255" s="26"/>
      <c r="D255" s="53"/>
      <c r="E255" s="54"/>
      <c r="F255" s="55"/>
      <c r="G255" s="54"/>
      <c r="H255" s="2"/>
      <c r="I255" s="39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customFormat="false" ht="15.75" hidden="false" customHeight="true" outlineLevel="0" collapsed="false">
      <c r="A256" s="51"/>
      <c r="B256" s="52"/>
      <c r="C256" s="26"/>
      <c r="D256" s="53"/>
      <c r="E256" s="54"/>
      <c r="F256" s="55"/>
      <c r="G256" s="54"/>
      <c r="H256" s="2"/>
      <c r="I256" s="39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customFormat="false" ht="15.75" hidden="false" customHeight="true" outlineLevel="0" collapsed="false">
      <c r="A257" s="51"/>
      <c r="B257" s="52"/>
      <c r="C257" s="26"/>
      <c r="D257" s="53"/>
      <c r="E257" s="54"/>
      <c r="F257" s="55"/>
      <c r="G257" s="54"/>
      <c r="H257" s="2"/>
      <c r="I257" s="39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customFormat="false" ht="15.75" hidden="false" customHeight="true" outlineLevel="0" collapsed="false">
      <c r="A258" s="51"/>
      <c r="B258" s="52"/>
      <c r="C258" s="26"/>
      <c r="D258" s="53"/>
      <c r="E258" s="54"/>
      <c r="F258" s="55"/>
      <c r="G258" s="54"/>
      <c r="H258" s="2"/>
      <c r="I258" s="39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customFormat="false" ht="15.75" hidden="false" customHeight="true" outlineLevel="0" collapsed="false">
      <c r="A259" s="51"/>
      <c r="B259" s="52"/>
      <c r="C259" s="26"/>
      <c r="D259" s="53"/>
      <c r="E259" s="54"/>
      <c r="F259" s="55"/>
      <c r="G259" s="54"/>
      <c r="H259" s="2"/>
      <c r="I259" s="39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customFormat="false" ht="15.75" hidden="false" customHeight="true" outlineLevel="0" collapsed="false">
      <c r="A260" s="51"/>
      <c r="B260" s="52"/>
      <c r="C260" s="26"/>
      <c r="D260" s="53"/>
      <c r="E260" s="54"/>
      <c r="F260" s="55"/>
      <c r="G260" s="54"/>
      <c r="H260" s="2"/>
      <c r="I260" s="39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customFormat="false" ht="15.75" hidden="false" customHeight="true" outlineLevel="0" collapsed="false">
      <c r="A261" s="51"/>
      <c r="B261" s="52"/>
      <c r="C261" s="26"/>
      <c r="D261" s="53"/>
      <c r="E261" s="54"/>
      <c r="F261" s="55"/>
      <c r="G261" s="54"/>
      <c r="H261" s="2"/>
      <c r="I261" s="39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customFormat="false" ht="15.75" hidden="false" customHeight="true" outlineLevel="0" collapsed="false">
      <c r="A262" s="51"/>
      <c r="B262" s="52"/>
      <c r="C262" s="26"/>
      <c r="D262" s="53"/>
      <c r="E262" s="54"/>
      <c r="F262" s="55"/>
      <c r="G262" s="54"/>
      <c r="H262" s="2"/>
      <c r="I262" s="39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customFormat="false" ht="15.75" hidden="false" customHeight="true" outlineLevel="0" collapsed="false">
      <c r="A263" s="51"/>
      <c r="B263" s="52"/>
      <c r="C263" s="26"/>
      <c r="D263" s="53"/>
      <c r="E263" s="54"/>
      <c r="F263" s="55"/>
      <c r="G263" s="54"/>
      <c r="H263" s="2"/>
      <c r="I263" s="39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customFormat="false" ht="15.75" hidden="false" customHeight="true" outlineLevel="0" collapsed="false">
      <c r="A264" s="51"/>
      <c r="B264" s="52"/>
      <c r="C264" s="26"/>
      <c r="D264" s="53"/>
      <c r="E264" s="54"/>
      <c r="F264" s="55"/>
      <c r="G264" s="54"/>
      <c r="H264" s="2"/>
      <c r="I264" s="39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customFormat="false" ht="15.75" hidden="false" customHeight="true" outlineLevel="0" collapsed="false">
      <c r="A265" s="51"/>
      <c r="B265" s="52"/>
      <c r="C265" s="26"/>
      <c r="D265" s="53"/>
      <c r="E265" s="54"/>
      <c r="F265" s="55"/>
      <c r="G265" s="54"/>
      <c r="H265" s="2"/>
      <c r="I265" s="39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customFormat="false" ht="15.75" hidden="false" customHeight="true" outlineLevel="0" collapsed="false">
      <c r="A266" s="51"/>
      <c r="B266" s="52"/>
      <c r="C266" s="26"/>
      <c r="D266" s="53"/>
      <c r="E266" s="54"/>
      <c r="F266" s="55"/>
      <c r="G266" s="54"/>
      <c r="H266" s="2"/>
      <c r="I266" s="39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customFormat="false" ht="15.75" hidden="false" customHeight="true" outlineLevel="0" collapsed="false">
      <c r="A267" s="51"/>
      <c r="B267" s="52"/>
      <c r="C267" s="26"/>
      <c r="D267" s="53"/>
      <c r="E267" s="54"/>
      <c r="F267" s="55"/>
      <c r="G267" s="54"/>
      <c r="H267" s="2"/>
      <c r="I267" s="39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customFormat="false" ht="15.75" hidden="false" customHeight="true" outlineLevel="0" collapsed="false">
      <c r="A268" s="51"/>
      <c r="B268" s="52"/>
      <c r="C268" s="26"/>
      <c r="D268" s="53"/>
      <c r="E268" s="54"/>
      <c r="F268" s="55"/>
      <c r="G268" s="54"/>
      <c r="H268" s="2"/>
      <c r="I268" s="39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customFormat="false" ht="15.75" hidden="false" customHeight="true" outlineLevel="0" collapsed="false">
      <c r="A269" s="51"/>
      <c r="B269" s="52"/>
      <c r="C269" s="26"/>
      <c r="D269" s="53"/>
      <c r="E269" s="54"/>
      <c r="F269" s="55"/>
      <c r="G269" s="54"/>
      <c r="H269" s="2"/>
      <c r="I269" s="39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customFormat="false" ht="15.75" hidden="false" customHeight="true" outlineLevel="0" collapsed="false">
      <c r="A270" s="51"/>
      <c r="B270" s="52"/>
      <c r="C270" s="26"/>
      <c r="D270" s="53"/>
      <c r="E270" s="54"/>
      <c r="F270" s="55"/>
      <c r="G270" s="54"/>
      <c r="H270" s="2"/>
      <c r="I270" s="39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customFormat="false" ht="15.75" hidden="false" customHeight="true" outlineLevel="0" collapsed="false">
      <c r="A271" s="51"/>
      <c r="B271" s="52"/>
      <c r="C271" s="26"/>
      <c r="D271" s="53"/>
      <c r="E271" s="54"/>
      <c r="F271" s="55"/>
      <c r="G271" s="54"/>
      <c r="H271" s="2"/>
      <c r="I271" s="39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customFormat="false" ht="15.75" hidden="false" customHeight="true" outlineLevel="0" collapsed="false">
      <c r="A272" s="51"/>
      <c r="B272" s="52"/>
      <c r="C272" s="26"/>
      <c r="D272" s="53"/>
      <c r="E272" s="54"/>
      <c r="F272" s="55"/>
      <c r="G272" s="54"/>
      <c r="H272" s="2"/>
      <c r="I272" s="39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customFormat="false" ht="15.75" hidden="false" customHeight="true" outlineLevel="0" collapsed="false">
      <c r="A273" s="51"/>
      <c r="B273" s="52"/>
      <c r="C273" s="26"/>
      <c r="D273" s="53"/>
      <c r="E273" s="54"/>
      <c r="F273" s="55"/>
      <c r="G273" s="54"/>
      <c r="H273" s="2"/>
      <c r="I273" s="39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customFormat="false" ht="15.75" hidden="false" customHeight="true" outlineLevel="0" collapsed="false">
      <c r="A274" s="51"/>
      <c r="B274" s="52"/>
      <c r="C274" s="26"/>
      <c r="D274" s="53"/>
      <c r="E274" s="54"/>
      <c r="F274" s="55"/>
      <c r="G274" s="54"/>
      <c r="H274" s="2"/>
      <c r="I274" s="39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customFormat="false" ht="15.75" hidden="false" customHeight="true" outlineLevel="0" collapsed="false">
      <c r="A275" s="51"/>
      <c r="B275" s="52"/>
      <c r="C275" s="26"/>
      <c r="D275" s="53"/>
      <c r="E275" s="54"/>
      <c r="F275" s="55"/>
      <c r="G275" s="54"/>
      <c r="H275" s="2"/>
      <c r="I275" s="39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customFormat="false" ht="15.75" hidden="false" customHeight="true" outlineLevel="0" collapsed="false">
      <c r="A276" s="51"/>
      <c r="B276" s="52"/>
      <c r="C276" s="26"/>
      <c r="D276" s="53"/>
      <c r="E276" s="54"/>
      <c r="F276" s="55"/>
      <c r="G276" s="54"/>
      <c r="H276" s="2"/>
      <c r="I276" s="39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customFormat="false" ht="15.75" hidden="false" customHeight="true" outlineLevel="0" collapsed="false">
      <c r="A277" s="51"/>
      <c r="B277" s="52"/>
      <c r="C277" s="26"/>
      <c r="D277" s="53"/>
      <c r="E277" s="54"/>
      <c r="F277" s="55"/>
      <c r="G277" s="54"/>
      <c r="H277" s="2"/>
      <c r="I277" s="39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customFormat="false" ht="15.75" hidden="false" customHeight="true" outlineLevel="0" collapsed="false">
      <c r="A278" s="51"/>
      <c r="B278" s="52"/>
      <c r="C278" s="26"/>
      <c r="D278" s="53"/>
      <c r="E278" s="54"/>
      <c r="F278" s="55"/>
      <c r="G278" s="54"/>
      <c r="H278" s="2"/>
      <c r="I278" s="39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customFormat="false" ht="15.75" hidden="false" customHeight="true" outlineLevel="0" collapsed="false">
      <c r="A279" s="51"/>
      <c r="B279" s="52"/>
      <c r="C279" s="26"/>
      <c r="D279" s="53"/>
      <c r="E279" s="54"/>
      <c r="F279" s="55"/>
      <c r="G279" s="54"/>
      <c r="H279" s="2"/>
      <c r="I279" s="39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customFormat="false" ht="15.75" hidden="false" customHeight="true" outlineLevel="0" collapsed="false">
      <c r="A280" s="51"/>
      <c r="B280" s="52"/>
      <c r="C280" s="26"/>
      <c r="D280" s="53"/>
      <c r="E280" s="54"/>
      <c r="F280" s="55"/>
      <c r="G280" s="54"/>
      <c r="H280" s="2"/>
      <c r="I280" s="39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customFormat="false" ht="15.75" hidden="false" customHeight="true" outlineLevel="0" collapsed="false">
      <c r="A281" s="51"/>
      <c r="B281" s="52"/>
      <c r="C281" s="26"/>
      <c r="D281" s="53"/>
      <c r="E281" s="54"/>
      <c r="F281" s="55"/>
      <c r="G281" s="54"/>
      <c r="H281" s="2"/>
      <c r="I281" s="39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customFormat="false" ht="15.75" hidden="false" customHeight="true" outlineLevel="0" collapsed="false">
      <c r="A282" s="51"/>
      <c r="B282" s="52"/>
      <c r="C282" s="26"/>
      <c r="D282" s="53"/>
      <c r="E282" s="54"/>
      <c r="F282" s="55"/>
      <c r="G282" s="54"/>
      <c r="H282" s="2"/>
      <c r="I282" s="39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customFormat="false" ht="15.75" hidden="false" customHeight="true" outlineLevel="0" collapsed="false">
      <c r="A283" s="51"/>
      <c r="B283" s="52"/>
      <c r="C283" s="26"/>
      <c r="D283" s="53"/>
      <c r="E283" s="54"/>
      <c r="F283" s="55"/>
      <c r="G283" s="54"/>
      <c r="H283" s="2"/>
      <c r="I283" s="39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customFormat="false" ht="15.75" hidden="false" customHeight="true" outlineLevel="0" collapsed="false">
      <c r="A284" s="51"/>
      <c r="B284" s="52"/>
      <c r="C284" s="26"/>
      <c r="D284" s="53"/>
      <c r="E284" s="54"/>
      <c r="F284" s="55"/>
      <c r="G284" s="54"/>
      <c r="H284" s="2"/>
      <c r="I284" s="39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customFormat="false" ht="15.75" hidden="false" customHeight="true" outlineLevel="0" collapsed="false">
      <c r="A285" s="51"/>
      <c r="B285" s="52"/>
      <c r="C285" s="26"/>
      <c r="D285" s="53"/>
      <c r="E285" s="54"/>
      <c r="F285" s="55"/>
      <c r="G285" s="54"/>
      <c r="H285" s="2"/>
      <c r="I285" s="39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customFormat="false" ht="15.75" hidden="false" customHeight="true" outlineLevel="0" collapsed="false">
      <c r="A286" s="51"/>
      <c r="B286" s="52"/>
      <c r="C286" s="26"/>
      <c r="D286" s="53"/>
      <c r="E286" s="54"/>
      <c r="F286" s="55"/>
      <c r="G286" s="54"/>
      <c r="H286" s="2"/>
      <c r="I286" s="39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customFormat="false" ht="15.75" hidden="false" customHeight="true" outlineLevel="0" collapsed="false">
      <c r="A287" s="51"/>
      <c r="B287" s="52"/>
      <c r="C287" s="26"/>
      <c r="D287" s="53"/>
      <c r="E287" s="54"/>
      <c r="F287" s="55"/>
      <c r="G287" s="54"/>
      <c r="H287" s="2"/>
      <c r="I287" s="39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customFormat="false" ht="15.75" hidden="false" customHeight="true" outlineLevel="0" collapsed="false">
      <c r="A288" s="51"/>
      <c r="B288" s="52"/>
      <c r="C288" s="26"/>
      <c r="D288" s="53"/>
      <c r="E288" s="54"/>
      <c r="F288" s="55"/>
      <c r="G288" s="54"/>
      <c r="H288" s="2"/>
      <c r="I288" s="39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customFormat="false" ht="15.75" hidden="false" customHeight="true" outlineLevel="0" collapsed="false">
      <c r="A289" s="51"/>
      <c r="B289" s="52"/>
      <c r="C289" s="26"/>
      <c r="D289" s="53"/>
      <c r="E289" s="54"/>
      <c r="F289" s="55"/>
      <c r="G289" s="54"/>
      <c r="H289" s="2"/>
      <c r="I289" s="39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customFormat="false" ht="15.75" hidden="false" customHeight="true" outlineLevel="0" collapsed="false">
      <c r="A290" s="51"/>
      <c r="B290" s="52"/>
      <c r="C290" s="26"/>
      <c r="D290" s="53"/>
      <c r="E290" s="54"/>
      <c r="F290" s="55"/>
      <c r="G290" s="54"/>
      <c r="H290" s="2"/>
      <c r="I290" s="39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customFormat="false" ht="15.75" hidden="false" customHeight="true" outlineLevel="0" collapsed="false">
      <c r="A291" s="51"/>
      <c r="B291" s="52"/>
      <c r="C291" s="26"/>
      <c r="D291" s="53"/>
      <c r="E291" s="54"/>
      <c r="F291" s="55"/>
      <c r="G291" s="54"/>
      <c r="H291" s="2"/>
      <c r="I291" s="39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customFormat="false" ht="15.75" hidden="false" customHeight="true" outlineLevel="0" collapsed="false">
      <c r="A292" s="51"/>
      <c r="B292" s="52"/>
      <c r="C292" s="26"/>
      <c r="D292" s="53"/>
      <c r="E292" s="54"/>
      <c r="F292" s="55"/>
      <c r="G292" s="54"/>
      <c r="H292" s="2"/>
      <c r="I292" s="39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customFormat="false" ht="15.75" hidden="false" customHeight="true" outlineLevel="0" collapsed="false">
      <c r="A293" s="2"/>
      <c r="B293" s="56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56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56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56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56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5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56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56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56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56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56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56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56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56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56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56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56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56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56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5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56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56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56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56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56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56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56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56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56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56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56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56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56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56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56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56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56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56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56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56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56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56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2:G92"/>
  <mergeCells count="1">
    <mergeCell ref="A1:G1"/>
  </mergeCells>
  <conditionalFormatting sqref="C2:C1000">
    <cfRule type="containsText" priority="2" operator="containsText" aboveAverage="0" equalAverage="0" bottom="0" percent="0" rank="0" text="⚡ STUDY NOW" dxfId="17">
      <formula>NOT(ISERROR(SEARCH("⚡ STUDY NOW",C2)))</formula>
    </cfRule>
    <cfRule type="containsText" priority="3" operator="containsText" aboveAverage="0" equalAverage="0" bottom="0" percent="0" rank="0" text="✅ Wait" dxfId="18">
      <formula>NOT(ISERROR(SEARCH("✅ Wait",C2)))</formula>
    </cfRule>
    <cfRule type="containsText" priority="4" operator="containsText" aboveAverage="0" equalAverage="0" bottom="0" percent="0" rank="0" text="⚡ STUDY NOW" dxfId="19">
      <formula>NOT(ISERROR(SEARCH("⚡ STUDY NOW",C2)))</formula>
    </cfRule>
  </conditionalFormatting>
  <conditionalFormatting sqref="A1:A1000">
    <cfRule type="containsText" priority="5" operator="containsText" aboveAverage="0" equalAverage="0" bottom="0" percent="0" rank="0" text="Rhumatologie" dxfId="20">
      <formula>NOT(ISERROR(SEARCH("Rhumatologie",A1)))</formula>
    </cfRule>
    <cfRule type="containsText" priority="6" operator="containsText" aboveAverage="0" equalAverage="0" bottom="0" percent="0" rank="0" text="Immuno" dxfId="21">
      <formula>NOT(ISERROR(SEARCH("Immuno",A1)))</formula>
    </cfRule>
    <cfRule type="containsText" priority="7" operator="containsText" aboveAverage="0" equalAverage="0" bottom="0" percent="0" rank="0" text="Génétique" dxfId="22">
      <formula>NOT(ISERROR(SEARCH("Génétique",A1)))</formula>
    </cfRule>
    <cfRule type="containsText" priority="8" operator="containsText" aboveAverage="0" equalAverage="0" bottom="0" percent="0" rank="0" text="Maladies de système" dxfId="23">
      <formula>NOT(ISERROR(SEARCH("Maladies de système",A1)))</formula>
    </cfRule>
    <cfRule type="containsText" priority="9" operator="containsText" aboveAverage="0" equalAverage="0" bottom="0" percent="0" rank="0" text="Anatomopathologie" dxfId="24">
      <formula>NOT(ISERROR(SEARCH("Anatomopathologie",A1)))</formula>
    </cfRule>
    <cfRule type="containsText" priority="10" operator="containsText" aboveAverage="0" equalAverage="0" bottom="0" percent="0" rank="0" text="MPR" dxfId="25">
      <formula>NOT(ISERROR(SEARCH("MPR",A1)))</formula>
    </cfRule>
    <cfRule type="containsText" priority="11" operator="containsText" aboveAverage="0" equalAverage="0" bottom="0" percent="0" rank="0" text="Rhumatologie" dxfId="26">
      <formula>NOT(ISERROR(SEARCH("Rhumatologie",A1)))</formula>
    </cfRule>
    <cfRule type="containsText" priority="12" operator="containsText" aboveAverage="0" equalAverage="0" bottom="0" percent="0" rank="0" text="Tramatologie" dxfId="27">
      <formula>NOT(ISERROR(SEARCH("Tramatologie",A1)))</formula>
    </cfRule>
  </conditionalFormatting>
  <conditionalFormatting sqref="G3:G1000">
    <cfRule type="expression" priority="13" aboveAverage="0" equalAverage="0" bottom="0" percent="0" rank="0" text="" dxfId="28">
      <formula>OR(AND(G3&lt;=TODAY(), TODAY()-G3&lt;WEEKDAY(TODAY())), AND(TODAY()&lt;G3, G3-TODAY()&lt;WEEKDAY(G3)))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6" min="1" style="0" width="8.71"/>
  </cols>
  <sheetData>
    <row r="1" customFormat="false" ht="14.25" hidden="false" customHeight="true" outlineLevel="0" collapsed="false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2"/>
      <c r="B2" s="2" t="s">
        <v>162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4.25" hidden="false" customHeight="true" outlineLevel="0" collapsed="false">
      <c r="A4" s="2"/>
      <c r="B4" s="2" t="s">
        <v>163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4.25" hidden="false" customHeight="true" outlineLevel="0" collapsed="false">
      <c r="A6" s="2"/>
      <c r="B6" s="2" t="s">
        <v>164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2"/>
      <c r="B8" s="2" t="s">
        <v>165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2"/>
      <c r="B10" s="2" t="s">
        <v>166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2"/>
      <c r="B12" s="2" t="s">
        <v>167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4.2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4.2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4.2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4.2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4.2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4.2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4.2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4.2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4.2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4.2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4.2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4.2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4.2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4.2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4.2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4.2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4.2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4.2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4.2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4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4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4.2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4.2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4.2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4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4.2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4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4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4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4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4.2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4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4.2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4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4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4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4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4.2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4.2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4.2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4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4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4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4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4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4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4.2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4.2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4.2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4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4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4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4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4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4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4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4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4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4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4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4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4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4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4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4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4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4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4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4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4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4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4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4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4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4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4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4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4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4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4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4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4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4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4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4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4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4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4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4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4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4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4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4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4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4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4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4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4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4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4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4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4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4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4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4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4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4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4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4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4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4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4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4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4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4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4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4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4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4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4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4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4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4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4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4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4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4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4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4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4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4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6" min="1" style="0" width="8.71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4.2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4.2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4.2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4.2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4.2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4.2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4.2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4.2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4.2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4.2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4.2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4.2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4.2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4.2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4.2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4.2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4.2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4.2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4.2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4.2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4.2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4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4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4.2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4.2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4.2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4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4.2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4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4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4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4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4.2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4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4.2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4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4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4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4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4.2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4.2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4.2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4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4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4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4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4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4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4.2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4.2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4.2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4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4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4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4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4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4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4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4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4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4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4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4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4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4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4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4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4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4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4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4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4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4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4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4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4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4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4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4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4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4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4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4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4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4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4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4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4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4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4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4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4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4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4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4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4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4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4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4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4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4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4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4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4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4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4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4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4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4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4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4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4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4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4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4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4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4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4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4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4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4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4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4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4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4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4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4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4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4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4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4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4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4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6" min="1" style="0" width="8.71"/>
  </cols>
  <sheetData>
    <row r="1" customFormat="false" ht="14.25" hidden="false" customHeight="true" outlineLevel="0" collapsed="false">
      <c r="A1" s="2" t="s">
        <v>168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57" t="s">
        <v>169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4.25" hidden="false" customHeight="true" outlineLevel="0" collapsed="false">
      <c r="A4" s="58" t="s">
        <v>170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4.25" hidden="false" customHeight="true" outlineLevel="0" collapsed="false">
      <c r="A6" s="59" t="s">
        <v>171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60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61" t="s">
        <v>172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60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61" t="s">
        <v>173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60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61" t="s">
        <v>174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60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62" t="s">
        <v>175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4.2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4.25" hidden="false" customHeight="true" outlineLevel="0" collapsed="false">
      <c r="A16" s="59" t="s">
        <v>176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4.25" hidden="false" customHeight="true" outlineLevel="0" collapsed="false">
      <c r="A17" s="60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4.25" hidden="false" customHeight="true" outlineLevel="0" collapsed="false">
      <c r="A18" s="61" t="s">
        <v>177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4.25" hidden="false" customHeight="true" outlineLevel="0" collapsed="false">
      <c r="A19" s="60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4.25" hidden="false" customHeight="true" outlineLevel="0" collapsed="false">
      <c r="A20" s="63" t="s">
        <v>178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4.25" hidden="false" customHeight="true" outlineLevel="0" collapsed="false">
      <c r="A21" s="60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4.25" hidden="false" customHeight="true" outlineLevel="0" collapsed="false">
      <c r="A22" s="61" t="s">
        <v>179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4.2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4.25" hidden="false" customHeight="true" outlineLevel="0" collapsed="false">
      <c r="A24" s="59" t="s">
        <v>180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4.25" hidden="false" customHeight="true" outlineLevel="0" collapsed="false">
      <c r="A25" s="60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4.25" hidden="false" customHeight="true" outlineLevel="0" collapsed="false">
      <c r="A26" s="63" t="s">
        <v>181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4.25" hidden="false" customHeight="true" outlineLevel="0" collapsed="false">
      <c r="A27" s="60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4.25" hidden="false" customHeight="true" outlineLevel="0" collapsed="false">
      <c r="A28" s="6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4.25" hidden="false" customHeight="true" outlineLevel="0" collapsed="false">
      <c r="A29" s="62" t="s">
        <v>182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4.25" hidden="false" customHeight="true" outlineLevel="0" collapsed="false">
      <c r="A30" s="60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4.25" hidden="false" customHeight="true" outlineLevel="0" collapsed="false">
      <c r="A31" s="63" t="s">
        <v>183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4.25" hidden="false" customHeight="true" outlineLevel="0" collapsed="false">
      <c r="A32" s="6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4.25" hidden="false" customHeight="true" outlineLevel="0" collapsed="false">
      <c r="A33" s="63" t="s">
        <v>184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4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4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4.2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4.25" hidden="false" customHeight="true" outlineLevel="0" collapsed="false">
      <c r="A37" s="57" t="s">
        <v>185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4.2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4.25" hidden="false" customHeight="true" outlineLevel="0" collapsed="false">
      <c r="A39" s="58" t="s">
        <v>186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4.25" hidden="false" customHeight="true" outlineLevel="0" collapsed="false">
      <c r="A41" s="64" t="s">
        <v>187</v>
      </c>
      <c r="B41" s="64" t="s">
        <v>188</v>
      </c>
      <c r="C41" s="64" t="s">
        <v>189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4.25" hidden="false" customHeight="true" outlineLevel="0" collapsed="false">
      <c r="A42" s="65" t="s">
        <v>190</v>
      </c>
      <c r="B42" s="64" t="s">
        <v>191</v>
      </c>
      <c r="C42" s="65" t="s">
        <v>192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4.25" hidden="false" customHeight="true" outlineLevel="0" collapsed="false">
      <c r="A43" s="65" t="s">
        <v>193</v>
      </c>
      <c r="B43" s="64" t="s">
        <v>194</v>
      </c>
      <c r="C43" s="65" t="s">
        <v>195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4.25" hidden="false" customHeight="true" outlineLevel="0" collapsed="false">
      <c r="A44" s="65" t="s">
        <v>196</v>
      </c>
      <c r="B44" s="64" t="s">
        <v>197</v>
      </c>
      <c r="C44" s="65" t="s">
        <v>198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4.25" hidden="false" customHeight="true" outlineLevel="0" collapsed="false">
      <c r="A45" s="63" t="s">
        <v>199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4.25" hidden="false" customHeight="true" outlineLevel="0" collapsed="false">
      <c r="A49" s="57" t="s">
        <v>200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4.25" hidden="false" customHeight="true" outlineLevel="0" collapsed="false">
      <c r="A50" s="6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4.25" hidden="false" customHeight="true" outlineLevel="0" collapsed="false">
      <c r="A51" s="61" t="s">
        <v>201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4.25" hidden="false" customHeight="true" outlineLevel="0" collapsed="false">
      <c r="A52" s="6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4.25" hidden="false" customHeight="true" outlineLevel="0" collapsed="false">
      <c r="A53" s="61" t="s">
        <v>202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4.25" hidden="false" customHeight="true" outlineLevel="0" collapsed="false">
      <c r="A54" s="6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4.25" hidden="false" customHeight="true" outlineLevel="0" collapsed="false">
      <c r="A55" s="61" t="s">
        <v>203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4.25" hidden="false" customHeight="true" outlineLevel="0" collapsed="false">
      <c r="A56" s="6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4.25" hidden="false" customHeight="true" outlineLevel="0" collapsed="false">
      <c r="A57" s="61" t="s">
        <v>204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4.25" hidden="false" customHeight="true" outlineLevel="0" collapsed="false">
      <c r="A58" s="6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4.25" hidden="false" customHeight="true" outlineLevel="0" collapsed="false">
      <c r="A59" s="62" t="s">
        <v>205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4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4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4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4.25" hidden="false" customHeight="true" outlineLevel="0" collapsed="false">
      <c r="A63" s="57" t="s">
        <v>206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4.25" hidden="false" customHeight="true" outlineLevel="0" collapsed="false">
      <c r="A64" s="60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4.25" hidden="false" customHeight="true" outlineLevel="0" collapsed="false">
      <c r="A65" s="63" t="s">
        <v>207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4.25" hidden="false" customHeight="true" outlineLevel="0" collapsed="false">
      <c r="A66" s="60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4.25" hidden="false" customHeight="true" outlineLevel="0" collapsed="false">
      <c r="A67" s="61" t="s">
        <v>208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4.25" hidden="false" customHeight="true" outlineLevel="0" collapsed="false">
      <c r="A68" s="6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4.25" hidden="false" customHeight="true" outlineLevel="0" collapsed="false">
      <c r="A69" s="63" t="s">
        <v>209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4.25" hidden="false" customHeight="true" outlineLevel="0" collapsed="false">
      <c r="A70" s="6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>
      <c r="A71" s="63" t="s">
        <v>210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4.25" hidden="false" customHeight="true" outlineLevel="0" collapsed="false">
      <c r="A72" s="6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4.25" hidden="false" customHeight="true" outlineLevel="0" collapsed="false">
      <c r="A73" s="63" t="s">
        <v>211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4.25" hidden="false" customHeight="true" outlineLevel="0" collapsed="false">
      <c r="A74" s="6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4.25" hidden="false" customHeight="true" outlineLevel="0" collapsed="false">
      <c r="A75" s="61" t="s">
        <v>212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4.25" hidden="false" customHeight="true" outlineLevel="0" collapsed="false">
      <c r="A76" s="26"/>
      <c r="B76" s="2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4.25" hidden="false" customHeight="true" outlineLevel="0" collapsed="false">
      <c r="A77" s="26"/>
      <c r="B77" s="2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4.25" hidden="false" customHeight="true" outlineLevel="0" collapsed="false">
      <c r="A78" s="26"/>
      <c r="B78" s="2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4.25" hidden="false" customHeight="true" outlineLevel="0" collapsed="false">
      <c r="A79" s="26"/>
      <c r="B79" s="2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4.25" hidden="false" customHeight="true" outlineLevel="0" collapsed="false">
      <c r="A80" s="26"/>
      <c r="B80" s="2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4.25" hidden="false" customHeight="true" outlineLevel="0" collapsed="false">
      <c r="A81" s="26"/>
      <c r="B81" s="2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4.25" hidden="false" customHeight="true" outlineLevel="0" collapsed="false">
      <c r="A82" s="26"/>
      <c r="B82" s="2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4.25" hidden="false" customHeight="true" outlineLevel="0" collapsed="false">
      <c r="A83" s="26"/>
      <c r="B83" s="2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4.25" hidden="false" customHeight="true" outlineLevel="0" collapsed="false">
      <c r="A84" s="26"/>
      <c r="B84" s="2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4.25" hidden="false" customHeight="true" outlineLevel="0" collapsed="false">
      <c r="A85" s="26"/>
      <c r="B85" s="2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4.25" hidden="false" customHeight="true" outlineLevel="0" collapsed="false">
      <c r="A86" s="26"/>
      <c r="B86" s="2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4.25" hidden="false" customHeight="true" outlineLevel="0" collapsed="false">
      <c r="A87" s="26"/>
      <c r="B87" s="26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4.25" hidden="false" customHeight="true" outlineLevel="0" collapsed="false">
      <c r="A88" s="26"/>
      <c r="B88" s="2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4.25" hidden="false" customHeight="true" outlineLevel="0" collapsed="false">
      <c r="A89" s="26"/>
      <c r="B89" s="2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4.25" hidden="false" customHeight="true" outlineLevel="0" collapsed="false">
      <c r="A90" s="26"/>
      <c r="B90" s="26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4.25" hidden="false" customHeight="true" outlineLevel="0" collapsed="false">
      <c r="A91" s="26"/>
      <c r="B91" s="2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4.25" hidden="false" customHeight="true" outlineLevel="0" collapsed="false">
      <c r="A92" s="26"/>
      <c r="B92" s="26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4.25" hidden="false" customHeight="true" outlineLevel="0" collapsed="false">
      <c r="A93" s="26"/>
      <c r="B93" s="26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4.25" hidden="false" customHeight="true" outlineLevel="0" collapsed="false">
      <c r="A94" s="26"/>
      <c r="B94" s="2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4.25" hidden="false" customHeight="true" outlineLevel="0" collapsed="false">
      <c r="A95" s="26"/>
      <c r="B95" s="2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4.25" hidden="false" customHeight="true" outlineLevel="0" collapsed="false">
      <c r="A96" s="26"/>
      <c r="B96" s="2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4.25" hidden="false" customHeight="true" outlineLevel="0" collapsed="false">
      <c r="A97" s="26"/>
      <c r="B97" s="2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4.25" hidden="false" customHeight="true" outlineLevel="0" collapsed="false">
      <c r="A98" s="26"/>
      <c r="B98" s="2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4.25" hidden="false" customHeight="true" outlineLevel="0" collapsed="false">
      <c r="A99" s="26"/>
      <c r="B99" s="2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4.25" hidden="false" customHeight="true" outlineLevel="0" collapsed="false">
      <c r="A100" s="26"/>
      <c r="B100" s="2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4.25" hidden="false" customHeight="true" outlineLevel="0" collapsed="false">
      <c r="A101" s="26"/>
      <c r="B101" s="2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4.25" hidden="false" customHeight="true" outlineLevel="0" collapsed="false">
      <c r="A102" s="26"/>
      <c r="B102" s="2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4.25" hidden="false" customHeight="true" outlineLevel="0" collapsed="false">
      <c r="A103" s="26"/>
      <c r="B103" s="26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4.25" hidden="false" customHeight="true" outlineLevel="0" collapsed="false">
      <c r="A104" s="26"/>
      <c r="B104" s="26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4.25" hidden="false" customHeight="true" outlineLevel="0" collapsed="false">
      <c r="A105" s="26"/>
      <c r="B105" s="26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4.25" hidden="false" customHeight="true" outlineLevel="0" collapsed="false">
      <c r="A106" s="26"/>
      <c r="B106" s="2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4.25" hidden="false" customHeight="true" outlineLevel="0" collapsed="false">
      <c r="A107" s="26"/>
      <c r="B107" s="26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4.25" hidden="false" customHeight="true" outlineLevel="0" collapsed="false">
      <c r="A108" s="26"/>
      <c r="B108" s="26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4.25" hidden="false" customHeight="true" outlineLevel="0" collapsed="false">
      <c r="A109" s="26"/>
      <c r="B109" s="26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4.25" hidden="false" customHeight="true" outlineLevel="0" collapsed="false">
      <c r="A110" s="26"/>
      <c r="B110" s="26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4.25" hidden="false" customHeight="true" outlineLevel="0" collapsed="false">
      <c r="A111" s="26"/>
      <c r="B111" s="26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4.25" hidden="false" customHeight="true" outlineLevel="0" collapsed="false">
      <c r="A112" s="26"/>
      <c r="B112" s="2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4.25" hidden="false" customHeight="true" outlineLevel="0" collapsed="false">
      <c r="A113" s="26"/>
      <c r="B113" s="26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4.25" hidden="false" customHeight="true" outlineLevel="0" collapsed="false">
      <c r="A114" s="26"/>
      <c r="B114" s="26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4.25" hidden="false" customHeight="true" outlineLevel="0" collapsed="false">
      <c r="A115" s="26"/>
      <c r="B115" s="26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4.25" hidden="false" customHeight="true" outlineLevel="0" collapsed="false">
      <c r="A116" s="26"/>
      <c r="B116" s="26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4.25" hidden="false" customHeight="true" outlineLevel="0" collapsed="false">
      <c r="A117" s="26"/>
      <c r="B117" s="26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4.25" hidden="false" customHeight="true" outlineLevel="0" collapsed="false">
      <c r="A118" s="26"/>
      <c r="B118" s="2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4.25" hidden="false" customHeight="true" outlineLevel="0" collapsed="false">
      <c r="A119" s="26"/>
      <c r="B119" s="2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4.25" hidden="false" customHeight="true" outlineLevel="0" collapsed="false">
      <c r="A120" s="26"/>
      <c r="B120" s="26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4.25" hidden="false" customHeight="true" outlineLevel="0" collapsed="false">
      <c r="A121" s="26"/>
      <c r="B121" s="26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4.25" hidden="false" customHeight="true" outlineLevel="0" collapsed="false">
      <c r="A122" s="26"/>
      <c r="B122" s="26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4.25" hidden="false" customHeight="true" outlineLevel="0" collapsed="false">
      <c r="A123" s="26"/>
      <c r="B123" s="26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4.25" hidden="false" customHeight="true" outlineLevel="0" collapsed="false">
      <c r="A124" s="26"/>
      <c r="B124" s="2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4.25" hidden="false" customHeight="true" outlineLevel="0" collapsed="false">
      <c r="A125" s="26"/>
      <c r="B125" s="26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4.25" hidden="false" customHeight="true" outlineLevel="0" collapsed="false">
      <c r="A126" s="26"/>
      <c r="B126" s="26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4.25" hidden="false" customHeight="true" outlineLevel="0" collapsed="false">
      <c r="A127" s="26"/>
      <c r="B127" s="26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4.25" hidden="false" customHeight="true" outlineLevel="0" collapsed="false">
      <c r="A128" s="26"/>
      <c r="B128" s="26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4.25" hidden="false" customHeight="true" outlineLevel="0" collapsed="false">
      <c r="A129" s="26"/>
      <c r="B129" s="26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4.25" hidden="false" customHeight="true" outlineLevel="0" collapsed="false">
      <c r="A130" s="26"/>
      <c r="B130" s="2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4.25" hidden="false" customHeight="true" outlineLevel="0" collapsed="false">
      <c r="A131" s="26"/>
      <c r="B131" s="2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4.25" hidden="false" customHeight="true" outlineLevel="0" collapsed="false">
      <c r="A132" s="26"/>
      <c r="B132" s="26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4.25" hidden="false" customHeight="true" outlineLevel="0" collapsed="false">
      <c r="A133" s="26"/>
      <c r="B133" s="26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4.25" hidden="false" customHeight="true" outlineLevel="0" collapsed="false">
      <c r="A134" s="26"/>
      <c r="B134" s="26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4.25" hidden="false" customHeight="true" outlineLevel="0" collapsed="false">
      <c r="A135" s="26"/>
      <c r="B135" s="26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4.25" hidden="false" customHeight="true" outlineLevel="0" collapsed="false">
      <c r="A136" s="26"/>
      <c r="B136" s="2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4.25" hidden="false" customHeight="true" outlineLevel="0" collapsed="false">
      <c r="A137" s="26"/>
      <c r="B137" s="2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4.25" hidden="false" customHeight="true" outlineLevel="0" collapsed="false">
      <c r="A138" s="26"/>
      <c r="B138" s="2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4.25" hidden="false" customHeight="true" outlineLevel="0" collapsed="false">
      <c r="A139" s="26"/>
      <c r="B139" s="26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4.25" hidden="false" customHeight="true" outlineLevel="0" collapsed="false">
      <c r="A140" s="26"/>
      <c r="B140" s="26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4.25" hidden="false" customHeight="true" outlineLevel="0" collapsed="false">
      <c r="A141" s="26"/>
      <c r="B141" s="26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4.25" hidden="false" customHeight="true" outlineLevel="0" collapsed="false">
      <c r="A142" s="26"/>
      <c r="B142" s="2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4.25" hidden="false" customHeight="true" outlineLevel="0" collapsed="false">
      <c r="A143" s="26"/>
      <c r="B143" s="2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4.25" hidden="false" customHeight="true" outlineLevel="0" collapsed="false">
      <c r="A144" s="26"/>
      <c r="B144" s="2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4.25" hidden="false" customHeight="true" outlineLevel="0" collapsed="false">
      <c r="A145" s="26"/>
      <c r="B145" s="26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4.25" hidden="false" customHeight="true" outlineLevel="0" collapsed="false">
      <c r="A146" s="26"/>
      <c r="B146" s="26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4.25" hidden="false" customHeight="true" outlineLevel="0" collapsed="false">
      <c r="A147" s="26"/>
      <c r="B147" s="26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4.25" hidden="false" customHeight="true" outlineLevel="0" collapsed="false">
      <c r="A148" s="26"/>
      <c r="B148" s="2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4.25" hidden="false" customHeight="true" outlineLevel="0" collapsed="false">
      <c r="A149" s="26"/>
      <c r="B149" s="26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4.25" hidden="false" customHeight="true" outlineLevel="0" collapsed="false">
      <c r="A150" s="26"/>
      <c r="B150" s="26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4.25" hidden="false" customHeight="true" outlineLevel="0" collapsed="false">
      <c r="A151" s="26"/>
      <c r="B151" s="2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4.25" hidden="false" customHeight="true" outlineLevel="0" collapsed="false">
      <c r="A152" s="26"/>
      <c r="B152" s="2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4.25" hidden="false" customHeight="true" outlineLevel="0" collapsed="false">
      <c r="A153" s="26"/>
      <c r="B153" s="26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4.25" hidden="false" customHeight="true" outlineLevel="0" collapsed="false">
      <c r="A154" s="26"/>
      <c r="B154" s="2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4.25" hidden="false" customHeight="true" outlineLevel="0" collapsed="false">
      <c r="A155" s="26"/>
      <c r="B155" s="2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4.25" hidden="false" customHeight="true" outlineLevel="0" collapsed="false">
      <c r="A156" s="26"/>
      <c r="B156" s="26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4.25" hidden="false" customHeight="true" outlineLevel="0" collapsed="false">
      <c r="A157" s="26"/>
      <c r="B157" s="26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4.25" hidden="false" customHeight="true" outlineLevel="0" collapsed="false">
      <c r="A158" s="26"/>
      <c r="B158" s="2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4.25" hidden="false" customHeight="true" outlineLevel="0" collapsed="false">
      <c r="A159" s="26"/>
      <c r="B159" s="26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4.25" hidden="false" customHeight="true" outlineLevel="0" collapsed="false">
      <c r="A160" s="26"/>
      <c r="B160" s="2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4.25" hidden="false" customHeight="true" outlineLevel="0" collapsed="false">
      <c r="A161" s="26"/>
      <c r="B161" s="2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4.25" hidden="false" customHeight="true" outlineLevel="0" collapsed="false">
      <c r="A162" s="26"/>
      <c r="B162" s="26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4.25" hidden="false" customHeight="true" outlineLevel="0" collapsed="false">
      <c r="A163" s="26"/>
      <c r="B163" s="26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4.25" hidden="false" customHeight="true" outlineLevel="0" collapsed="false">
      <c r="A164" s="26"/>
      <c r="B164" s="26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4.25" hidden="false" customHeight="true" outlineLevel="0" collapsed="false">
      <c r="A165" s="26"/>
      <c r="B165" s="2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4.25" hidden="false" customHeight="true" outlineLevel="0" collapsed="false">
      <c r="A166" s="26"/>
      <c r="B166" s="2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4.25" hidden="false" customHeight="true" outlineLevel="0" collapsed="false">
      <c r="A167" s="26"/>
      <c r="B167" s="2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4.25" hidden="false" customHeight="true" outlineLevel="0" collapsed="false">
      <c r="A168" s="26"/>
      <c r="B168" s="26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4.25" hidden="false" customHeight="true" outlineLevel="0" collapsed="false">
      <c r="A169" s="26"/>
      <c r="B169" s="26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4.25" hidden="false" customHeight="true" outlineLevel="0" collapsed="false">
      <c r="A170" s="26"/>
      <c r="B170" s="26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4.25" hidden="false" customHeight="true" outlineLevel="0" collapsed="false">
      <c r="A171" s="26"/>
      <c r="B171" s="26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4.25" hidden="false" customHeight="true" outlineLevel="0" collapsed="false">
      <c r="A172" s="26"/>
      <c r="B172" s="2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4.25" hidden="false" customHeight="true" outlineLevel="0" collapsed="false">
      <c r="A173" s="26"/>
      <c r="B173" s="26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4.25" hidden="false" customHeight="true" outlineLevel="0" collapsed="false">
      <c r="A174" s="26"/>
      <c r="B174" s="26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4.25" hidden="false" customHeight="true" outlineLevel="0" collapsed="false">
      <c r="A175" s="26"/>
      <c r="B175" s="26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4.25" hidden="false" customHeight="true" outlineLevel="0" collapsed="false">
      <c r="A176" s="26"/>
      <c r="B176" s="26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4.25" hidden="false" customHeight="true" outlineLevel="0" collapsed="false">
      <c r="A177" s="26"/>
      <c r="B177" s="26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4.25" hidden="false" customHeight="true" outlineLevel="0" collapsed="false">
      <c r="A178" s="26"/>
      <c r="B178" s="2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4.25" hidden="false" customHeight="true" outlineLevel="0" collapsed="false">
      <c r="A179" s="26"/>
      <c r="B179" s="2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4.25" hidden="false" customHeight="true" outlineLevel="0" collapsed="false">
      <c r="A180" s="26"/>
      <c r="B180" s="26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4.25" hidden="false" customHeight="true" outlineLevel="0" collapsed="false">
      <c r="A181" s="26"/>
      <c r="B181" s="26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4.25" hidden="false" customHeight="true" outlineLevel="0" collapsed="false">
      <c r="A182" s="26"/>
      <c r="B182" s="26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4.25" hidden="false" customHeight="true" outlineLevel="0" collapsed="false">
      <c r="A183" s="26"/>
      <c r="B183" s="26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4.25" hidden="false" customHeight="true" outlineLevel="0" collapsed="false">
      <c r="A184" s="26"/>
      <c r="B184" s="2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4.25" hidden="false" customHeight="true" outlineLevel="0" collapsed="false">
      <c r="A185" s="26"/>
      <c r="B185" s="26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4.25" hidden="false" customHeight="true" outlineLevel="0" collapsed="false">
      <c r="A186" s="26"/>
      <c r="B186" s="2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4.25" hidden="false" customHeight="true" outlineLevel="0" collapsed="false">
      <c r="A187" s="26"/>
      <c r="B187" s="26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4.25" hidden="false" customHeight="true" outlineLevel="0" collapsed="false">
      <c r="A188" s="26"/>
      <c r="B188" s="26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4.25" hidden="false" customHeight="true" outlineLevel="0" collapsed="false">
      <c r="A189" s="26"/>
      <c r="B189" s="26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4.25" hidden="false" customHeight="true" outlineLevel="0" collapsed="false">
      <c r="A190" s="26"/>
      <c r="B190" s="2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4.25" hidden="false" customHeight="true" outlineLevel="0" collapsed="false">
      <c r="A191" s="26"/>
      <c r="B191" s="2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4.25" hidden="false" customHeight="true" outlineLevel="0" collapsed="false">
      <c r="A192" s="26"/>
      <c r="B192" s="26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4.25" hidden="false" customHeight="true" outlineLevel="0" collapsed="false">
      <c r="A193" s="26"/>
      <c r="B193" s="2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4.25" hidden="false" customHeight="true" outlineLevel="0" collapsed="false">
      <c r="A194" s="26"/>
      <c r="B194" s="26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4.25" hidden="false" customHeight="true" outlineLevel="0" collapsed="false">
      <c r="A195" s="26"/>
      <c r="B195" s="26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4.25" hidden="false" customHeight="true" outlineLevel="0" collapsed="false">
      <c r="A196" s="26"/>
      <c r="B196" s="2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4.25" hidden="false" customHeight="true" outlineLevel="0" collapsed="false">
      <c r="A197" s="26"/>
      <c r="B197" s="2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4.25" hidden="false" customHeight="true" outlineLevel="0" collapsed="false">
      <c r="A198" s="26"/>
      <c r="B198" s="26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4.25" hidden="false" customHeight="true" outlineLevel="0" collapsed="false">
      <c r="A199" s="26"/>
      <c r="B199" s="26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4.25" hidden="false" customHeight="true" outlineLevel="0" collapsed="false">
      <c r="A200" s="26"/>
      <c r="B200" s="26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4.25" hidden="false" customHeight="true" outlineLevel="0" collapsed="false">
      <c r="A201" s="26"/>
      <c r="B201" s="26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4.25" hidden="false" customHeight="true" outlineLevel="0" collapsed="false">
      <c r="A202" s="26"/>
      <c r="B202" s="2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4.25" hidden="false" customHeight="true" outlineLevel="0" collapsed="false">
      <c r="A203" s="26"/>
      <c r="B203" s="26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4.25" hidden="false" customHeight="true" outlineLevel="0" collapsed="false">
      <c r="A204" s="26"/>
      <c r="B204" s="26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4.25" hidden="false" customHeight="true" outlineLevel="0" collapsed="false">
      <c r="A205" s="26"/>
      <c r="B205" s="26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4.25" hidden="false" customHeight="true" outlineLevel="0" collapsed="false">
      <c r="A206" s="26"/>
      <c r="B206" s="26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4.25" hidden="false" customHeight="true" outlineLevel="0" collapsed="false">
      <c r="A207" s="26"/>
      <c r="B207" s="26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4.25" hidden="false" customHeight="true" outlineLevel="0" collapsed="false">
      <c r="A208" s="26"/>
      <c r="B208" s="2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4.25" hidden="false" customHeight="true" outlineLevel="0" collapsed="false">
      <c r="A209" s="26"/>
      <c r="B209" s="26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4.25" hidden="false" customHeight="true" outlineLevel="0" collapsed="false">
      <c r="A210" s="26"/>
      <c r="B210" s="26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4.25" hidden="false" customHeight="true" outlineLevel="0" collapsed="false">
      <c r="A211" s="26"/>
      <c r="B211" s="26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4.25" hidden="false" customHeight="true" outlineLevel="0" collapsed="false">
      <c r="A212" s="26"/>
      <c r="B212" s="26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4.25" hidden="false" customHeight="true" outlineLevel="0" collapsed="false">
      <c r="A213" s="26"/>
      <c r="B213" s="2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4.25" hidden="false" customHeight="true" outlineLevel="0" collapsed="false">
      <c r="A214" s="26"/>
      <c r="B214" s="2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4.25" hidden="false" customHeight="true" outlineLevel="0" collapsed="false">
      <c r="A215" s="26"/>
      <c r="B215" s="2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4.25" hidden="false" customHeight="true" outlineLevel="0" collapsed="false">
      <c r="A216" s="26"/>
      <c r="B216" s="2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4.25" hidden="false" customHeight="true" outlineLevel="0" collapsed="false">
      <c r="A217" s="26"/>
      <c r="B217" s="2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4.25" hidden="false" customHeight="true" outlineLevel="0" collapsed="false">
      <c r="A218" s="26"/>
      <c r="B218" s="26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4.25" hidden="false" customHeight="true" outlineLevel="0" collapsed="false">
      <c r="A219" s="26"/>
      <c r="B219" s="2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4.25" hidden="false" customHeight="true" outlineLevel="0" collapsed="false">
      <c r="A220" s="26"/>
      <c r="B220" s="2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4.25" hidden="false" customHeight="true" outlineLevel="0" collapsed="false">
      <c r="A221" s="26"/>
      <c r="B221" s="26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4.25" hidden="false" customHeight="true" outlineLevel="0" collapsed="false">
      <c r="A222" s="26"/>
      <c r="B222" s="26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4.25" hidden="false" customHeight="true" outlineLevel="0" collapsed="false">
      <c r="A223" s="26"/>
      <c r="B223" s="26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4.25" hidden="false" customHeight="true" outlineLevel="0" collapsed="false">
      <c r="A224" s="26"/>
      <c r="B224" s="26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4.25" hidden="false" customHeight="true" outlineLevel="0" collapsed="false">
      <c r="A225" s="26"/>
      <c r="B225" s="26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4.25" hidden="false" customHeight="true" outlineLevel="0" collapsed="false">
      <c r="A226" s="26"/>
      <c r="B226" s="2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4.25" hidden="false" customHeight="true" outlineLevel="0" collapsed="false">
      <c r="A227" s="26"/>
      <c r="B227" s="26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4.25" hidden="false" customHeight="true" outlineLevel="0" collapsed="false">
      <c r="A228" s="26"/>
      <c r="B228" s="26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4.25" hidden="false" customHeight="true" outlineLevel="0" collapsed="false">
      <c r="A229" s="26"/>
      <c r="B229" s="26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4.25" hidden="false" customHeight="true" outlineLevel="0" collapsed="false">
      <c r="A230" s="26"/>
      <c r="B230" s="26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4.25" hidden="false" customHeight="true" outlineLevel="0" collapsed="false">
      <c r="A231" s="26"/>
      <c r="B231" s="26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4.25" hidden="false" customHeight="true" outlineLevel="0" collapsed="false">
      <c r="A232" s="26"/>
      <c r="B232" s="2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4.25" hidden="false" customHeight="true" outlineLevel="0" collapsed="false">
      <c r="A233" s="26"/>
      <c r="B233" s="26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4.25" hidden="false" customHeight="true" outlineLevel="0" collapsed="false">
      <c r="A234" s="26"/>
      <c r="B234" s="26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4.25" hidden="false" customHeight="true" outlineLevel="0" collapsed="false">
      <c r="A235" s="26"/>
      <c r="B235" s="2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4.25" hidden="false" customHeight="true" outlineLevel="0" collapsed="false">
      <c r="A236" s="26"/>
      <c r="B236" s="2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4.25" hidden="false" customHeight="true" outlineLevel="0" collapsed="false">
      <c r="A237" s="26"/>
      <c r="B237" s="2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4.25" hidden="false" customHeight="true" outlineLevel="0" collapsed="false">
      <c r="A238" s="26"/>
      <c r="B238" s="2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4.25" hidden="false" customHeight="true" outlineLevel="0" collapsed="false">
      <c r="A239" s="26"/>
      <c r="B239" s="2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4.25" hidden="false" customHeight="true" outlineLevel="0" collapsed="false">
      <c r="A240" s="26"/>
      <c r="B240" s="2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4.25" hidden="false" customHeight="true" outlineLevel="0" collapsed="false">
      <c r="A241" s="26"/>
      <c r="B241" s="2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4.25" hidden="false" customHeight="true" outlineLevel="0" collapsed="false">
      <c r="A242" s="26"/>
      <c r="B242" s="26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4.25" hidden="false" customHeight="true" outlineLevel="0" collapsed="false">
      <c r="A243" s="26"/>
      <c r="B243" s="2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4.25" hidden="false" customHeight="true" outlineLevel="0" collapsed="false">
      <c r="A244" s="26"/>
      <c r="B244" s="2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4.25" hidden="false" customHeight="true" outlineLevel="0" collapsed="false">
      <c r="A245" s="26"/>
      <c r="B245" s="26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4.25" hidden="false" customHeight="true" outlineLevel="0" collapsed="false">
      <c r="A246" s="26"/>
      <c r="B246" s="26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4.25" hidden="false" customHeight="true" outlineLevel="0" collapsed="false">
      <c r="A247" s="26"/>
      <c r="B247" s="26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4.25" hidden="false" customHeight="true" outlineLevel="0" collapsed="false">
      <c r="A248" s="26"/>
      <c r="B248" s="26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4.25" hidden="false" customHeight="true" outlineLevel="0" collapsed="false">
      <c r="A249" s="26"/>
      <c r="B249" s="26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4.25" hidden="false" customHeight="true" outlineLevel="0" collapsed="false">
      <c r="A250" s="26"/>
      <c r="B250" s="26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4.25" hidden="false" customHeight="true" outlineLevel="0" collapsed="false">
      <c r="A251" s="26"/>
      <c r="B251" s="26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4.25" hidden="false" customHeight="true" outlineLevel="0" collapsed="false">
      <c r="A252" s="26"/>
      <c r="B252" s="26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4.25" hidden="false" customHeight="true" outlineLevel="0" collapsed="false">
      <c r="A253" s="26"/>
      <c r="B253" s="26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4.25" hidden="false" customHeight="true" outlineLevel="0" collapsed="false">
      <c r="A254" s="26"/>
      <c r="B254" s="26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4.25" hidden="false" customHeight="true" outlineLevel="0" collapsed="false">
      <c r="A255" s="26"/>
      <c r="B255" s="26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4.25" hidden="false" customHeight="true" outlineLevel="0" collapsed="false">
      <c r="A256" s="26"/>
      <c r="B256" s="2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4.25" hidden="false" customHeight="true" outlineLevel="0" collapsed="false">
      <c r="A257" s="26"/>
      <c r="B257" s="26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4.25" hidden="false" customHeight="true" outlineLevel="0" collapsed="false">
      <c r="A258" s="26"/>
      <c r="B258" s="26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4.25" hidden="false" customHeight="true" outlineLevel="0" collapsed="false">
      <c r="A259" s="26"/>
      <c r="B259" s="26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4.25" hidden="false" customHeight="true" outlineLevel="0" collapsed="false">
      <c r="A260" s="26"/>
      <c r="B260" s="26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4.25" hidden="false" customHeight="true" outlineLevel="0" collapsed="false">
      <c r="A261" s="26"/>
      <c r="B261" s="26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4.25" hidden="false" customHeight="true" outlineLevel="0" collapsed="false">
      <c r="A262" s="26"/>
      <c r="B262" s="26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4.25" hidden="false" customHeight="true" outlineLevel="0" collapsed="false">
      <c r="A263" s="26"/>
      <c r="B263" s="26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4.25" hidden="false" customHeight="true" outlineLevel="0" collapsed="false">
      <c r="A264" s="26"/>
      <c r="B264" s="26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4.25" hidden="false" customHeight="true" outlineLevel="0" collapsed="false">
      <c r="A265" s="26"/>
      <c r="B265" s="26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4.25" hidden="false" customHeight="true" outlineLevel="0" collapsed="false">
      <c r="A266" s="26"/>
      <c r="B266" s="26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4.25" hidden="false" customHeight="true" outlineLevel="0" collapsed="false">
      <c r="A267" s="26"/>
      <c r="B267" s="26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4.25" hidden="false" customHeight="true" outlineLevel="0" collapsed="false">
      <c r="A268" s="26"/>
      <c r="B268" s="26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4.25" hidden="false" customHeight="true" outlineLevel="0" collapsed="false">
      <c r="A269" s="26"/>
      <c r="B269" s="26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4.25" hidden="false" customHeight="true" outlineLevel="0" collapsed="false">
      <c r="A270" s="26"/>
      <c r="B270" s="26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4.25" hidden="false" customHeight="true" outlineLevel="0" collapsed="false">
      <c r="A271" s="26"/>
      <c r="B271" s="26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4.25" hidden="false" customHeight="true" outlineLevel="0" collapsed="false">
      <c r="A272" s="26"/>
      <c r="B272" s="26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4.25" hidden="false" customHeight="true" outlineLevel="0" collapsed="false">
      <c r="A273" s="26"/>
      <c r="B273" s="26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4.25" hidden="false" customHeight="true" outlineLevel="0" collapsed="false">
      <c r="A274" s="26"/>
      <c r="B274" s="26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4.25" hidden="false" customHeight="true" outlineLevel="0" collapsed="false">
      <c r="A275" s="26"/>
      <c r="B275" s="26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4.25" hidden="false" customHeight="true" outlineLevel="0" collapsed="false">
      <c r="A276" s="26"/>
      <c r="B276" s="26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4.25" hidden="false" customHeight="true" outlineLevel="0" collapsed="false">
      <c r="A277" s="26"/>
      <c r="B277" s="26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4.25" hidden="false" customHeight="true" outlineLevel="0" collapsed="false">
      <c r="A278" s="26"/>
      <c r="B278" s="26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4.25" hidden="false" customHeight="true" outlineLevel="0" collapsed="false">
      <c r="A279" s="26"/>
      <c r="B279" s="26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4.25" hidden="false" customHeight="true" outlineLevel="0" collapsed="false">
      <c r="A280" s="26"/>
      <c r="B280" s="26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4.25" hidden="false" customHeight="true" outlineLevel="0" collapsed="false">
      <c r="A281" s="26"/>
      <c r="B281" s="26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4.25" hidden="false" customHeight="true" outlineLevel="0" collapsed="false">
      <c r="A282" s="26"/>
      <c r="B282" s="26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4.25" hidden="false" customHeight="true" outlineLevel="0" collapsed="false">
      <c r="A283" s="26"/>
      <c r="B283" s="26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4.25" hidden="false" customHeight="true" outlineLevel="0" collapsed="false">
      <c r="A284" s="26"/>
      <c r="B284" s="26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4.25" hidden="false" customHeight="true" outlineLevel="0" collapsed="false">
      <c r="A285" s="26"/>
      <c r="B285" s="26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4.25" hidden="false" customHeight="true" outlineLevel="0" collapsed="false">
      <c r="A286" s="26"/>
      <c r="B286" s="26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4.25" hidden="false" customHeight="true" outlineLevel="0" collapsed="false">
      <c r="A287" s="26"/>
      <c r="B287" s="26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4.25" hidden="false" customHeight="true" outlineLevel="0" collapsed="false">
      <c r="A288" s="26"/>
      <c r="B288" s="26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4.25" hidden="false" customHeight="true" outlineLevel="0" collapsed="false">
      <c r="A289" s="26"/>
      <c r="B289" s="26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4.25" hidden="false" customHeight="true" outlineLevel="0" collapsed="false">
      <c r="A290" s="26"/>
      <c r="B290" s="26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4.25" hidden="false" customHeight="true" outlineLevel="0" collapsed="false">
      <c r="A291" s="26"/>
      <c r="B291" s="26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4.25" hidden="false" customHeight="true" outlineLevel="0" collapsed="false">
      <c r="A292" s="26"/>
      <c r="B292" s="26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4.25" hidden="false" customHeight="true" outlineLevel="0" collapsed="false">
      <c r="A293" s="26"/>
      <c r="B293" s="26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4.25" hidden="false" customHeight="true" outlineLevel="0" collapsed="false">
      <c r="A294" s="26"/>
      <c r="B294" s="26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4.25" hidden="false" customHeight="true" outlineLevel="0" collapsed="false">
      <c r="A295" s="26"/>
      <c r="B295" s="26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4.25" hidden="false" customHeight="true" outlineLevel="0" collapsed="false">
      <c r="A296" s="26"/>
      <c r="B296" s="26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4.25" hidden="false" customHeight="true" outlineLevel="0" collapsed="false">
      <c r="A297" s="26"/>
      <c r="B297" s="26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4.25" hidden="false" customHeight="true" outlineLevel="0" collapsed="false">
      <c r="A298" s="26"/>
      <c r="B298" s="2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4.25" hidden="false" customHeight="true" outlineLevel="0" collapsed="false">
      <c r="A299" s="26"/>
      <c r="B299" s="26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4.25" hidden="false" customHeight="true" outlineLevel="0" collapsed="false">
      <c r="A300" s="26"/>
      <c r="B300" s="26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4.25" hidden="false" customHeight="true" outlineLevel="0" collapsed="false">
      <c r="A301" s="26"/>
      <c r="B301" s="26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4.25" hidden="false" customHeight="true" outlineLevel="0" collapsed="false">
      <c r="A302" s="26"/>
      <c r="B302" s="26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4.25" hidden="false" customHeight="true" outlineLevel="0" collapsed="false">
      <c r="A303" s="26"/>
      <c r="B303" s="26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4.25" hidden="false" customHeight="true" outlineLevel="0" collapsed="false">
      <c r="A304" s="26"/>
      <c r="B304" s="26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4.25" hidden="false" customHeight="true" outlineLevel="0" collapsed="false">
      <c r="A305" s="26"/>
      <c r="B305" s="26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4.25" hidden="false" customHeight="true" outlineLevel="0" collapsed="false">
      <c r="A306" s="26"/>
      <c r="B306" s="26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4.25" hidden="false" customHeight="true" outlineLevel="0" collapsed="false">
      <c r="A307" s="26"/>
      <c r="B307" s="26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4.25" hidden="false" customHeight="true" outlineLevel="0" collapsed="false">
      <c r="A308" s="26"/>
      <c r="B308" s="26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4.25" hidden="false" customHeight="true" outlineLevel="0" collapsed="false">
      <c r="A309" s="26"/>
      <c r="B309" s="26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4.25" hidden="false" customHeight="true" outlineLevel="0" collapsed="false">
      <c r="A310" s="26"/>
      <c r="B310" s="26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4.25" hidden="false" customHeight="true" outlineLevel="0" collapsed="false">
      <c r="A311" s="26"/>
      <c r="B311" s="26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4.25" hidden="false" customHeight="true" outlineLevel="0" collapsed="false">
      <c r="A312" s="26"/>
      <c r="B312" s="2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4.25" hidden="false" customHeight="true" outlineLevel="0" collapsed="false">
      <c r="A313" s="26"/>
      <c r="B313" s="26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4.25" hidden="false" customHeight="true" outlineLevel="0" collapsed="false">
      <c r="A314" s="26"/>
      <c r="B314" s="26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4.25" hidden="false" customHeight="true" outlineLevel="0" collapsed="false">
      <c r="A315" s="26"/>
      <c r="B315" s="26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4.25" hidden="false" customHeight="true" outlineLevel="0" collapsed="false">
      <c r="A316" s="26"/>
      <c r="B316" s="26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4.25" hidden="false" customHeight="true" outlineLevel="0" collapsed="false">
      <c r="A317" s="26"/>
      <c r="B317" s="26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4.25" hidden="false" customHeight="true" outlineLevel="0" collapsed="false">
      <c r="A318" s="26"/>
      <c r="B318" s="26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4.25" hidden="false" customHeight="true" outlineLevel="0" collapsed="false">
      <c r="A319" s="26"/>
      <c r="B319" s="26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4.25" hidden="false" customHeight="true" outlineLevel="0" collapsed="false">
      <c r="A320" s="26"/>
      <c r="B320" s="26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4.25" hidden="false" customHeight="true" outlineLevel="0" collapsed="false">
      <c r="A321" s="26"/>
      <c r="B321" s="26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4.25" hidden="false" customHeight="true" outlineLevel="0" collapsed="false">
      <c r="A322" s="26"/>
      <c r="B322" s="26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4.25" hidden="false" customHeight="true" outlineLevel="0" collapsed="false">
      <c r="A323" s="26"/>
      <c r="B323" s="26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4.25" hidden="false" customHeight="true" outlineLevel="0" collapsed="false">
      <c r="A324" s="26"/>
      <c r="B324" s="26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4.25" hidden="false" customHeight="true" outlineLevel="0" collapsed="false">
      <c r="A325" s="26"/>
      <c r="B325" s="26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4.25" hidden="false" customHeight="true" outlineLevel="0" collapsed="false">
      <c r="A326" s="26"/>
      <c r="B326" s="26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4.25" hidden="false" customHeight="true" outlineLevel="0" collapsed="false">
      <c r="A327" s="26"/>
      <c r="B327" s="26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4.25" hidden="false" customHeight="true" outlineLevel="0" collapsed="false">
      <c r="A328" s="26"/>
      <c r="B328" s="26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4.25" hidden="false" customHeight="true" outlineLevel="0" collapsed="false">
      <c r="A329" s="26"/>
      <c r="B329" s="26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4.25" hidden="false" customHeight="true" outlineLevel="0" collapsed="false">
      <c r="A330" s="26"/>
      <c r="B330" s="26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4.25" hidden="false" customHeight="true" outlineLevel="0" collapsed="false">
      <c r="A331" s="26"/>
      <c r="B331" s="26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4.25" hidden="false" customHeight="true" outlineLevel="0" collapsed="false">
      <c r="A332" s="26"/>
      <c r="B332" s="26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4.25" hidden="false" customHeight="true" outlineLevel="0" collapsed="false">
      <c r="A333" s="26"/>
      <c r="B333" s="26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4.25" hidden="false" customHeight="true" outlineLevel="0" collapsed="false">
      <c r="A334" s="26"/>
      <c r="B334" s="26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4.25" hidden="false" customHeight="true" outlineLevel="0" collapsed="false">
      <c r="A335" s="26"/>
      <c r="B335" s="26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4.25" hidden="false" customHeight="true" outlineLevel="0" collapsed="false">
      <c r="A336" s="26"/>
      <c r="B336" s="26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4.25" hidden="false" customHeight="true" outlineLevel="0" collapsed="false">
      <c r="A337" s="26"/>
      <c r="B337" s="26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4.25" hidden="false" customHeight="true" outlineLevel="0" collapsed="false">
      <c r="A338" s="26"/>
      <c r="B338" s="26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4.25" hidden="false" customHeight="true" outlineLevel="0" collapsed="false">
      <c r="A339" s="26"/>
      <c r="B339" s="26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4.25" hidden="false" customHeight="true" outlineLevel="0" collapsed="false">
      <c r="A340" s="26"/>
      <c r="B340" s="2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4.25" hidden="false" customHeight="true" outlineLevel="0" collapsed="false">
      <c r="A341" s="26"/>
      <c r="B341" s="26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4.25" hidden="false" customHeight="true" outlineLevel="0" collapsed="false">
      <c r="A342" s="26"/>
      <c r="B342" s="26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4.25" hidden="false" customHeight="true" outlineLevel="0" collapsed="false">
      <c r="A343" s="26"/>
      <c r="B343" s="26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4.25" hidden="false" customHeight="true" outlineLevel="0" collapsed="false">
      <c r="A344" s="26"/>
      <c r="B344" s="26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4.25" hidden="false" customHeight="true" outlineLevel="0" collapsed="false">
      <c r="A345" s="26"/>
      <c r="B345" s="26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4.25" hidden="false" customHeight="true" outlineLevel="0" collapsed="false">
      <c r="A346" s="26"/>
      <c r="B346" s="26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4.25" hidden="false" customHeight="true" outlineLevel="0" collapsed="false">
      <c r="A347" s="26"/>
      <c r="B347" s="26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4.25" hidden="false" customHeight="true" outlineLevel="0" collapsed="false">
      <c r="A348" s="26"/>
      <c r="B348" s="26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4.25" hidden="false" customHeight="true" outlineLevel="0" collapsed="false">
      <c r="A349" s="26"/>
      <c r="B349" s="26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4.25" hidden="false" customHeight="true" outlineLevel="0" collapsed="false">
      <c r="A350" s="26"/>
      <c r="B350" s="26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4.25" hidden="false" customHeight="true" outlineLevel="0" collapsed="false">
      <c r="A351" s="26"/>
      <c r="B351" s="26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4.25" hidden="false" customHeight="true" outlineLevel="0" collapsed="false">
      <c r="A352" s="26"/>
      <c r="B352" s="26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4.25" hidden="false" customHeight="true" outlineLevel="0" collapsed="false">
      <c r="A353" s="26"/>
      <c r="B353" s="26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4.25" hidden="false" customHeight="true" outlineLevel="0" collapsed="false">
      <c r="A354" s="26"/>
      <c r="B354" s="26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4.25" hidden="false" customHeight="true" outlineLevel="0" collapsed="false">
      <c r="A355" s="26"/>
      <c r="B355" s="26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4.25" hidden="false" customHeight="true" outlineLevel="0" collapsed="false">
      <c r="A356" s="26"/>
      <c r="B356" s="26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4.25" hidden="false" customHeight="true" outlineLevel="0" collapsed="false">
      <c r="A357" s="26"/>
      <c r="B357" s="26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4.25" hidden="false" customHeight="true" outlineLevel="0" collapsed="false">
      <c r="A358" s="26"/>
      <c r="B358" s="26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4.25" hidden="false" customHeight="true" outlineLevel="0" collapsed="false">
      <c r="A359" s="26"/>
      <c r="B359" s="26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4.25" hidden="false" customHeight="true" outlineLevel="0" collapsed="false">
      <c r="A360" s="26"/>
      <c r="B360" s="26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4.25" hidden="false" customHeight="true" outlineLevel="0" collapsed="false">
      <c r="A361" s="26"/>
      <c r="B361" s="26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4.25" hidden="false" customHeight="true" outlineLevel="0" collapsed="false">
      <c r="A362" s="26"/>
      <c r="B362" s="26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4.25" hidden="false" customHeight="true" outlineLevel="0" collapsed="false">
      <c r="A363" s="26"/>
      <c r="B363" s="26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4.25" hidden="false" customHeight="true" outlineLevel="0" collapsed="false">
      <c r="A364" s="26"/>
      <c r="B364" s="26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4.25" hidden="false" customHeight="true" outlineLevel="0" collapsed="false">
      <c r="A365" s="26"/>
      <c r="B365" s="26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4.25" hidden="false" customHeight="true" outlineLevel="0" collapsed="false">
      <c r="A366" s="26"/>
      <c r="B366" s="26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4.25" hidden="false" customHeight="true" outlineLevel="0" collapsed="false">
      <c r="A367" s="26"/>
      <c r="B367" s="26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4.25" hidden="false" customHeight="true" outlineLevel="0" collapsed="false">
      <c r="A368" s="26"/>
      <c r="B368" s="26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4.25" hidden="false" customHeight="true" outlineLevel="0" collapsed="false">
      <c r="A369" s="26"/>
      <c r="B369" s="26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4.25" hidden="false" customHeight="true" outlineLevel="0" collapsed="false">
      <c r="A370" s="26"/>
      <c r="B370" s="26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4.25" hidden="false" customHeight="true" outlineLevel="0" collapsed="false">
      <c r="A371" s="26"/>
      <c r="B371" s="26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4.25" hidden="false" customHeight="true" outlineLevel="0" collapsed="false">
      <c r="A372" s="26"/>
      <c r="B372" s="26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4.25" hidden="false" customHeight="true" outlineLevel="0" collapsed="false">
      <c r="A373" s="26"/>
      <c r="B373" s="26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4.25" hidden="false" customHeight="true" outlineLevel="0" collapsed="false">
      <c r="A374" s="26"/>
      <c r="B374" s="26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4.25" hidden="false" customHeight="true" outlineLevel="0" collapsed="false">
      <c r="A375" s="26"/>
      <c r="B375" s="26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4.25" hidden="false" customHeight="true" outlineLevel="0" collapsed="false">
      <c r="A376" s="26"/>
      <c r="B376" s="26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4.25" hidden="false" customHeight="true" outlineLevel="0" collapsed="false">
      <c r="A377" s="26"/>
      <c r="B377" s="26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4.25" hidden="false" customHeight="true" outlineLevel="0" collapsed="false">
      <c r="A378" s="26"/>
      <c r="B378" s="26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4.25" hidden="false" customHeight="true" outlineLevel="0" collapsed="false">
      <c r="A379" s="26"/>
      <c r="B379" s="26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4.25" hidden="false" customHeight="true" outlineLevel="0" collapsed="false">
      <c r="A380" s="26"/>
      <c r="B380" s="26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4.25" hidden="false" customHeight="true" outlineLevel="0" collapsed="false">
      <c r="A381" s="26"/>
      <c r="B381" s="26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4.25" hidden="false" customHeight="true" outlineLevel="0" collapsed="false">
      <c r="A382" s="26"/>
      <c r="B382" s="26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4.25" hidden="false" customHeight="true" outlineLevel="0" collapsed="false">
      <c r="A383" s="26"/>
      <c r="B383" s="26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4.25" hidden="false" customHeight="true" outlineLevel="0" collapsed="false">
      <c r="A384" s="26"/>
      <c r="B384" s="26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4.25" hidden="false" customHeight="true" outlineLevel="0" collapsed="false">
      <c r="A385" s="26"/>
      <c r="B385" s="26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4.25" hidden="false" customHeight="true" outlineLevel="0" collapsed="false">
      <c r="A386" s="26"/>
      <c r="B386" s="26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4.25" hidden="false" customHeight="true" outlineLevel="0" collapsed="false">
      <c r="A387" s="26"/>
      <c r="B387" s="26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4.25" hidden="false" customHeight="true" outlineLevel="0" collapsed="false">
      <c r="A388" s="26"/>
      <c r="B388" s="26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4.25" hidden="false" customHeight="true" outlineLevel="0" collapsed="false">
      <c r="A389" s="26"/>
      <c r="B389" s="26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4.25" hidden="false" customHeight="true" outlineLevel="0" collapsed="false">
      <c r="A390" s="26"/>
      <c r="B390" s="26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4.25" hidden="false" customHeight="true" outlineLevel="0" collapsed="false">
      <c r="A391" s="26"/>
      <c r="B391" s="26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4.25" hidden="false" customHeight="true" outlineLevel="0" collapsed="false">
      <c r="A392" s="26"/>
      <c r="B392" s="26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4.25" hidden="false" customHeight="true" outlineLevel="0" collapsed="false">
      <c r="A393" s="26"/>
      <c r="B393" s="26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4.25" hidden="false" customHeight="true" outlineLevel="0" collapsed="false">
      <c r="A394" s="26"/>
      <c r="B394" s="26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4.25" hidden="false" customHeight="true" outlineLevel="0" collapsed="false">
      <c r="A395" s="26"/>
      <c r="B395" s="26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4.25" hidden="false" customHeight="true" outlineLevel="0" collapsed="false">
      <c r="A396" s="26"/>
      <c r="B396" s="26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4.25" hidden="false" customHeight="true" outlineLevel="0" collapsed="false">
      <c r="A397" s="26"/>
      <c r="B397" s="26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4.25" hidden="false" customHeight="true" outlineLevel="0" collapsed="false">
      <c r="A398" s="26"/>
      <c r="B398" s="26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4.25" hidden="false" customHeight="true" outlineLevel="0" collapsed="false">
      <c r="A399" s="26"/>
      <c r="B399" s="26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4.25" hidden="false" customHeight="true" outlineLevel="0" collapsed="false">
      <c r="A400" s="26"/>
      <c r="B400" s="26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4.25" hidden="false" customHeight="true" outlineLevel="0" collapsed="false">
      <c r="A401" s="26"/>
      <c r="B401" s="26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4.25" hidden="false" customHeight="true" outlineLevel="0" collapsed="false">
      <c r="A402" s="26"/>
      <c r="B402" s="26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4.25" hidden="false" customHeight="true" outlineLevel="0" collapsed="false">
      <c r="A403" s="26"/>
      <c r="B403" s="26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4.25" hidden="false" customHeight="true" outlineLevel="0" collapsed="false">
      <c r="A404" s="26"/>
      <c r="B404" s="26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4.25" hidden="false" customHeight="true" outlineLevel="0" collapsed="false">
      <c r="A405" s="26"/>
      <c r="B405" s="26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4.25" hidden="false" customHeight="true" outlineLevel="0" collapsed="false">
      <c r="A406" s="26"/>
      <c r="B406" s="26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4.25" hidden="false" customHeight="true" outlineLevel="0" collapsed="false">
      <c r="A407" s="26"/>
      <c r="B407" s="26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4.25" hidden="false" customHeight="true" outlineLevel="0" collapsed="false">
      <c r="A408" s="26"/>
      <c r="B408" s="26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4.25" hidden="false" customHeight="true" outlineLevel="0" collapsed="false">
      <c r="A409" s="26"/>
      <c r="B409" s="26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4.25" hidden="false" customHeight="true" outlineLevel="0" collapsed="false">
      <c r="A410" s="26"/>
      <c r="B410" s="26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4.25" hidden="false" customHeight="true" outlineLevel="0" collapsed="false">
      <c r="A411" s="26"/>
      <c r="B411" s="26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4.25" hidden="false" customHeight="true" outlineLevel="0" collapsed="false">
      <c r="A412" s="26"/>
      <c r="B412" s="26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4.25" hidden="false" customHeight="true" outlineLevel="0" collapsed="false">
      <c r="A413" s="26"/>
      <c r="B413" s="26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4.25" hidden="false" customHeight="true" outlineLevel="0" collapsed="false">
      <c r="A414" s="26"/>
      <c r="B414" s="26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4.25" hidden="false" customHeight="true" outlineLevel="0" collapsed="false">
      <c r="A415" s="26"/>
      <c r="B415" s="26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4.25" hidden="false" customHeight="true" outlineLevel="0" collapsed="false">
      <c r="A416" s="26"/>
      <c r="B416" s="26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4.25" hidden="false" customHeight="true" outlineLevel="0" collapsed="false">
      <c r="A417" s="26"/>
      <c r="B417" s="26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4.25" hidden="false" customHeight="true" outlineLevel="0" collapsed="false">
      <c r="A418" s="26"/>
      <c r="B418" s="26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4.25" hidden="false" customHeight="true" outlineLevel="0" collapsed="false">
      <c r="A419" s="26"/>
      <c r="B419" s="26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4.25" hidden="false" customHeight="true" outlineLevel="0" collapsed="false">
      <c r="A420" s="26"/>
      <c r="B420" s="26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4.25" hidden="false" customHeight="true" outlineLevel="0" collapsed="false">
      <c r="A421" s="26"/>
      <c r="B421" s="26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4.25" hidden="false" customHeight="true" outlineLevel="0" collapsed="false">
      <c r="A422" s="26"/>
      <c r="B422" s="26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4.25" hidden="false" customHeight="true" outlineLevel="0" collapsed="false">
      <c r="A423" s="26"/>
      <c r="B423" s="26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4.25" hidden="false" customHeight="true" outlineLevel="0" collapsed="false">
      <c r="A424" s="26"/>
      <c r="B424" s="26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4.25" hidden="false" customHeight="true" outlineLevel="0" collapsed="false">
      <c r="A425" s="26"/>
      <c r="B425" s="26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4.25" hidden="false" customHeight="true" outlineLevel="0" collapsed="false">
      <c r="A426" s="26"/>
      <c r="B426" s="26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4.25" hidden="false" customHeight="true" outlineLevel="0" collapsed="false">
      <c r="A427" s="26"/>
      <c r="B427" s="26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4.25" hidden="false" customHeight="true" outlineLevel="0" collapsed="false">
      <c r="A428" s="26"/>
      <c r="B428" s="26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4.25" hidden="false" customHeight="true" outlineLevel="0" collapsed="false">
      <c r="A429" s="26"/>
      <c r="B429" s="26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4.25" hidden="false" customHeight="true" outlineLevel="0" collapsed="false">
      <c r="A430" s="26"/>
      <c r="B430" s="26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4.25" hidden="false" customHeight="true" outlineLevel="0" collapsed="false">
      <c r="A431" s="26"/>
      <c r="B431" s="26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4.25" hidden="false" customHeight="true" outlineLevel="0" collapsed="false">
      <c r="A432" s="26"/>
      <c r="B432" s="26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4.25" hidden="false" customHeight="true" outlineLevel="0" collapsed="false">
      <c r="A433" s="26"/>
      <c r="B433" s="26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4.25" hidden="false" customHeight="true" outlineLevel="0" collapsed="false">
      <c r="A434" s="26"/>
      <c r="B434" s="26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4.25" hidden="false" customHeight="true" outlineLevel="0" collapsed="false">
      <c r="A435" s="26"/>
      <c r="B435" s="26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4.25" hidden="false" customHeight="true" outlineLevel="0" collapsed="false">
      <c r="A436" s="26"/>
      <c r="B436" s="26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4.25" hidden="false" customHeight="true" outlineLevel="0" collapsed="false">
      <c r="A437" s="26"/>
      <c r="B437" s="26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4.25" hidden="false" customHeight="true" outlineLevel="0" collapsed="false">
      <c r="A438" s="26"/>
      <c r="B438" s="26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4.25" hidden="false" customHeight="true" outlineLevel="0" collapsed="false">
      <c r="A439" s="26"/>
      <c r="B439" s="26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4.25" hidden="false" customHeight="true" outlineLevel="0" collapsed="false">
      <c r="A440" s="26"/>
      <c r="B440" s="26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4.25" hidden="false" customHeight="true" outlineLevel="0" collapsed="false">
      <c r="A441" s="26"/>
      <c r="B441" s="26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4.25" hidden="false" customHeight="true" outlineLevel="0" collapsed="false">
      <c r="A442" s="26"/>
      <c r="B442" s="26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4.25" hidden="false" customHeight="true" outlineLevel="0" collapsed="false">
      <c r="A443" s="26"/>
      <c r="B443" s="26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4.25" hidden="false" customHeight="true" outlineLevel="0" collapsed="false">
      <c r="A444" s="26"/>
      <c r="B444" s="26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4.25" hidden="false" customHeight="true" outlineLevel="0" collapsed="false">
      <c r="A445" s="26"/>
      <c r="B445" s="26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4.25" hidden="false" customHeight="true" outlineLevel="0" collapsed="false">
      <c r="A446" s="26"/>
      <c r="B446" s="26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4.25" hidden="false" customHeight="true" outlineLevel="0" collapsed="false">
      <c r="A447" s="26"/>
      <c r="B447" s="26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4.25" hidden="false" customHeight="true" outlineLevel="0" collapsed="false">
      <c r="A448" s="26"/>
      <c r="B448" s="26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4.25" hidden="false" customHeight="true" outlineLevel="0" collapsed="false">
      <c r="A449" s="26"/>
      <c r="B449" s="26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4.25" hidden="false" customHeight="true" outlineLevel="0" collapsed="false">
      <c r="A450" s="26"/>
      <c r="B450" s="26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4.25" hidden="false" customHeight="true" outlineLevel="0" collapsed="false">
      <c r="A451" s="26"/>
      <c r="B451" s="26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4.25" hidden="false" customHeight="true" outlineLevel="0" collapsed="false">
      <c r="A452" s="26"/>
      <c r="B452" s="26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4.25" hidden="false" customHeight="true" outlineLevel="0" collapsed="false">
      <c r="A453" s="26"/>
      <c r="B453" s="26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4.25" hidden="false" customHeight="true" outlineLevel="0" collapsed="false">
      <c r="A454" s="26"/>
      <c r="B454" s="26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4.25" hidden="false" customHeight="true" outlineLevel="0" collapsed="false">
      <c r="A455" s="26"/>
      <c r="B455" s="26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4.25" hidden="false" customHeight="true" outlineLevel="0" collapsed="false">
      <c r="A456" s="26"/>
      <c r="B456" s="26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4.25" hidden="false" customHeight="true" outlineLevel="0" collapsed="false">
      <c r="A457" s="26"/>
      <c r="B457" s="26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4.25" hidden="false" customHeight="true" outlineLevel="0" collapsed="false">
      <c r="A458" s="26"/>
      <c r="B458" s="26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4.25" hidden="false" customHeight="true" outlineLevel="0" collapsed="false">
      <c r="A459" s="26"/>
      <c r="B459" s="26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4.25" hidden="false" customHeight="true" outlineLevel="0" collapsed="false">
      <c r="A460" s="26"/>
      <c r="B460" s="26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4.25" hidden="false" customHeight="true" outlineLevel="0" collapsed="false">
      <c r="A461" s="26"/>
      <c r="B461" s="26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4.25" hidden="false" customHeight="true" outlineLevel="0" collapsed="false">
      <c r="A462" s="26"/>
      <c r="B462" s="26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4.25" hidden="false" customHeight="true" outlineLevel="0" collapsed="false">
      <c r="A463" s="26"/>
      <c r="B463" s="26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4.25" hidden="false" customHeight="true" outlineLevel="0" collapsed="false">
      <c r="A464" s="26"/>
      <c r="B464" s="26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4.25" hidden="false" customHeight="true" outlineLevel="0" collapsed="false">
      <c r="A465" s="26"/>
      <c r="B465" s="26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4.25" hidden="false" customHeight="true" outlineLevel="0" collapsed="false">
      <c r="A466" s="26"/>
      <c r="B466" s="26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4.25" hidden="false" customHeight="true" outlineLevel="0" collapsed="false">
      <c r="A467" s="26"/>
      <c r="B467" s="26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4.25" hidden="false" customHeight="true" outlineLevel="0" collapsed="false">
      <c r="A468" s="26"/>
      <c r="B468" s="26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4.25" hidden="false" customHeight="true" outlineLevel="0" collapsed="false">
      <c r="A469" s="26"/>
      <c r="B469" s="26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4.25" hidden="false" customHeight="true" outlineLevel="0" collapsed="false">
      <c r="A470" s="26"/>
      <c r="B470" s="26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4.25" hidden="false" customHeight="true" outlineLevel="0" collapsed="false">
      <c r="A471" s="26"/>
      <c r="B471" s="26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4.25" hidden="false" customHeight="true" outlineLevel="0" collapsed="false">
      <c r="A472" s="26"/>
      <c r="B472" s="26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4.25" hidden="false" customHeight="true" outlineLevel="0" collapsed="false">
      <c r="A473" s="26"/>
      <c r="B473" s="26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4.25" hidden="false" customHeight="true" outlineLevel="0" collapsed="false">
      <c r="A474" s="26"/>
      <c r="B474" s="26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4.25" hidden="false" customHeight="true" outlineLevel="0" collapsed="false">
      <c r="A475" s="26"/>
      <c r="B475" s="26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4.25" hidden="false" customHeight="true" outlineLevel="0" collapsed="false">
      <c r="A476" s="26"/>
      <c r="B476" s="26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4.25" hidden="false" customHeight="true" outlineLevel="0" collapsed="false">
      <c r="A477" s="26"/>
      <c r="B477" s="26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4.25" hidden="false" customHeight="true" outlineLevel="0" collapsed="false">
      <c r="A478" s="26"/>
      <c r="B478" s="26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4.25" hidden="false" customHeight="true" outlineLevel="0" collapsed="false">
      <c r="A479" s="26"/>
      <c r="B479" s="26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4.25" hidden="false" customHeight="true" outlineLevel="0" collapsed="false">
      <c r="A480" s="26"/>
      <c r="B480" s="26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4.25" hidden="false" customHeight="true" outlineLevel="0" collapsed="false">
      <c r="A481" s="26"/>
      <c r="B481" s="26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4.25" hidden="false" customHeight="true" outlineLevel="0" collapsed="false">
      <c r="A482" s="26"/>
      <c r="B482" s="26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4.25" hidden="false" customHeight="true" outlineLevel="0" collapsed="false">
      <c r="A483" s="26"/>
      <c r="B483" s="26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4.25" hidden="false" customHeight="true" outlineLevel="0" collapsed="false">
      <c r="A484" s="26"/>
      <c r="B484" s="26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4.25" hidden="false" customHeight="true" outlineLevel="0" collapsed="false">
      <c r="A485" s="26"/>
      <c r="B485" s="26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4.25" hidden="false" customHeight="true" outlineLevel="0" collapsed="false">
      <c r="A486" s="26"/>
      <c r="B486" s="26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4.25" hidden="false" customHeight="true" outlineLevel="0" collapsed="false">
      <c r="A487" s="26"/>
      <c r="B487" s="26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4.25" hidden="false" customHeight="true" outlineLevel="0" collapsed="false">
      <c r="A488" s="26"/>
      <c r="B488" s="26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4.25" hidden="false" customHeight="true" outlineLevel="0" collapsed="false">
      <c r="A489" s="26"/>
      <c r="B489" s="26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4.25" hidden="false" customHeight="true" outlineLevel="0" collapsed="false">
      <c r="A490" s="26"/>
      <c r="B490" s="26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4.25" hidden="false" customHeight="true" outlineLevel="0" collapsed="false">
      <c r="A491" s="26"/>
      <c r="B491" s="26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4.25" hidden="false" customHeight="true" outlineLevel="0" collapsed="false">
      <c r="A492" s="26"/>
      <c r="B492" s="26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4.25" hidden="false" customHeight="true" outlineLevel="0" collapsed="false">
      <c r="A493" s="26"/>
      <c r="B493" s="26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4.25" hidden="false" customHeight="true" outlineLevel="0" collapsed="false">
      <c r="A494" s="26"/>
      <c r="B494" s="26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4.25" hidden="false" customHeight="true" outlineLevel="0" collapsed="false">
      <c r="A495" s="26"/>
      <c r="B495" s="26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4.25" hidden="false" customHeight="true" outlineLevel="0" collapsed="false">
      <c r="A496" s="26"/>
      <c r="B496" s="26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4.25" hidden="false" customHeight="true" outlineLevel="0" collapsed="false">
      <c r="A497" s="26"/>
      <c r="B497" s="26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4.25" hidden="false" customHeight="true" outlineLevel="0" collapsed="false">
      <c r="A498" s="26"/>
      <c r="B498" s="26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4.25" hidden="false" customHeight="true" outlineLevel="0" collapsed="false">
      <c r="A499" s="26"/>
      <c r="B499" s="26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4.25" hidden="false" customHeight="true" outlineLevel="0" collapsed="false">
      <c r="A500" s="26"/>
      <c r="B500" s="26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4.25" hidden="false" customHeight="true" outlineLevel="0" collapsed="false">
      <c r="A501" s="26"/>
      <c r="B501" s="26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4.25" hidden="false" customHeight="true" outlineLevel="0" collapsed="false">
      <c r="A502" s="26"/>
      <c r="B502" s="26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4.25" hidden="false" customHeight="true" outlineLevel="0" collapsed="false">
      <c r="A503" s="26"/>
      <c r="B503" s="26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4.25" hidden="false" customHeight="true" outlineLevel="0" collapsed="false">
      <c r="A504" s="26"/>
      <c r="B504" s="26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4.25" hidden="false" customHeight="true" outlineLevel="0" collapsed="false">
      <c r="A505" s="26"/>
      <c r="B505" s="26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4.25" hidden="false" customHeight="true" outlineLevel="0" collapsed="false">
      <c r="A506" s="26"/>
      <c r="B506" s="26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4.25" hidden="false" customHeight="true" outlineLevel="0" collapsed="false">
      <c r="A507" s="26"/>
      <c r="B507" s="26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4.25" hidden="false" customHeight="true" outlineLevel="0" collapsed="false">
      <c r="A508" s="26"/>
      <c r="B508" s="26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4.25" hidden="false" customHeight="true" outlineLevel="0" collapsed="false">
      <c r="A509" s="26"/>
      <c r="B509" s="26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4.25" hidden="false" customHeight="true" outlineLevel="0" collapsed="false">
      <c r="A510" s="26"/>
      <c r="B510" s="26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4.25" hidden="false" customHeight="true" outlineLevel="0" collapsed="false">
      <c r="A511" s="26"/>
      <c r="B511" s="26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4.25" hidden="false" customHeight="true" outlineLevel="0" collapsed="false">
      <c r="A512" s="26"/>
      <c r="B512" s="26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4.25" hidden="false" customHeight="true" outlineLevel="0" collapsed="false">
      <c r="A513" s="26"/>
      <c r="B513" s="26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4.25" hidden="false" customHeight="true" outlineLevel="0" collapsed="false">
      <c r="A514" s="26"/>
      <c r="B514" s="26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4.25" hidden="false" customHeight="true" outlineLevel="0" collapsed="false">
      <c r="A515" s="26"/>
      <c r="B515" s="26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4.25" hidden="false" customHeight="true" outlineLevel="0" collapsed="false">
      <c r="A516" s="26"/>
      <c r="B516" s="26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4.25" hidden="false" customHeight="true" outlineLevel="0" collapsed="false">
      <c r="A517" s="26"/>
      <c r="B517" s="26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4.25" hidden="false" customHeight="true" outlineLevel="0" collapsed="false">
      <c r="A518" s="26"/>
      <c r="B518" s="26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4.25" hidden="false" customHeight="true" outlineLevel="0" collapsed="false">
      <c r="A519" s="26"/>
      <c r="B519" s="26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4.25" hidden="false" customHeight="true" outlineLevel="0" collapsed="false">
      <c r="A520" s="26"/>
      <c r="B520" s="26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4.25" hidden="false" customHeight="true" outlineLevel="0" collapsed="false">
      <c r="A521" s="26"/>
      <c r="B521" s="26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4.25" hidden="false" customHeight="true" outlineLevel="0" collapsed="false">
      <c r="A522" s="26"/>
      <c r="B522" s="26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4.25" hidden="false" customHeight="true" outlineLevel="0" collapsed="false">
      <c r="A523" s="26"/>
      <c r="B523" s="26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4.25" hidden="false" customHeight="true" outlineLevel="0" collapsed="false">
      <c r="A524" s="26"/>
      <c r="B524" s="26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4.25" hidden="false" customHeight="true" outlineLevel="0" collapsed="false">
      <c r="A525" s="26"/>
      <c r="B525" s="26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4.25" hidden="false" customHeight="true" outlineLevel="0" collapsed="false">
      <c r="A526" s="26"/>
      <c r="B526" s="26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4.25" hidden="false" customHeight="true" outlineLevel="0" collapsed="false">
      <c r="A527" s="26"/>
      <c r="B527" s="26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4.25" hidden="false" customHeight="true" outlineLevel="0" collapsed="false">
      <c r="A528" s="26"/>
      <c r="B528" s="26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4.25" hidden="false" customHeight="true" outlineLevel="0" collapsed="false">
      <c r="A529" s="26"/>
      <c r="B529" s="26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4.25" hidden="false" customHeight="true" outlineLevel="0" collapsed="false">
      <c r="A530" s="26"/>
      <c r="B530" s="26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4.25" hidden="false" customHeight="true" outlineLevel="0" collapsed="false">
      <c r="A531" s="26"/>
      <c r="B531" s="26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4.25" hidden="false" customHeight="true" outlineLevel="0" collapsed="false">
      <c r="A532" s="26"/>
      <c r="B532" s="26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4.25" hidden="false" customHeight="true" outlineLevel="0" collapsed="false">
      <c r="A533" s="26"/>
      <c r="B533" s="26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4.25" hidden="false" customHeight="true" outlineLevel="0" collapsed="false">
      <c r="A534" s="26"/>
      <c r="B534" s="26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4.25" hidden="false" customHeight="true" outlineLevel="0" collapsed="false">
      <c r="A535" s="26"/>
      <c r="B535" s="26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4.25" hidden="false" customHeight="true" outlineLevel="0" collapsed="false">
      <c r="A536" s="26"/>
      <c r="B536" s="26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4.25" hidden="false" customHeight="true" outlineLevel="0" collapsed="false">
      <c r="A537" s="26"/>
      <c r="B537" s="26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4.25" hidden="false" customHeight="true" outlineLevel="0" collapsed="false">
      <c r="A538" s="26"/>
      <c r="B538" s="26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4.25" hidden="false" customHeight="true" outlineLevel="0" collapsed="false">
      <c r="A539" s="26"/>
      <c r="B539" s="26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4.25" hidden="false" customHeight="true" outlineLevel="0" collapsed="false">
      <c r="A540" s="26"/>
      <c r="B540" s="26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4.25" hidden="false" customHeight="true" outlineLevel="0" collapsed="false">
      <c r="A541" s="26"/>
      <c r="B541" s="26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4.25" hidden="false" customHeight="true" outlineLevel="0" collapsed="false">
      <c r="A542" s="26"/>
      <c r="B542" s="26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4.25" hidden="false" customHeight="true" outlineLevel="0" collapsed="false">
      <c r="A543" s="26"/>
      <c r="B543" s="26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4.25" hidden="false" customHeight="true" outlineLevel="0" collapsed="false">
      <c r="A544" s="26"/>
      <c r="B544" s="26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4.25" hidden="false" customHeight="true" outlineLevel="0" collapsed="false">
      <c r="A545" s="26"/>
      <c r="B545" s="26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4.25" hidden="false" customHeight="true" outlineLevel="0" collapsed="false">
      <c r="A546" s="26"/>
      <c r="B546" s="26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4.25" hidden="false" customHeight="true" outlineLevel="0" collapsed="false">
      <c r="A547" s="26"/>
      <c r="B547" s="26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4.25" hidden="false" customHeight="true" outlineLevel="0" collapsed="false">
      <c r="A548" s="26"/>
      <c r="B548" s="26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4.25" hidden="false" customHeight="true" outlineLevel="0" collapsed="false">
      <c r="A549" s="26"/>
      <c r="B549" s="26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4.25" hidden="false" customHeight="true" outlineLevel="0" collapsed="false">
      <c r="A550" s="26"/>
      <c r="B550" s="26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4.25" hidden="false" customHeight="true" outlineLevel="0" collapsed="false">
      <c r="A551" s="26"/>
      <c r="B551" s="26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4.25" hidden="false" customHeight="true" outlineLevel="0" collapsed="false">
      <c r="A552" s="26"/>
      <c r="B552" s="26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4.25" hidden="false" customHeight="true" outlineLevel="0" collapsed="false">
      <c r="A553" s="26"/>
      <c r="B553" s="26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4.25" hidden="false" customHeight="true" outlineLevel="0" collapsed="false">
      <c r="A554" s="26"/>
      <c r="B554" s="26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4.25" hidden="false" customHeight="true" outlineLevel="0" collapsed="false">
      <c r="A555" s="26"/>
      <c r="B555" s="26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4.25" hidden="false" customHeight="true" outlineLevel="0" collapsed="false">
      <c r="A556" s="26"/>
      <c r="B556" s="26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4.25" hidden="false" customHeight="true" outlineLevel="0" collapsed="false">
      <c r="A557" s="26"/>
      <c r="B557" s="26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4.25" hidden="false" customHeight="true" outlineLevel="0" collapsed="false">
      <c r="A558" s="26"/>
      <c r="B558" s="26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4.25" hidden="false" customHeight="true" outlineLevel="0" collapsed="false">
      <c r="A559" s="26"/>
      <c r="B559" s="26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4.25" hidden="false" customHeight="true" outlineLevel="0" collapsed="false">
      <c r="A560" s="26"/>
      <c r="B560" s="26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4.25" hidden="false" customHeight="true" outlineLevel="0" collapsed="false">
      <c r="A561" s="26"/>
      <c r="B561" s="26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4.25" hidden="false" customHeight="true" outlineLevel="0" collapsed="false">
      <c r="A562" s="26"/>
      <c r="B562" s="26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4.25" hidden="false" customHeight="true" outlineLevel="0" collapsed="false">
      <c r="A563" s="26"/>
      <c r="B563" s="26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4.25" hidden="false" customHeight="true" outlineLevel="0" collapsed="false">
      <c r="A564" s="26"/>
      <c r="B564" s="26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4.25" hidden="false" customHeight="true" outlineLevel="0" collapsed="false">
      <c r="A565" s="26"/>
      <c r="B565" s="26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4.25" hidden="false" customHeight="true" outlineLevel="0" collapsed="false">
      <c r="A566" s="26"/>
      <c r="B566" s="26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4.25" hidden="false" customHeight="true" outlineLevel="0" collapsed="false">
      <c r="A567" s="26"/>
      <c r="B567" s="26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4.25" hidden="false" customHeight="true" outlineLevel="0" collapsed="false">
      <c r="A568" s="26"/>
      <c r="B568" s="26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4.25" hidden="false" customHeight="true" outlineLevel="0" collapsed="false">
      <c r="A569" s="26"/>
      <c r="B569" s="26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4.25" hidden="false" customHeight="true" outlineLevel="0" collapsed="false">
      <c r="A570" s="26"/>
      <c r="B570" s="26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4.25" hidden="false" customHeight="true" outlineLevel="0" collapsed="false">
      <c r="A571" s="26"/>
      <c r="B571" s="26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4.25" hidden="false" customHeight="true" outlineLevel="0" collapsed="false">
      <c r="A572" s="26"/>
      <c r="B572" s="26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4.25" hidden="false" customHeight="true" outlineLevel="0" collapsed="false">
      <c r="A573" s="26"/>
      <c r="B573" s="26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4.25" hidden="false" customHeight="true" outlineLevel="0" collapsed="false">
      <c r="A574" s="26"/>
      <c r="B574" s="26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4.25" hidden="false" customHeight="true" outlineLevel="0" collapsed="false">
      <c r="A575" s="26"/>
      <c r="B575" s="26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4.25" hidden="false" customHeight="true" outlineLevel="0" collapsed="false">
      <c r="A576" s="26"/>
      <c r="B576" s="26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4.25" hidden="false" customHeight="true" outlineLevel="0" collapsed="false">
      <c r="A577" s="26"/>
      <c r="B577" s="26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4.25" hidden="false" customHeight="true" outlineLevel="0" collapsed="false">
      <c r="A578" s="26"/>
      <c r="B578" s="26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4.25" hidden="false" customHeight="true" outlineLevel="0" collapsed="false">
      <c r="A579" s="26"/>
      <c r="B579" s="26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4.25" hidden="false" customHeight="true" outlineLevel="0" collapsed="false">
      <c r="A580" s="26"/>
      <c r="B580" s="26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4.25" hidden="false" customHeight="true" outlineLevel="0" collapsed="false">
      <c r="A581" s="26"/>
      <c r="B581" s="26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4.25" hidden="false" customHeight="true" outlineLevel="0" collapsed="false">
      <c r="A582" s="26"/>
      <c r="B582" s="26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4.25" hidden="false" customHeight="true" outlineLevel="0" collapsed="false">
      <c r="A583" s="26"/>
      <c r="B583" s="26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4.25" hidden="false" customHeight="true" outlineLevel="0" collapsed="false">
      <c r="A584" s="26"/>
      <c r="B584" s="26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4.25" hidden="false" customHeight="true" outlineLevel="0" collapsed="false">
      <c r="A585" s="26"/>
      <c r="B585" s="26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4.25" hidden="false" customHeight="true" outlineLevel="0" collapsed="false">
      <c r="A586" s="26"/>
      <c r="B586" s="26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4.25" hidden="false" customHeight="true" outlineLevel="0" collapsed="false">
      <c r="A587" s="26"/>
      <c r="B587" s="26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4.25" hidden="false" customHeight="true" outlineLevel="0" collapsed="false">
      <c r="A588" s="26"/>
      <c r="B588" s="26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4.25" hidden="false" customHeight="true" outlineLevel="0" collapsed="false">
      <c r="A589" s="26"/>
      <c r="B589" s="26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4.25" hidden="false" customHeight="true" outlineLevel="0" collapsed="false">
      <c r="A590" s="26"/>
      <c r="B590" s="26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4.25" hidden="false" customHeight="true" outlineLevel="0" collapsed="false">
      <c r="A591" s="26"/>
      <c r="B591" s="26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4.25" hidden="false" customHeight="true" outlineLevel="0" collapsed="false">
      <c r="A592" s="26"/>
      <c r="B592" s="26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4.25" hidden="false" customHeight="true" outlineLevel="0" collapsed="false">
      <c r="A593" s="26"/>
      <c r="B593" s="26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4.25" hidden="false" customHeight="true" outlineLevel="0" collapsed="false">
      <c r="A594" s="26"/>
      <c r="B594" s="26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4.25" hidden="false" customHeight="true" outlineLevel="0" collapsed="false">
      <c r="A595" s="26"/>
      <c r="B595" s="26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4.25" hidden="false" customHeight="true" outlineLevel="0" collapsed="false">
      <c r="A596" s="26"/>
      <c r="B596" s="26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4.25" hidden="false" customHeight="true" outlineLevel="0" collapsed="false">
      <c r="A597" s="26"/>
      <c r="B597" s="26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4.25" hidden="false" customHeight="true" outlineLevel="0" collapsed="false">
      <c r="A598" s="26"/>
      <c r="B598" s="26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4.25" hidden="false" customHeight="true" outlineLevel="0" collapsed="false">
      <c r="A599" s="26"/>
      <c r="B599" s="26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4.25" hidden="false" customHeight="true" outlineLevel="0" collapsed="false">
      <c r="A600" s="26"/>
      <c r="B600" s="26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4.25" hidden="false" customHeight="true" outlineLevel="0" collapsed="false">
      <c r="A601" s="26"/>
      <c r="B601" s="26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4.25" hidden="false" customHeight="true" outlineLevel="0" collapsed="false">
      <c r="A602" s="26"/>
      <c r="B602" s="26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4.25" hidden="false" customHeight="true" outlineLevel="0" collapsed="false">
      <c r="A603" s="26"/>
      <c r="B603" s="26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4.25" hidden="false" customHeight="true" outlineLevel="0" collapsed="false">
      <c r="A604" s="26"/>
      <c r="B604" s="26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4.25" hidden="false" customHeight="true" outlineLevel="0" collapsed="false">
      <c r="A605" s="26"/>
      <c r="B605" s="26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4.25" hidden="false" customHeight="true" outlineLevel="0" collapsed="false">
      <c r="A606" s="26"/>
      <c r="B606" s="26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4.25" hidden="false" customHeight="true" outlineLevel="0" collapsed="false">
      <c r="A607" s="26"/>
      <c r="B607" s="26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4.25" hidden="false" customHeight="true" outlineLevel="0" collapsed="false">
      <c r="A608" s="26"/>
      <c r="B608" s="26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4.25" hidden="false" customHeight="true" outlineLevel="0" collapsed="false">
      <c r="A609" s="26"/>
      <c r="B609" s="26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4.25" hidden="false" customHeight="true" outlineLevel="0" collapsed="false">
      <c r="A610" s="26"/>
      <c r="B610" s="26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4.25" hidden="false" customHeight="true" outlineLevel="0" collapsed="false">
      <c r="A611" s="26"/>
      <c r="B611" s="26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4.25" hidden="false" customHeight="true" outlineLevel="0" collapsed="false">
      <c r="A612" s="26"/>
      <c r="B612" s="26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4.25" hidden="false" customHeight="true" outlineLevel="0" collapsed="false">
      <c r="A613" s="26"/>
      <c r="B613" s="26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4.25" hidden="false" customHeight="true" outlineLevel="0" collapsed="false">
      <c r="A614" s="26"/>
      <c r="B614" s="26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4.25" hidden="false" customHeight="true" outlineLevel="0" collapsed="false">
      <c r="A615" s="26"/>
      <c r="B615" s="26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4.25" hidden="false" customHeight="true" outlineLevel="0" collapsed="false">
      <c r="A616" s="26"/>
      <c r="B616" s="26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4.25" hidden="false" customHeight="true" outlineLevel="0" collapsed="false">
      <c r="A617" s="26"/>
      <c r="B617" s="26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4.25" hidden="false" customHeight="true" outlineLevel="0" collapsed="false">
      <c r="A618" s="26"/>
      <c r="B618" s="26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4.25" hidden="false" customHeight="true" outlineLevel="0" collapsed="false">
      <c r="A619" s="26"/>
      <c r="B619" s="26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4.25" hidden="false" customHeight="true" outlineLevel="0" collapsed="false">
      <c r="A620" s="26"/>
      <c r="B620" s="26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4.25" hidden="false" customHeight="true" outlineLevel="0" collapsed="false">
      <c r="A621" s="26"/>
      <c r="B621" s="26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4.25" hidden="false" customHeight="true" outlineLevel="0" collapsed="false">
      <c r="A622" s="26"/>
      <c r="B622" s="26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4.25" hidden="false" customHeight="true" outlineLevel="0" collapsed="false">
      <c r="A623" s="26"/>
      <c r="B623" s="26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4.25" hidden="false" customHeight="true" outlineLevel="0" collapsed="false">
      <c r="A624" s="26"/>
      <c r="B624" s="26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4.25" hidden="false" customHeight="true" outlineLevel="0" collapsed="false">
      <c r="A625" s="26"/>
      <c r="B625" s="26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4.25" hidden="false" customHeight="true" outlineLevel="0" collapsed="false">
      <c r="A626" s="26"/>
      <c r="B626" s="26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4.25" hidden="false" customHeight="true" outlineLevel="0" collapsed="false">
      <c r="A627" s="26"/>
      <c r="B627" s="26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4.25" hidden="false" customHeight="true" outlineLevel="0" collapsed="false">
      <c r="A628" s="26"/>
      <c r="B628" s="26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4.25" hidden="false" customHeight="true" outlineLevel="0" collapsed="false">
      <c r="A629" s="26"/>
      <c r="B629" s="26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4.25" hidden="false" customHeight="true" outlineLevel="0" collapsed="false">
      <c r="A630" s="26"/>
      <c r="B630" s="26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4.25" hidden="false" customHeight="true" outlineLevel="0" collapsed="false">
      <c r="A631" s="26"/>
      <c r="B631" s="26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4.25" hidden="false" customHeight="true" outlineLevel="0" collapsed="false">
      <c r="A632" s="26"/>
      <c r="B632" s="26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4.25" hidden="false" customHeight="true" outlineLevel="0" collapsed="false">
      <c r="A633" s="26"/>
      <c r="B633" s="26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4.25" hidden="false" customHeight="true" outlineLevel="0" collapsed="false">
      <c r="A634" s="26"/>
      <c r="B634" s="26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4.25" hidden="false" customHeight="true" outlineLevel="0" collapsed="false">
      <c r="A635" s="26"/>
      <c r="B635" s="26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4.25" hidden="false" customHeight="true" outlineLevel="0" collapsed="false">
      <c r="A636" s="26"/>
      <c r="B636" s="26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4.25" hidden="false" customHeight="true" outlineLevel="0" collapsed="false">
      <c r="A637" s="26"/>
      <c r="B637" s="26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4.25" hidden="false" customHeight="true" outlineLevel="0" collapsed="false">
      <c r="A638" s="26"/>
      <c r="B638" s="26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4.25" hidden="false" customHeight="true" outlineLevel="0" collapsed="false">
      <c r="A639" s="26"/>
      <c r="B639" s="26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4.25" hidden="false" customHeight="true" outlineLevel="0" collapsed="false">
      <c r="A640" s="26"/>
      <c r="B640" s="26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4.25" hidden="false" customHeight="true" outlineLevel="0" collapsed="false">
      <c r="A641" s="26"/>
      <c r="B641" s="26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4.25" hidden="false" customHeight="true" outlineLevel="0" collapsed="false">
      <c r="A642" s="26"/>
      <c r="B642" s="26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4.25" hidden="false" customHeight="true" outlineLevel="0" collapsed="false">
      <c r="A643" s="26"/>
      <c r="B643" s="26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4.25" hidden="false" customHeight="true" outlineLevel="0" collapsed="false">
      <c r="A644" s="26"/>
      <c r="B644" s="26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4.25" hidden="false" customHeight="true" outlineLevel="0" collapsed="false">
      <c r="A645" s="26"/>
      <c r="B645" s="26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4.25" hidden="false" customHeight="true" outlineLevel="0" collapsed="false">
      <c r="A646" s="26"/>
      <c r="B646" s="26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4.25" hidden="false" customHeight="true" outlineLevel="0" collapsed="false">
      <c r="A647" s="26"/>
      <c r="B647" s="26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4.25" hidden="false" customHeight="true" outlineLevel="0" collapsed="false">
      <c r="A648" s="26"/>
      <c r="B648" s="26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4.25" hidden="false" customHeight="true" outlineLevel="0" collapsed="false">
      <c r="A649" s="26"/>
      <c r="B649" s="26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4.25" hidden="false" customHeight="true" outlineLevel="0" collapsed="false">
      <c r="A650" s="26"/>
      <c r="B650" s="26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4.25" hidden="false" customHeight="true" outlineLevel="0" collapsed="false">
      <c r="A651" s="26"/>
      <c r="B651" s="26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4.25" hidden="false" customHeight="true" outlineLevel="0" collapsed="false">
      <c r="A652" s="26"/>
      <c r="B652" s="26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4.25" hidden="false" customHeight="true" outlineLevel="0" collapsed="false">
      <c r="A653" s="26"/>
      <c r="B653" s="26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4.25" hidden="false" customHeight="true" outlineLevel="0" collapsed="false">
      <c r="A654" s="26"/>
      <c r="B654" s="26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4.25" hidden="false" customHeight="true" outlineLevel="0" collapsed="false">
      <c r="A655" s="26"/>
      <c r="B655" s="26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4.25" hidden="false" customHeight="true" outlineLevel="0" collapsed="false">
      <c r="A656" s="26"/>
      <c r="B656" s="26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4.25" hidden="false" customHeight="true" outlineLevel="0" collapsed="false">
      <c r="A657" s="26"/>
      <c r="B657" s="26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4.25" hidden="false" customHeight="true" outlineLevel="0" collapsed="false">
      <c r="A658" s="26"/>
      <c r="B658" s="26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4.25" hidden="false" customHeight="true" outlineLevel="0" collapsed="false">
      <c r="A659" s="26"/>
      <c r="B659" s="26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4.25" hidden="false" customHeight="true" outlineLevel="0" collapsed="false">
      <c r="A660" s="26"/>
      <c r="B660" s="26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4.25" hidden="false" customHeight="true" outlineLevel="0" collapsed="false">
      <c r="A661" s="26"/>
      <c r="B661" s="26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4.25" hidden="false" customHeight="true" outlineLevel="0" collapsed="false">
      <c r="A662" s="26"/>
      <c r="B662" s="26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4.25" hidden="false" customHeight="true" outlineLevel="0" collapsed="false">
      <c r="A663" s="26"/>
      <c r="B663" s="26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4.25" hidden="false" customHeight="true" outlineLevel="0" collapsed="false">
      <c r="A664" s="26"/>
      <c r="B664" s="26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4.25" hidden="false" customHeight="true" outlineLevel="0" collapsed="false">
      <c r="A665" s="26"/>
      <c r="B665" s="26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4.25" hidden="false" customHeight="true" outlineLevel="0" collapsed="false">
      <c r="A666" s="26"/>
      <c r="B666" s="26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4.25" hidden="false" customHeight="true" outlineLevel="0" collapsed="false">
      <c r="A667" s="26"/>
      <c r="B667" s="26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4.25" hidden="false" customHeight="true" outlineLevel="0" collapsed="false">
      <c r="A668" s="26"/>
      <c r="B668" s="26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4.25" hidden="false" customHeight="true" outlineLevel="0" collapsed="false">
      <c r="A669" s="26"/>
      <c r="B669" s="26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4.25" hidden="false" customHeight="true" outlineLevel="0" collapsed="false">
      <c r="A670" s="26"/>
      <c r="B670" s="26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4.25" hidden="false" customHeight="true" outlineLevel="0" collapsed="false">
      <c r="A671" s="26"/>
      <c r="B671" s="26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4.25" hidden="false" customHeight="true" outlineLevel="0" collapsed="false">
      <c r="A672" s="26"/>
      <c r="B672" s="26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4.25" hidden="false" customHeight="true" outlineLevel="0" collapsed="false">
      <c r="A673" s="26"/>
      <c r="B673" s="26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4.25" hidden="false" customHeight="true" outlineLevel="0" collapsed="false">
      <c r="A674" s="26"/>
      <c r="B674" s="26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4.25" hidden="false" customHeight="true" outlineLevel="0" collapsed="false">
      <c r="A675" s="26"/>
      <c r="B675" s="26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4.25" hidden="false" customHeight="true" outlineLevel="0" collapsed="false">
      <c r="A676" s="26"/>
      <c r="B676" s="26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4.25" hidden="false" customHeight="true" outlineLevel="0" collapsed="false">
      <c r="A677" s="26"/>
      <c r="B677" s="26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4.25" hidden="false" customHeight="true" outlineLevel="0" collapsed="false">
      <c r="A678" s="26"/>
      <c r="B678" s="26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4.25" hidden="false" customHeight="true" outlineLevel="0" collapsed="false">
      <c r="A679" s="26"/>
      <c r="B679" s="26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4.25" hidden="false" customHeight="true" outlineLevel="0" collapsed="false">
      <c r="A680" s="26"/>
      <c r="B680" s="26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4.25" hidden="false" customHeight="true" outlineLevel="0" collapsed="false">
      <c r="A681" s="26"/>
      <c r="B681" s="26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4.25" hidden="false" customHeight="true" outlineLevel="0" collapsed="false">
      <c r="A682" s="26"/>
      <c r="B682" s="26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4.25" hidden="false" customHeight="true" outlineLevel="0" collapsed="false">
      <c r="A683" s="26"/>
      <c r="B683" s="26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4.25" hidden="false" customHeight="true" outlineLevel="0" collapsed="false">
      <c r="A684" s="26"/>
      <c r="B684" s="26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4.25" hidden="false" customHeight="true" outlineLevel="0" collapsed="false">
      <c r="A685" s="26"/>
      <c r="B685" s="26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4.25" hidden="false" customHeight="true" outlineLevel="0" collapsed="false">
      <c r="A686" s="26"/>
      <c r="B686" s="26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4.25" hidden="false" customHeight="true" outlineLevel="0" collapsed="false">
      <c r="A687" s="26"/>
      <c r="B687" s="26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4.25" hidden="false" customHeight="true" outlineLevel="0" collapsed="false">
      <c r="A688" s="26"/>
      <c r="B688" s="26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4.25" hidden="false" customHeight="true" outlineLevel="0" collapsed="false">
      <c r="A689" s="26"/>
      <c r="B689" s="26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4.25" hidden="false" customHeight="true" outlineLevel="0" collapsed="false">
      <c r="A690" s="26"/>
      <c r="B690" s="26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4.25" hidden="false" customHeight="true" outlineLevel="0" collapsed="false">
      <c r="A691" s="26"/>
      <c r="B691" s="26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4.25" hidden="false" customHeight="true" outlineLevel="0" collapsed="false">
      <c r="A692" s="26"/>
      <c r="B692" s="26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4.25" hidden="false" customHeight="true" outlineLevel="0" collapsed="false">
      <c r="A693" s="26"/>
      <c r="B693" s="26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4.25" hidden="false" customHeight="true" outlineLevel="0" collapsed="false">
      <c r="A694" s="26"/>
      <c r="B694" s="26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4.25" hidden="false" customHeight="true" outlineLevel="0" collapsed="false">
      <c r="A695" s="26"/>
      <c r="B695" s="26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4.25" hidden="false" customHeight="true" outlineLevel="0" collapsed="false">
      <c r="A696" s="26"/>
      <c r="B696" s="26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4.25" hidden="false" customHeight="true" outlineLevel="0" collapsed="false">
      <c r="A697" s="26"/>
      <c r="B697" s="26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4.25" hidden="false" customHeight="true" outlineLevel="0" collapsed="false">
      <c r="A698" s="26"/>
      <c r="B698" s="26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4.25" hidden="false" customHeight="true" outlineLevel="0" collapsed="false">
      <c r="A699" s="26"/>
      <c r="B699" s="26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4.25" hidden="false" customHeight="true" outlineLevel="0" collapsed="false">
      <c r="A700" s="26"/>
      <c r="B700" s="26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4.25" hidden="false" customHeight="true" outlineLevel="0" collapsed="false">
      <c r="A701" s="26"/>
      <c r="B701" s="26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4.25" hidden="false" customHeight="true" outlineLevel="0" collapsed="false">
      <c r="A702" s="26"/>
      <c r="B702" s="26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4.25" hidden="false" customHeight="true" outlineLevel="0" collapsed="false">
      <c r="A703" s="26"/>
      <c r="B703" s="26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4.25" hidden="false" customHeight="true" outlineLevel="0" collapsed="false">
      <c r="A704" s="26"/>
      <c r="B704" s="26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4.25" hidden="false" customHeight="true" outlineLevel="0" collapsed="false">
      <c r="A705" s="26"/>
      <c r="B705" s="26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4.25" hidden="false" customHeight="true" outlineLevel="0" collapsed="false">
      <c r="A706" s="26"/>
      <c r="B706" s="26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4.25" hidden="false" customHeight="true" outlineLevel="0" collapsed="false">
      <c r="A707" s="26"/>
      <c r="B707" s="26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4.25" hidden="false" customHeight="true" outlineLevel="0" collapsed="false">
      <c r="A708" s="26"/>
      <c r="B708" s="26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4.25" hidden="false" customHeight="true" outlineLevel="0" collapsed="false">
      <c r="A709" s="26"/>
      <c r="B709" s="26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4.25" hidden="false" customHeight="true" outlineLevel="0" collapsed="false">
      <c r="A710" s="26"/>
      <c r="B710" s="26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4.25" hidden="false" customHeight="true" outlineLevel="0" collapsed="false">
      <c r="A711" s="26"/>
      <c r="B711" s="26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4.25" hidden="false" customHeight="true" outlineLevel="0" collapsed="false">
      <c r="A712" s="26"/>
      <c r="B712" s="26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4.25" hidden="false" customHeight="true" outlineLevel="0" collapsed="false">
      <c r="A713" s="26"/>
      <c r="B713" s="26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4.25" hidden="false" customHeight="true" outlineLevel="0" collapsed="false">
      <c r="A714" s="26"/>
      <c r="B714" s="26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4.25" hidden="false" customHeight="true" outlineLevel="0" collapsed="false">
      <c r="A715" s="26"/>
      <c r="B715" s="26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4.25" hidden="false" customHeight="true" outlineLevel="0" collapsed="false">
      <c r="A716" s="26"/>
      <c r="B716" s="26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4.25" hidden="false" customHeight="true" outlineLevel="0" collapsed="false">
      <c r="A717" s="26"/>
      <c r="B717" s="26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4.25" hidden="false" customHeight="true" outlineLevel="0" collapsed="false">
      <c r="A718" s="26"/>
      <c r="B718" s="26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4.25" hidden="false" customHeight="true" outlineLevel="0" collapsed="false">
      <c r="A719" s="26"/>
      <c r="B719" s="26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4.25" hidden="false" customHeight="true" outlineLevel="0" collapsed="false">
      <c r="A720" s="26"/>
      <c r="B720" s="26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4.25" hidden="false" customHeight="true" outlineLevel="0" collapsed="false">
      <c r="A721" s="26"/>
      <c r="B721" s="26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4.25" hidden="false" customHeight="true" outlineLevel="0" collapsed="false">
      <c r="A722" s="26"/>
      <c r="B722" s="26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4.25" hidden="false" customHeight="true" outlineLevel="0" collapsed="false">
      <c r="A723" s="26"/>
      <c r="B723" s="26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4.25" hidden="false" customHeight="true" outlineLevel="0" collapsed="false">
      <c r="A724" s="26"/>
      <c r="B724" s="26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4.25" hidden="false" customHeight="true" outlineLevel="0" collapsed="false">
      <c r="A725" s="26"/>
      <c r="B725" s="26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4.25" hidden="false" customHeight="true" outlineLevel="0" collapsed="false">
      <c r="A726" s="26"/>
      <c r="B726" s="26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4.25" hidden="false" customHeight="true" outlineLevel="0" collapsed="false">
      <c r="A727" s="26"/>
      <c r="B727" s="26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4.25" hidden="false" customHeight="true" outlineLevel="0" collapsed="false">
      <c r="A728" s="26"/>
      <c r="B728" s="26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4.25" hidden="false" customHeight="true" outlineLevel="0" collapsed="false">
      <c r="A729" s="26"/>
      <c r="B729" s="26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4.25" hidden="false" customHeight="true" outlineLevel="0" collapsed="false">
      <c r="A730" s="26"/>
      <c r="B730" s="26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4.25" hidden="false" customHeight="true" outlineLevel="0" collapsed="false">
      <c r="A731" s="26"/>
      <c r="B731" s="26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4.25" hidden="false" customHeight="true" outlineLevel="0" collapsed="false">
      <c r="A732" s="26"/>
      <c r="B732" s="26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4.25" hidden="false" customHeight="true" outlineLevel="0" collapsed="false">
      <c r="A733" s="26"/>
      <c r="B733" s="26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4.25" hidden="false" customHeight="true" outlineLevel="0" collapsed="false">
      <c r="A734" s="26"/>
      <c r="B734" s="26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4.25" hidden="false" customHeight="true" outlineLevel="0" collapsed="false">
      <c r="A735" s="26"/>
      <c r="B735" s="26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4.25" hidden="false" customHeight="true" outlineLevel="0" collapsed="false">
      <c r="A736" s="26"/>
      <c r="B736" s="26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4.25" hidden="false" customHeight="true" outlineLevel="0" collapsed="false">
      <c r="A737" s="26"/>
      <c r="B737" s="26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4.25" hidden="false" customHeight="true" outlineLevel="0" collapsed="false">
      <c r="A738" s="26"/>
      <c r="B738" s="26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4.25" hidden="false" customHeight="true" outlineLevel="0" collapsed="false">
      <c r="A739" s="26"/>
      <c r="B739" s="26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4.25" hidden="false" customHeight="true" outlineLevel="0" collapsed="false">
      <c r="A740" s="26"/>
      <c r="B740" s="26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4.25" hidden="false" customHeight="true" outlineLevel="0" collapsed="false">
      <c r="A741" s="26"/>
      <c r="B741" s="26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4.25" hidden="false" customHeight="true" outlineLevel="0" collapsed="false">
      <c r="A742" s="26"/>
      <c r="B742" s="26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4.25" hidden="false" customHeight="true" outlineLevel="0" collapsed="false">
      <c r="A743" s="26"/>
      <c r="B743" s="26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4.25" hidden="false" customHeight="true" outlineLevel="0" collapsed="false">
      <c r="A744" s="26"/>
      <c r="B744" s="26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4.25" hidden="false" customHeight="true" outlineLevel="0" collapsed="false">
      <c r="A745" s="26"/>
      <c r="B745" s="26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4.25" hidden="false" customHeight="true" outlineLevel="0" collapsed="false">
      <c r="A746" s="26"/>
      <c r="B746" s="26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4.25" hidden="false" customHeight="true" outlineLevel="0" collapsed="false">
      <c r="A747" s="26"/>
      <c r="B747" s="26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4.25" hidden="false" customHeight="true" outlineLevel="0" collapsed="false">
      <c r="A748" s="26"/>
      <c r="B748" s="26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4.25" hidden="false" customHeight="true" outlineLevel="0" collapsed="false">
      <c r="A749" s="26"/>
      <c r="B749" s="26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4.25" hidden="false" customHeight="true" outlineLevel="0" collapsed="false">
      <c r="A750" s="26"/>
      <c r="B750" s="26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4.25" hidden="false" customHeight="true" outlineLevel="0" collapsed="false">
      <c r="A751" s="26"/>
      <c r="B751" s="26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4.25" hidden="false" customHeight="true" outlineLevel="0" collapsed="false">
      <c r="A752" s="26"/>
      <c r="B752" s="26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4.25" hidden="false" customHeight="true" outlineLevel="0" collapsed="false">
      <c r="A753" s="26"/>
      <c r="B753" s="26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4.25" hidden="false" customHeight="true" outlineLevel="0" collapsed="false">
      <c r="A754" s="26"/>
      <c r="B754" s="26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4.25" hidden="false" customHeight="true" outlineLevel="0" collapsed="false">
      <c r="A755" s="26"/>
      <c r="B755" s="26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4.25" hidden="false" customHeight="true" outlineLevel="0" collapsed="false">
      <c r="A756" s="26"/>
      <c r="B756" s="26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4.25" hidden="false" customHeight="true" outlineLevel="0" collapsed="false">
      <c r="A757" s="26"/>
      <c r="B757" s="26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4.25" hidden="false" customHeight="true" outlineLevel="0" collapsed="false">
      <c r="A758" s="26"/>
      <c r="B758" s="26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4.25" hidden="false" customHeight="true" outlineLevel="0" collapsed="false">
      <c r="A759" s="26"/>
      <c r="B759" s="26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4.25" hidden="false" customHeight="true" outlineLevel="0" collapsed="false">
      <c r="A760" s="26"/>
      <c r="B760" s="26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4.25" hidden="false" customHeight="true" outlineLevel="0" collapsed="false">
      <c r="A761" s="26"/>
      <c r="B761" s="26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4.25" hidden="false" customHeight="true" outlineLevel="0" collapsed="false">
      <c r="A762" s="26"/>
      <c r="B762" s="26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4.25" hidden="false" customHeight="true" outlineLevel="0" collapsed="false">
      <c r="A763" s="26"/>
      <c r="B763" s="26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4.25" hidden="false" customHeight="true" outlineLevel="0" collapsed="false">
      <c r="A764" s="26"/>
      <c r="B764" s="26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4.25" hidden="false" customHeight="true" outlineLevel="0" collapsed="false">
      <c r="A765" s="26"/>
      <c r="B765" s="26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4.25" hidden="false" customHeight="true" outlineLevel="0" collapsed="false">
      <c r="A766" s="26"/>
      <c r="B766" s="26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4.25" hidden="false" customHeight="true" outlineLevel="0" collapsed="false">
      <c r="A767" s="26"/>
      <c r="B767" s="26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4.25" hidden="false" customHeight="true" outlineLevel="0" collapsed="false">
      <c r="A768" s="26"/>
      <c r="B768" s="26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4.25" hidden="false" customHeight="true" outlineLevel="0" collapsed="false">
      <c r="A769" s="26"/>
      <c r="B769" s="26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4.25" hidden="false" customHeight="true" outlineLevel="0" collapsed="false">
      <c r="A770" s="26"/>
      <c r="B770" s="26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4.25" hidden="false" customHeight="true" outlineLevel="0" collapsed="false">
      <c r="A771" s="26"/>
      <c r="B771" s="26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4.25" hidden="false" customHeight="true" outlineLevel="0" collapsed="false">
      <c r="A772" s="26"/>
      <c r="B772" s="26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4.25" hidden="false" customHeight="true" outlineLevel="0" collapsed="false">
      <c r="A773" s="26"/>
      <c r="B773" s="26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4.25" hidden="false" customHeight="true" outlineLevel="0" collapsed="false">
      <c r="A774" s="26"/>
      <c r="B774" s="26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4.25" hidden="false" customHeight="true" outlineLevel="0" collapsed="false">
      <c r="A775" s="26"/>
      <c r="B775" s="26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4.25" hidden="false" customHeight="true" outlineLevel="0" collapsed="false">
      <c r="A776" s="26"/>
      <c r="B776" s="26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4.25" hidden="false" customHeight="true" outlineLevel="0" collapsed="false">
      <c r="A777" s="26"/>
      <c r="B777" s="26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4.25" hidden="false" customHeight="true" outlineLevel="0" collapsed="false">
      <c r="A778" s="26"/>
      <c r="B778" s="26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4.25" hidden="false" customHeight="true" outlineLevel="0" collapsed="false">
      <c r="A779" s="26"/>
      <c r="B779" s="26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4.25" hidden="false" customHeight="true" outlineLevel="0" collapsed="false">
      <c r="A780" s="26"/>
      <c r="B780" s="26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4.25" hidden="false" customHeight="true" outlineLevel="0" collapsed="false">
      <c r="A781" s="26"/>
      <c r="B781" s="26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4.25" hidden="false" customHeight="true" outlineLevel="0" collapsed="false">
      <c r="A782" s="26"/>
      <c r="B782" s="26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4.25" hidden="false" customHeight="true" outlineLevel="0" collapsed="false">
      <c r="A783" s="26"/>
      <c r="B783" s="26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4.25" hidden="false" customHeight="true" outlineLevel="0" collapsed="false">
      <c r="A784" s="26"/>
      <c r="B784" s="26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4.25" hidden="false" customHeight="true" outlineLevel="0" collapsed="false">
      <c r="A785" s="26"/>
      <c r="B785" s="26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4.25" hidden="false" customHeight="true" outlineLevel="0" collapsed="false">
      <c r="A786" s="26"/>
      <c r="B786" s="26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4.25" hidden="false" customHeight="true" outlineLevel="0" collapsed="false">
      <c r="A787" s="26"/>
      <c r="B787" s="26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4.25" hidden="false" customHeight="true" outlineLevel="0" collapsed="false">
      <c r="A788" s="26"/>
      <c r="B788" s="26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4.25" hidden="false" customHeight="true" outlineLevel="0" collapsed="false">
      <c r="A789" s="26"/>
      <c r="B789" s="26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4.25" hidden="false" customHeight="true" outlineLevel="0" collapsed="false">
      <c r="A790" s="26"/>
      <c r="B790" s="26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4.25" hidden="false" customHeight="true" outlineLevel="0" collapsed="false">
      <c r="A791" s="26"/>
      <c r="B791" s="26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4.25" hidden="false" customHeight="true" outlineLevel="0" collapsed="false">
      <c r="A792" s="26"/>
      <c r="B792" s="26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4.25" hidden="false" customHeight="true" outlineLevel="0" collapsed="false">
      <c r="A793" s="26"/>
      <c r="B793" s="26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4.25" hidden="false" customHeight="true" outlineLevel="0" collapsed="false">
      <c r="A794" s="26"/>
      <c r="B794" s="26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4.25" hidden="false" customHeight="true" outlineLevel="0" collapsed="false">
      <c r="A795" s="26"/>
      <c r="B795" s="26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4.25" hidden="false" customHeight="true" outlineLevel="0" collapsed="false">
      <c r="A796" s="26"/>
      <c r="B796" s="26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4.25" hidden="false" customHeight="true" outlineLevel="0" collapsed="false">
      <c r="A797" s="26"/>
      <c r="B797" s="26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4.25" hidden="false" customHeight="true" outlineLevel="0" collapsed="false">
      <c r="A798" s="26"/>
      <c r="B798" s="26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4.25" hidden="false" customHeight="true" outlineLevel="0" collapsed="false">
      <c r="A799" s="26"/>
      <c r="B799" s="26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4.25" hidden="false" customHeight="true" outlineLevel="0" collapsed="false">
      <c r="A800" s="26"/>
      <c r="B800" s="26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4.25" hidden="false" customHeight="true" outlineLevel="0" collapsed="false">
      <c r="A801" s="26"/>
      <c r="B801" s="26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4.25" hidden="false" customHeight="true" outlineLevel="0" collapsed="false">
      <c r="A802" s="26"/>
      <c r="B802" s="26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4.25" hidden="false" customHeight="true" outlineLevel="0" collapsed="false">
      <c r="A803" s="26"/>
      <c r="B803" s="26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4.25" hidden="false" customHeight="true" outlineLevel="0" collapsed="false">
      <c r="A804" s="26"/>
      <c r="B804" s="26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4.25" hidden="false" customHeight="true" outlineLevel="0" collapsed="false">
      <c r="A805" s="26"/>
      <c r="B805" s="26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4.25" hidden="false" customHeight="true" outlineLevel="0" collapsed="false">
      <c r="A806" s="26"/>
      <c r="B806" s="26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4.25" hidden="false" customHeight="true" outlineLevel="0" collapsed="false">
      <c r="A807" s="26"/>
      <c r="B807" s="26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4.25" hidden="false" customHeight="true" outlineLevel="0" collapsed="false">
      <c r="A808" s="26"/>
      <c r="B808" s="26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4.25" hidden="false" customHeight="true" outlineLevel="0" collapsed="false">
      <c r="A809" s="26"/>
      <c r="B809" s="26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4.25" hidden="false" customHeight="true" outlineLevel="0" collapsed="false">
      <c r="A810" s="26"/>
      <c r="B810" s="26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4.25" hidden="false" customHeight="true" outlineLevel="0" collapsed="false">
      <c r="A811" s="26"/>
      <c r="B811" s="26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4.25" hidden="false" customHeight="true" outlineLevel="0" collapsed="false">
      <c r="A812" s="26"/>
      <c r="B812" s="26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4.25" hidden="false" customHeight="true" outlineLevel="0" collapsed="false">
      <c r="A813" s="26"/>
      <c r="B813" s="26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4.25" hidden="false" customHeight="true" outlineLevel="0" collapsed="false">
      <c r="A814" s="26"/>
      <c r="B814" s="26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4.25" hidden="false" customHeight="true" outlineLevel="0" collapsed="false">
      <c r="A815" s="26"/>
      <c r="B815" s="26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4.25" hidden="false" customHeight="true" outlineLevel="0" collapsed="false">
      <c r="A816" s="26"/>
      <c r="B816" s="26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4.25" hidden="false" customHeight="true" outlineLevel="0" collapsed="false">
      <c r="A817" s="26"/>
      <c r="B817" s="26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4.25" hidden="false" customHeight="true" outlineLevel="0" collapsed="false">
      <c r="A818" s="26"/>
      <c r="B818" s="26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4.25" hidden="false" customHeight="true" outlineLevel="0" collapsed="false">
      <c r="A819" s="26"/>
      <c r="B819" s="26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4.25" hidden="false" customHeight="true" outlineLevel="0" collapsed="false">
      <c r="A820" s="26"/>
      <c r="B820" s="26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4.25" hidden="false" customHeight="true" outlineLevel="0" collapsed="false">
      <c r="A821" s="26"/>
      <c r="B821" s="26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4.25" hidden="false" customHeight="true" outlineLevel="0" collapsed="false">
      <c r="A822" s="26"/>
      <c r="B822" s="26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4.25" hidden="false" customHeight="true" outlineLevel="0" collapsed="false">
      <c r="A823" s="26"/>
      <c r="B823" s="26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4.25" hidden="false" customHeight="true" outlineLevel="0" collapsed="false">
      <c r="A824" s="26"/>
      <c r="B824" s="26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4.25" hidden="false" customHeight="true" outlineLevel="0" collapsed="false">
      <c r="A825" s="26"/>
      <c r="B825" s="26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4.25" hidden="false" customHeight="true" outlineLevel="0" collapsed="false">
      <c r="A826" s="26"/>
      <c r="B826" s="26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4.25" hidden="false" customHeight="true" outlineLevel="0" collapsed="false">
      <c r="A827" s="26"/>
      <c r="B827" s="26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4.25" hidden="false" customHeight="true" outlineLevel="0" collapsed="false">
      <c r="A828" s="26"/>
      <c r="B828" s="26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4.25" hidden="false" customHeight="true" outlineLevel="0" collapsed="false">
      <c r="A829" s="26"/>
      <c r="B829" s="26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4.25" hidden="false" customHeight="true" outlineLevel="0" collapsed="false">
      <c r="A830" s="26"/>
      <c r="B830" s="26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4.25" hidden="false" customHeight="true" outlineLevel="0" collapsed="false">
      <c r="A831" s="26"/>
      <c r="B831" s="26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4.25" hidden="false" customHeight="true" outlineLevel="0" collapsed="false">
      <c r="A832" s="26"/>
      <c r="B832" s="26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4.25" hidden="false" customHeight="true" outlineLevel="0" collapsed="false">
      <c r="A833" s="26"/>
      <c r="B833" s="26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4.25" hidden="false" customHeight="true" outlineLevel="0" collapsed="false">
      <c r="A834" s="26"/>
      <c r="B834" s="26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4.25" hidden="false" customHeight="true" outlineLevel="0" collapsed="false">
      <c r="A835" s="26"/>
      <c r="B835" s="26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4.25" hidden="false" customHeight="true" outlineLevel="0" collapsed="false">
      <c r="A836" s="26"/>
      <c r="B836" s="26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4.25" hidden="false" customHeight="true" outlineLevel="0" collapsed="false">
      <c r="A837" s="26"/>
      <c r="B837" s="26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4.25" hidden="false" customHeight="true" outlineLevel="0" collapsed="false">
      <c r="A838" s="26"/>
      <c r="B838" s="26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4.25" hidden="false" customHeight="true" outlineLevel="0" collapsed="false">
      <c r="A839" s="26"/>
      <c r="B839" s="26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4.25" hidden="false" customHeight="true" outlineLevel="0" collapsed="false">
      <c r="A840" s="26"/>
      <c r="B840" s="26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4.25" hidden="false" customHeight="true" outlineLevel="0" collapsed="false">
      <c r="A841" s="26"/>
      <c r="B841" s="26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4.25" hidden="false" customHeight="true" outlineLevel="0" collapsed="false">
      <c r="A842" s="26"/>
      <c r="B842" s="26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4.25" hidden="false" customHeight="true" outlineLevel="0" collapsed="false">
      <c r="A843" s="26"/>
      <c r="B843" s="26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4.25" hidden="false" customHeight="true" outlineLevel="0" collapsed="false">
      <c r="A844" s="26"/>
      <c r="B844" s="26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4.25" hidden="false" customHeight="true" outlineLevel="0" collapsed="false">
      <c r="A845" s="26"/>
      <c r="B845" s="26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4.25" hidden="false" customHeight="true" outlineLevel="0" collapsed="false">
      <c r="A846" s="26"/>
      <c r="B846" s="26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4.25" hidden="false" customHeight="true" outlineLevel="0" collapsed="false">
      <c r="A847" s="26"/>
      <c r="B847" s="26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4.25" hidden="false" customHeight="true" outlineLevel="0" collapsed="false">
      <c r="A848" s="26"/>
      <c r="B848" s="26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4.25" hidden="false" customHeight="true" outlineLevel="0" collapsed="false">
      <c r="A849" s="26"/>
      <c r="B849" s="26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4.25" hidden="false" customHeight="true" outlineLevel="0" collapsed="false">
      <c r="A850" s="26"/>
      <c r="B850" s="26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4.25" hidden="false" customHeight="true" outlineLevel="0" collapsed="false">
      <c r="A851" s="26"/>
      <c r="B851" s="26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4.25" hidden="false" customHeight="true" outlineLevel="0" collapsed="false">
      <c r="A852" s="26"/>
      <c r="B852" s="26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4.25" hidden="false" customHeight="true" outlineLevel="0" collapsed="false">
      <c r="A853" s="26"/>
      <c r="B853" s="26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4.25" hidden="false" customHeight="true" outlineLevel="0" collapsed="false">
      <c r="A854" s="26"/>
      <c r="B854" s="26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4.25" hidden="false" customHeight="true" outlineLevel="0" collapsed="false">
      <c r="A855" s="26"/>
      <c r="B855" s="26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4.25" hidden="false" customHeight="true" outlineLevel="0" collapsed="false">
      <c r="A856" s="26"/>
      <c r="B856" s="26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4.25" hidden="false" customHeight="true" outlineLevel="0" collapsed="false">
      <c r="A857" s="26"/>
      <c r="B857" s="26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4.25" hidden="false" customHeight="true" outlineLevel="0" collapsed="false">
      <c r="A858" s="26"/>
      <c r="B858" s="26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4.25" hidden="false" customHeight="true" outlineLevel="0" collapsed="false">
      <c r="A859" s="26"/>
      <c r="B859" s="26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4.25" hidden="false" customHeight="true" outlineLevel="0" collapsed="false">
      <c r="A860" s="26"/>
      <c r="B860" s="26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4.25" hidden="false" customHeight="true" outlineLevel="0" collapsed="false">
      <c r="A861" s="26"/>
      <c r="B861" s="26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4.25" hidden="false" customHeight="true" outlineLevel="0" collapsed="false">
      <c r="A862" s="26"/>
      <c r="B862" s="26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4.25" hidden="false" customHeight="true" outlineLevel="0" collapsed="false">
      <c r="A863" s="26"/>
      <c r="B863" s="26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4.25" hidden="false" customHeight="true" outlineLevel="0" collapsed="false">
      <c r="A864" s="26"/>
      <c r="B864" s="26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4.25" hidden="false" customHeight="true" outlineLevel="0" collapsed="false">
      <c r="A865" s="26"/>
      <c r="B865" s="26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4.25" hidden="false" customHeight="true" outlineLevel="0" collapsed="false">
      <c r="A866" s="26"/>
      <c r="B866" s="26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4.25" hidden="false" customHeight="true" outlineLevel="0" collapsed="false">
      <c r="A867" s="26"/>
      <c r="B867" s="26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4.25" hidden="false" customHeight="true" outlineLevel="0" collapsed="false">
      <c r="A868" s="26"/>
      <c r="B868" s="26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4.25" hidden="false" customHeight="true" outlineLevel="0" collapsed="false">
      <c r="A869" s="26"/>
      <c r="B869" s="26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4.25" hidden="false" customHeight="true" outlineLevel="0" collapsed="false">
      <c r="A870" s="26"/>
      <c r="B870" s="26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4.25" hidden="false" customHeight="true" outlineLevel="0" collapsed="false">
      <c r="A871" s="26"/>
      <c r="B871" s="26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4.25" hidden="false" customHeight="true" outlineLevel="0" collapsed="false">
      <c r="A872" s="26"/>
      <c r="B872" s="26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4.25" hidden="false" customHeight="true" outlineLevel="0" collapsed="false">
      <c r="A873" s="26"/>
      <c r="B873" s="26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4.25" hidden="false" customHeight="true" outlineLevel="0" collapsed="false">
      <c r="A874" s="26"/>
      <c r="B874" s="26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4.25" hidden="false" customHeight="true" outlineLevel="0" collapsed="false">
      <c r="A875" s="26"/>
      <c r="B875" s="26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4.25" hidden="false" customHeight="true" outlineLevel="0" collapsed="false">
      <c r="A876" s="26"/>
      <c r="B876" s="26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4.25" hidden="false" customHeight="true" outlineLevel="0" collapsed="false">
      <c r="A877" s="26"/>
      <c r="B877" s="26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4.25" hidden="false" customHeight="true" outlineLevel="0" collapsed="false">
      <c r="A878" s="26"/>
      <c r="B878" s="26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4.25" hidden="false" customHeight="true" outlineLevel="0" collapsed="false">
      <c r="A879" s="26"/>
      <c r="B879" s="26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4.25" hidden="false" customHeight="true" outlineLevel="0" collapsed="false">
      <c r="A880" s="26"/>
      <c r="B880" s="26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4.25" hidden="false" customHeight="true" outlineLevel="0" collapsed="false">
      <c r="A881" s="26"/>
      <c r="B881" s="26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4.25" hidden="false" customHeight="true" outlineLevel="0" collapsed="false">
      <c r="A882" s="26"/>
      <c r="B882" s="26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4.25" hidden="false" customHeight="true" outlineLevel="0" collapsed="false">
      <c r="A883" s="26"/>
      <c r="B883" s="26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4.25" hidden="false" customHeight="true" outlineLevel="0" collapsed="false">
      <c r="A884" s="26"/>
      <c r="B884" s="26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4.25" hidden="false" customHeight="true" outlineLevel="0" collapsed="false">
      <c r="A885" s="26"/>
      <c r="B885" s="26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4.25" hidden="false" customHeight="true" outlineLevel="0" collapsed="false">
      <c r="A886" s="26"/>
      <c r="B886" s="26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4.25" hidden="false" customHeight="true" outlineLevel="0" collapsed="false">
      <c r="A887" s="26"/>
      <c r="B887" s="26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4.25" hidden="false" customHeight="true" outlineLevel="0" collapsed="false">
      <c r="A888" s="26"/>
      <c r="B888" s="26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4.25" hidden="false" customHeight="true" outlineLevel="0" collapsed="false">
      <c r="A889" s="26"/>
      <c r="B889" s="26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4.25" hidden="false" customHeight="true" outlineLevel="0" collapsed="false">
      <c r="A890" s="26"/>
      <c r="B890" s="26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4.25" hidden="false" customHeight="true" outlineLevel="0" collapsed="false">
      <c r="A891" s="26"/>
      <c r="B891" s="26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4.25" hidden="false" customHeight="true" outlineLevel="0" collapsed="false">
      <c r="A892" s="26"/>
      <c r="B892" s="26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4.25" hidden="false" customHeight="true" outlineLevel="0" collapsed="false">
      <c r="A893" s="26"/>
      <c r="B893" s="26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4.25" hidden="false" customHeight="true" outlineLevel="0" collapsed="false">
      <c r="A894" s="26"/>
      <c r="B894" s="26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4.25" hidden="false" customHeight="true" outlineLevel="0" collapsed="false">
      <c r="A895" s="26"/>
      <c r="B895" s="26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4.25" hidden="false" customHeight="true" outlineLevel="0" collapsed="false">
      <c r="A896" s="26"/>
      <c r="B896" s="26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4.25" hidden="false" customHeight="true" outlineLevel="0" collapsed="false">
      <c r="A897" s="26"/>
      <c r="B897" s="26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4.25" hidden="false" customHeight="true" outlineLevel="0" collapsed="false">
      <c r="A898" s="26"/>
      <c r="B898" s="26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4.25" hidden="false" customHeight="true" outlineLevel="0" collapsed="false">
      <c r="A899" s="26"/>
      <c r="B899" s="26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4.25" hidden="false" customHeight="true" outlineLevel="0" collapsed="false">
      <c r="A900" s="26"/>
      <c r="B900" s="26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4.25" hidden="false" customHeight="true" outlineLevel="0" collapsed="false">
      <c r="A901" s="26"/>
      <c r="B901" s="26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4.25" hidden="false" customHeight="true" outlineLevel="0" collapsed="false">
      <c r="A902" s="26"/>
      <c r="B902" s="26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4.25" hidden="false" customHeight="true" outlineLevel="0" collapsed="false">
      <c r="A903" s="26"/>
      <c r="B903" s="26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4.25" hidden="false" customHeight="true" outlineLevel="0" collapsed="false">
      <c r="A904" s="26"/>
      <c r="B904" s="26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4.25" hidden="false" customHeight="true" outlineLevel="0" collapsed="false">
      <c r="A905" s="26"/>
      <c r="B905" s="26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4.25" hidden="false" customHeight="true" outlineLevel="0" collapsed="false">
      <c r="A906" s="26"/>
      <c r="B906" s="26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4.25" hidden="false" customHeight="true" outlineLevel="0" collapsed="false">
      <c r="A907" s="26"/>
      <c r="B907" s="26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4.25" hidden="false" customHeight="true" outlineLevel="0" collapsed="false">
      <c r="A908" s="26"/>
      <c r="B908" s="26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4.25" hidden="false" customHeight="true" outlineLevel="0" collapsed="false">
      <c r="A909" s="26"/>
      <c r="B909" s="26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4.25" hidden="false" customHeight="true" outlineLevel="0" collapsed="false">
      <c r="A910" s="26"/>
      <c r="B910" s="26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4.25" hidden="false" customHeight="true" outlineLevel="0" collapsed="false">
      <c r="A911" s="26"/>
      <c r="B911" s="26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4.25" hidden="false" customHeight="true" outlineLevel="0" collapsed="false">
      <c r="A912" s="26"/>
      <c r="B912" s="26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4.25" hidden="false" customHeight="true" outlineLevel="0" collapsed="false">
      <c r="A913" s="26"/>
      <c r="B913" s="26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4.25" hidden="false" customHeight="true" outlineLevel="0" collapsed="false">
      <c r="A914" s="26"/>
      <c r="B914" s="26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4.25" hidden="false" customHeight="true" outlineLevel="0" collapsed="false">
      <c r="A915" s="26"/>
      <c r="B915" s="26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4.25" hidden="false" customHeight="true" outlineLevel="0" collapsed="false">
      <c r="A916" s="26"/>
      <c r="B916" s="26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4.25" hidden="false" customHeight="true" outlineLevel="0" collapsed="false">
      <c r="A917" s="26"/>
      <c r="B917" s="26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4.25" hidden="false" customHeight="true" outlineLevel="0" collapsed="false">
      <c r="A918" s="26"/>
      <c r="B918" s="26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4.25" hidden="false" customHeight="true" outlineLevel="0" collapsed="false">
      <c r="A919" s="26"/>
      <c r="B919" s="26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4.25" hidden="false" customHeight="true" outlineLevel="0" collapsed="false">
      <c r="A920" s="26"/>
      <c r="B920" s="26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4.25" hidden="false" customHeight="true" outlineLevel="0" collapsed="false">
      <c r="A921" s="26"/>
      <c r="B921" s="26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4.25" hidden="false" customHeight="true" outlineLevel="0" collapsed="false">
      <c r="A922" s="26"/>
      <c r="B922" s="26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4.25" hidden="false" customHeight="true" outlineLevel="0" collapsed="false">
      <c r="A923" s="26"/>
      <c r="B923" s="26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4.25" hidden="false" customHeight="true" outlineLevel="0" collapsed="false">
      <c r="A924" s="26"/>
      <c r="B924" s="26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4.25" hidden="false" customHeight="true" outlineLevel="0" collapsed="false">
      <c r="A925" s="26"/>
      <c r="B925" s="26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4.25" hidden="false" customHeight="true" outlineLevel="0" collapsed="false">
      <c r="A926" s="26"/>
      <c r="B926" s="26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4.25" hidden="false" customHeight="true" outlineLevel="0" collapsed="false">
      <c r="A927" s="26"/>
      <c r="B927" s="26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4.25" hidden="false" customHeight="true" outlineLevel="0" collapsed="false">
      <c r="A928" s="26"/>
      <c r="B928" s="26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4.25" hidden="false" customHeight="true" outlineLevel="0" collapsed="false">
      <c r="A929" s="26"/>
      <c r="B929" s="26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4.25" hidden="false" customHeight="true" outlineLevel="0" collapsed="false">
      <c r="A930" s="26"/>
      <c r="B930" s="26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4.25" hidden="false" customHeight="true" outlineLevel="0" collapsed="false">
      <c r="A931" s="26"/>
      <c r="B931" s="26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4.25" hidden="false" customHeight="true" outlineLevel="0" collapsed="false">
      <c r="A932" s="26"/>
      <c r="B932" s="26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4.25" hidden="false" customHeight="true" outlineLevel="0" collapsed="false">
      <c r="A933" s="26"/>
      <c r="B933" s="26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4.25" hidden="false" customHeight="true" outlineLevel="0" collapsed="false">
      <c r="A934" s="26"/>
      <c r="B934" s="26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4.25" hidden="false" customHeight="true" outlineLevel="0" collapsed="false">
      <c r="A935" s="26"/>
      <c r="B935" s="26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4.25" hidden="false" customHeight="true" outlineLevel="0" collapsed="false">
      <c r="A936" s="26"/>
      <c r="B936" s="26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4.25" hidden="false" customHeight="true" outlineLevel="0" collapsed="false">
      <c r="A937" s="26"/>
      <c r="B937" s="26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4.25" hidden="false" customHeight="true" outlineLevel="0" collapsed="false">
      <c r="A938" s="26"/>
      <c r="B938" s="26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4.25" hidden="false" customHeight="true" outlineLevel="0" collapsed="false">
      <c r="A939" s="26"/>
      <c r="B939" s="26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4.25" hidden="false" customHeight="true" outlineLevel="0" collapsed="false">
      <c r="A940" s="26"/>
      <c r="B940" s="26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4.25" hidden="false" customHeight="true" outlineLevel="0" collapsed="false">
      <c r="A941" s="26"/>
      <c r="B941" s="26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4.25" hidden="false" customHeight="true" outlineLevel="0" collapsed="false">
      <c r="A942" s="26"/>
      <c r="B942" s="26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4.25" hidden="false" customHeight="true" outlineLevel="0" collapsed="false">
      <c r="A943" s="26"/>
      <c r="B943" s="26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4.25" hidden="false" customHeight="true" outlineLevel="0" collapsed="false">
      <c r="A944" s="26"/>
      <c r="B944" s="26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4.25" hidden="false" customHeight="true" outlineLevel="0" collapsed="false">
      <c r="A945" s="26"/>
      <c r="B945" s="26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4.25" hidden="false" customHeight="true" outlineLevel="0" collapsed="false">
      <c r="A946" s="26"/>
      <c r="B946" s="26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4.25" hidden="false" customHeight="true" outlineLevel="0" collapsed="false">
      <c r="A947" s="26"/>
      <c r="B947" s="26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4.25" hidden="false" customHeight="true" outlineLevel="0" collapsed="false">
      <c r="A948" s="26"/>
      <c r="B948" s="26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4.25" hidden="false" customHeight="true" outlineLevel="0" collapsed="false">
      <c r="A949" s="26"/>
      <c r="B949" s="26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4.25" hidden="false" customHeight="true" outlineLevel="0" collapsed="false">
      <c r="A950" s="26"/>
      <c r="B950" s="26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4.25" hidden="false" customHeight="true" outlineLevel="0" collapsed="false">
      <c r="A951" s="26"/>
      <c r="B951" s="26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4.25" hidden="false" customHeight="true" outlineLevel="0" collapsed="false">
      <c r="A952" s="26"/>
      <c r="B952" s="26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4.25" hidden="false" customHeight="true" outlineLevel="0" collapsed="false">
      <c r="A953" s="26"/>
      <c r="B953" s="26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4.25" hidden="false" customHeight="true" outlineLevel="0" collapsed="false">
      <c r="A954" s="26"/>
      <c r="B954" s="26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4.25" hidden="false" customHeight="true" outlineLevel="0" collapsed="false">
      <c r="A955" s="26"/>
      <c r="B955" s="26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4.25" hidden="false" customHeight="true" outlineLevel="0" collapsed="false">
      <c r="A956" s="26"/>
      <c r="B956" s="26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4.25" hidden="false" customHeight="true" outlineLevel="0" collapsed="false">
      <c r="A957" s="26"/>
      <c r="B957" s="26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4.25" hidden="false" customHeight="true" outlineLevel="0" collapsed="false">
      <c r="A958" s="26"/>
      <c r="B958" s="26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4.25" hidden="false" customHeight="true" outlineLevel="0" collapsed="false">
      <c r="A959" s="26"/>
      <c r="B959" s="26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4.25" hidden="false" customHeight="true" outlineLevel="0" collapsed="false">
      <c r="A960" s="26"/>
      <c r="B960" s="26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4.25" hidden="false" customHeight="true" outlineLevel="0" collapsed="false">
      <c r="A961" s="26"/>
      <c r="B961" s="26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4.25" hidden="false" customHeight="true" outlineLevel="0" collapsed="false">
      <c r="A962" s="26"/>
      <c r="B962" s="26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4.25" hidden="false" customHeight="true" outlineLevel="0" collapsed="false">
      <c r="A963" s="26"/>
      <c r="B963" s="26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4.25" hidden="false" customHeight="true" outlineLevel="0" collapsed="false">
      <c r="A964" s="26"/>
      <c r="B964" s="26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4.25" hidden="false" customHeight="true" outlineLevel="0" collapsed="false">
      <c r="A965" s="26"/>
      <c r="B965" s="26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4.25" hidden="false" customHeight="true" outlineLevel="0" collapsed="false">
      <c r="A966" s="26"/>
      <c r="B966" s="26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4.25" hidden="false" customHeight="true" outlineLevel="0" collapsed="false">
      <c r="A967" s="26"/>
      <c r="B967" s="26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4.25" hidden="false" customHeight="true" outlineLevel="0" collapsed="false">
      <c r="A968" s="26"/>
      <c r="B968" s="26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4.25" hidden="false" customHeight="true" outlineLevel="0" collapsed="false">
      <c r="A969" s="26"/>
      <c r="B969" s="26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4.25" hidden="false" customHeight="true" outlineLevel="0" collapsed="false">
      <c r="A970" s="26"/>
      <c r="B970" s="26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4.25" hidden="false" customHeight="true" outlineLevel="0" collapsed="false">
      <c r="A971" s="26"/>
      <c r="B971" s="26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4.25" hidden="false" customHeight="true" outlineLevel="0" collapsed="false">
      <c r="A972" s="26"/>
      <c r="B972" s="26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4.25" hidden="false" customHeight="true" outlineLevel="0" collapsed="false">
      <c r="A973" s="26"/>
      <c r="B973" s="26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4.25" hidden="false" customHeight="true" outlineLevel="0" collapsed="false">
      <c r="A974" s="26"/>
      <c r="B974" s="26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4.25" hidden="false" customHeight="true" outlineLevel="0" collapsed="false">
      <c r="A975" s="26"/>
      <c r="B975" s="26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4.25" hidden="false" customHeight="true" outlineLevel="0" collapsed="false">
      <c r="A976" s="26"/>
      <c r="B976" s="26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4.25" hidden="false" customHeight="true" outlineLevel="0" collapsed="false">
      <c r="A977" s="26"/>
      <c r="B977" s="26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4.25" hidden="false" customHeight="true" outlineLevel="0" collapsed="false">
      <c r="A978" s="26"/>
      <c r="B978" s="26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4.25" hidden="false" customHeight="true" outlineLevel="0" collapsed="false">
      <c r="A979" s="26"/>
      <c r="B979" s="26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4.25" hidden="false" customHeight="true" outlineLevel="0" collapsed="false">
      <c r="A980" s="26"/>
      <c r="B980" s="26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4.25" hidden="false" customHeight="true" outlineLevel="0" collapsed="false">
      <c r="A981" s="26"/>
      <c r="B981" s="26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4.25" hidden="false" customHeight="true" outlineLevel="0" collapsed="false">
      <c r="A982" s="26"/>
      <c r="B982" s="26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4.25" hidden="false" customHeight="true" outlineLevel="0" collapsed="false">
      <c r="A983" s="26"/>
      <c r="B983" s="26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4.25" hidden="false" customHeight="true" outlineLevel="0" collapsed="false">
      <c r="A984" s="26"/>
      <c r="B984" s="26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4.25" hidden="false" customHeight="true" outlineLevel="0" collapsed="false">
      <c r="A985" s="26"/>
      <c r="B985" s="26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4.25" hidden="false" customHeight="true" outlineLevel="0" collapsed="false">
      <c r="A986" s="26"/>
      <c r="B986" s="26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4.25" hidden="false" customHeight="true" outlineLevel="0" collapsed="false">
      <c r="A987" s="26"/>
      <c r="B987" s="26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4.25" hidden="false" customHeight="true" outlineLevel="0" collapsed="false">
      <c r="A988" s="26"/>
      <c r="B988" s="26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4.25" hidden="false" customHeight="true" outlineLevel="0" collapsed="false">
      <c r="A989" s="26"/>
      <c r="B989" s="26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4.25" hidden="false" customHeight="true" outlineLevel="0" collapsed="false">
      <c r="A990" s="26"/>
      <c r="B990" s="26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4.25" hidden="false" customHeight="true" outlineLevel="0" collapsed="false">
      <c r="A991" s="26"/>
      <c r="B991" s="26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4.25" hidden="false" customHeight="true" outlineLevel="0" collapsed="false">
      <c r="A992" s="26"/>
      <c r="B992" s="26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4.25" hidden="false" customHeight="true" outlineLevel="0" collapsed="false">
      <c r="A993" s="26"/>
      <c r="B993" s="26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4.25" hidden="false" customHeight="true" outlineLevel="0" collapsed="false">
      <c r="A994" s="26"/>
      <c r="B994" s="26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4.25" hidden="false" customHeight="true" outlineLevel="0" collapsed="false">
      <c r="A995" s="26"/>
      <c r="B995" s="26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4.25" hidden="false" customHeight="true" outlineLevel="0" collapsed="false">
      <c r="A996" s="26"/>
      <c r="B996" s="26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4.25" hidden="false" customHeight="true" outlineLevel="0" collapsed="false">
      <c r="A997" s="26"/>
      <c r="B997" s="26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4.25" hidden="false" customHeight="true" outlineLevel="0" collapsed="false">
      <c r="A998" s="26"/>
      <c r="B998" s="26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4.25" hidden="false" customHeight="true" outlineLevel="0" collapsed="false">
      <c r="A999" s="26"/>
      <c r="B999" s="26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4.25" hidden="false" customHeight="true" outlineLevel="0" collapsed="false">
      <c r="A1000" s="26"/>
      <c r="B1000" s="26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customFormat="false" ht="15.75" hidden="false" customHeight="tru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customFormat="false" ht="15.75" hidden="false" customHeight="true" outlineLevel="0" collapsed="false">
      <c r="A1002" s="66" t="s">
        <v>213</v>
      </c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customFormat="false" ht="15.75" hidden="false" customHeight="tru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customFormat="false" ht="15.75" hidden="false" customHeight="true" outlineLevel="0" collapsed="false">
      <c r="A1004" s="67" t="s">
        <v>214</v>
      </c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customFormat="false" ht="15.75" hidden="false" customHeight="true" outlineLevel="0" collapsed="false">
      <c r="A1005" s="67" t="s">
        <v>215</v>
      </c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customFormat="false" ht="15.75" hidden="false" customHeight="true" outlineLevel="0" collapsed="false">
      <c r="A1006" s="67" t="s">
        <v>216</v>
      </c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customFormat="false" ht="15.75" hidden="false" customHeight="true" outlineLevel="0" collapsed="false">
      <c r="A1007" s="67" t="s">
        <v>217</v>
      </c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customFormat="false" ht="15.75" hidden="false" customHeight="true" outlineLevel="0" collapsed="false">
      <c r="A1008" s="67" t="s">
        <v>218</v>
      </c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customFormat="false" ht="15.75" hidden="false" customHeight="true" outlineLevel="0" collapsed="false">
      <c r="A1009" s="67" t="s">
        <v>219</v>
      </c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customFormat="false" ht="15.75" hidden="false" customHeight="true" outlineLevel="0" collapsed="false">
      <c r="A1010" s="67" t="s">
        <v>220</v>
      </c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customFormat="false" ht="15.75" hidden="false" customHeight="true" outlineLevel="0" collapsed="false">
      <c r="A1011" s="67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customFormat="false" ht="15.75" hidden="false" customHeight="true" outlineLevel="0" collapsed="false">
      <c r="A1012" s="67" t="s">
        <v>221</v>
      </c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customFormat="false" ht="15.75" hidden="false" customHeight="true" outlineLevel="0" collapsed="false">
      <c r="A1013" s="68" t="s">
        <v>222</v>
      </c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customFormat="false" ht="15.75" hidden="false" customHeight="true" outlineLevel="0" collapsed="false">
      <c r="A1014" s="68" t="s">
        <v>223</v>
      </c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customFormat="false" ht="15.75" hidden="false" customHeight="true" outlineLevel="0" collapsed="false">
      <c r="A1015" s="68" t="s">
        <v>224</v>
      </c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customFormat="false" ht="15.75" hidden="false" customHeight="true" outlineLevel="0" collapsed="false">
      <c r="A1016" s="68" t="s">
        <v>225</v>
      </c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customFormat="false" ht="15.75" hidden="false" customHeight="true" outlineLevel="0" collapsed="false">
      <c r="A1017" s="67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customFormat="false" ht="15.75" hidden="false" customHeight="true" outlineLevel="0" collapsed="false">
      <c r="A1018" s="67" t="s">
        <v>226</v>
      </c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6" min="1" style="0" width="8.71"/>
  </cols>
  <sheetData>
    <row r="1" customFormat="false" ht="14.25" hidden="false" customHeight="true" outlineLevel="0" collapsed="false">
      <c r="A1" s="69" t="s">
        <v>227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6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4.25" hidden="false" customHeight="true" outlineLevel="0" collapsed="false">
      <c r="A3" s="70" t="s">
        <v>228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4.25" hidden="false" customHeight="true" outlineLevel="0" collapsed="false">
      <c r="A4" s="70" t="s">
        <v>229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4.25" hidden="false" customHeight="true" outlineLevel="0" collapsed="false">
      <c r="A6" s="69" t="s">
        <v>230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71" t="s">
        <v>231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72" t="s">
        <v>232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60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60" t="s">
        <v>233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60" t="s">
        <v>234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60" t="s">
        <v>235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4.25" hidden="false" customHeight="true" outlineLevel="0" collapsed="false">
      <c r="A15" s="60" t="s">
        <v>236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4.25" hidden="false" customHeight="true" outlineLevel="0" collapsed="false">
      <c r="A16" s="60" t="s">
        <v>237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4.25" hidden="false" customHeight="true" outlineLevel="0" collapsed="false">
      <c r="A17" s="60" t="s">
        <v>238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4.25" hidden="false" customHeight="true" outlineLevel="0" collapsed="false">
      <c r="A18" s="60" t="s">
        <v>239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4.25" hidden="false" customHeight="true" outlineLevel="0" collapsed="false">
      <c r="A19" s="60" t="s">
        <v>240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4.2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4.25" hidden="false" customHeight="true" outlineLevel="0" collapsed="false">
      <c r="A21" s="72" t="s">
        <v>241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4.25" hidden="false" customHeight="true" outlineLevel="0" collapsed="false">
      <c r="A22" s="6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4.25" hidden="false" customHeight="true" outlineLevel="0" collapsed="false">
      <c r="A23" s="60" t="s">
        <v>242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4.25" hidden="false" customHeight="true" outlineLevel="0" collapsed="false">
      <c r="A24" s="60" t="s">
        <v>243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4.25" hidden="false" customHeight="true" outlineLevel="0" collapsed="false">
      <c r="A25" s="60" t="s">
        <v>244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4.25" hidden="false" customHeight="true" outlineLevel="0" collapsed="false">
      <c r="A26" s="60" t="s">
        <v>245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4.2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4.25" hidden="false" customHeight="true" outlineLevel="0" collapsed="false">
      <c r="A28" s="72" t="s">
        <v>246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4.25" hidden="false" customHeight="true" outlineLevel="0" collapsed="false">
      <c r="A29" s="60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4.25" hidden="false" customHeight="true" outlineLevel="0" collapsed="false">
      <c r="A30" s="60" t="s">
        <v>247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4.25" hidden="false" customHeight="true" outlineLevel="0" collapsed="false">
      <c r="A31" s="60" t="s">
        <v>248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4.25" hidden="false" customHeight="true" outlineLevel="0" collapsed="false">
      <c r="A32" s="60" t="s">
        <v>249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4.25" hidden="false" customHeight="true" outlineLevel="0" collapsed="false">
      <c r="A33" s="60" t="s">
        <v>250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4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4.25" hidden="false" customHeight="true" outlineLevel="0" collapsed="false">
      <c r="A35" s="71" t="s">
        <v>251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4.25" hidden="false" customHeight="true" outlineLevel="0" collapsed="false">
      <c r="A36" s="6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4.25" hidden="false" customHeight="true" outlineLevel="0" collapsed="false">
      <c r="A37" s="60" t="s">
        <v>252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4.25" hidden="false" customHeight="true" outlineLevel="0" collapsed="false">
      <c r="A38" s="60" t="s">
        <v>253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4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4.25" hidden="false" customHeight="true" outlineLevel="0" collapsed="false">
      <c r="A40" s="72" t="s">
        <v>254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4.25" hidden="false" customHeight="true" outlineLevel="0" collapsed="false">
      <c r="A41" s="6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4.25" hidden="false" customHeight="true" outlineLevel="0" collapsed="false">
      <c r="A42" s="60" t="s">
        <v>255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4.25" hidden="false" customHeight="true" outlineLevel="0" collapsed="false">
      <c r="A43" s="60" t="s">
        <v>256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4.25" hidden="false" customHeight="true" outlineLevel="0" collapsed="false">
      <c r="A44" s="60" t="s">
        <v>257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4.25" hidden="false" customHeight="true" outlineLevel="0" collapsed="false">
      <c r="A46" s="72" t="s">
        <v>258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4.25" hidden="false" customHeight="true" outlineLevel="0" collapsed="false">
      <c r="A47" s="6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4.25" hidden="false" customHeight="true" outlineLevel="0" collapsed="false">
      <c r="A48" s="60" t="s">
        <v>259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4.25" hidden="false" customHeight="true" outlineLevel="0" collapsed="false">
      <c r="A49" s="60" t="s">
        <v>260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4.25" hidden="false" customHeight="true" outlineLevel="0" collapsed="false">
      <c r="A50" s="60" t="s">
        <v>261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4.25" hidden="false" customHeight="true" outlineLevel="0" collapsed="false">
      <c r="A52" s="72" t="s">
        <v>262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4.25" hidden="false" customHeight="true" outlineLevel="0" collapsed="false">
      <c r="A53" s="6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4.25" hidden="false" customHeight="true" outlineLevel="0" collapsed="false">
      <c r="A54" s="60" t="s">
        <v>263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4.25" hidden="false" customHeight="true" outlineLevel="0" collapsed="false">
      <c r="A55" s="60" t="s">
        <v>264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4.25" hidden="false" customHeight="true" outlineLevel="0" collapsed="false">
      <c r="A56" s="60" t="s">
        <v>265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4.25" hidden="false" customHeight="true" outlineLevel="0" collapsed="false">
      <c r="A57" s="60" t="s">
        <v>266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4.25" hidden="false" customHeight="true" outlineLevel="0" collapsed="false">
      <c r="A58" s="60" t="s">
        <v>267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4.25" hidden="false" customHeight="true" outlineLevel="0" collapsed="false">
      <c r="A59" s="60" t="s">
        <v>268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4.25" hidden="false" customHeight="true" outlineLevel="0" collapsed="false">
      <c r="A60" s="60" t="s">
        <v>269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4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4.25" hidden="false" customHeight="true" outlineLevel="0" collapsed="false">
      <c r="A62" s="71" t="s">
        <v>270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4.25" hidden="false" customHeight="true" outlineLevel="0" collapsed="false">
      <c r="A64" s="72" t="s">
        <v>271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4.25" hidden="false" customHeight="true" outlineLevel="0" collapsed="false">
      <c r="A65" s="60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4.25" hidden="false" customHeight="true" outlineLevel="0" collapsed="false">
      <c r="A66" s="60" t="s">
        <v>272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4.25" hidden="false" customHeight="true" outlineLevel="0" collapsed="false">
      <c r="A67" s="60" t="s">
        <v>273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4.25" hidden="false" customHeight="true" outlineLevel="0" collapsed="false">
      <c r="A68" s="60" t="s">
        <v>274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4.25" hidden="false" customHeight="true" outlineLevel="0" collapsed="false">
      <c r="A69" s="60" t="s">
        <v>275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4.25" hidden="false" customHeight="true" outlineLevel="0" collapsed="false">
      <c r="A70" s="60" t="s">
        <v>276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4.25" hidden="false" customHeight="true" outlineLevel="0" collapsed="false">
      <c r="A72" s="72" t="s">
        <v>277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4.25" hidden="false" customHeight="true" outlineLevel="0" collapsed="false">
      <c r="A73" s="6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4.25" hidden="false" customHeight="true" outlineLevel="0" collapsed="false">
      <c r="A74" s="60" t="s">
        <v>278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4.25" hidden="false" customHeight="true" outlineLevel="0" collapsed="false">
      <c r="A75" s="60" t="s">
        <v>279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4.25" hidden="false" customHeight="true" outlineLevel="0" collapsed="false">
      <c r="A76" s="60" t="s">
        <v>280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4.25" hidden="false" customHeight="true" outlineLevel="0" collapsed="false">
      <c r="A77" s="60" t="s">
        <v>281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4.25" hidden="false" customHeight="true" outlineLevel="0" collapsed="false">
      <c r="A78" s="60" t="s">
        <v>282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4.25" hidden="false" customHeight="true" outlineLevel="0" collapsed="false">
      <c r="A79" s="60" t="s">
        <v>283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4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4.25" hidden="false" customHeight="true" outlineLevel="0" collapsed="false">
      <c r="A81" s="71" t="s">
        <v>284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4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4.25" hidden="false" customHeight="true" outlineLevel="0" collapsed="false">
      <c r="A83" s="72" t="s">
        <v>285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4.25" hidden="false" customHeight="true" outlineLevel="0" collapsed="false">
      <c r="A84" s="6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4.25" hidden="false" customHeight="true" outlineLevel="0" collapsed="false">
      <c r="A85" s="60" t="s">
        <v>286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4.25" hidden="false" customHeight="true" outlineLevel="0" collapsed="false">
      <c r="A86" s="60" t="s">
        <v>287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4.25" hidden="false" customHeight="true" outlineLevel="0" collapsed="false">
      <c r="A87" s="60" t="s">
        <v>288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4.25" hidden="false" customHeight="true" outlineLevel="0" collapsed="false">
      <c r="A88" s="60" t="s">
        <v>289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4.25" hidden="false" customHeight="true" outlineLevel="0" collapsed="false">
      <c r="A89" s="60" t="s">
        <v>290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4.25" hidden="false" customHeight="true" outlineLevel="0" collapsed="false">
      <c r="A90" s="60" t="s">
        <v>291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4.25" hidden="false" customHeight="true" outlineLevel="0" collapsed="false">
      <c r="A91" s="60" t="s">
        <v>292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4.25" hidden="false" customHeight="true" outlineLevel="0" collapsed="false">
      <c r="A92" s="60" t="s">
        <v>293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4.25" hidden="false" customHeight="true" outlineLevel="0" collapsed="false">
      <c r="A94" s="72" t="s">
        <v>294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4.25" hidden="false" customHeight="true" outlineLevel="0" collapsed="false">
      <c r="A95" s="60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4.25" hidden="false" customHeight="true" outlineLevel="0" collapsed="false">
      <c r="A96" s="60" t="s">
        <v>295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4.25" hidden="false" customHeight="true" outlineLevel="0" collapsed="false">
      <c r="A97" s="60" t="s">
        <v>296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4.25" hidden="false" customHeight="true" outlineLevel="0" collapsed="false">
      <c r="A98" s="60" t="s">
        <v>297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4.25" hidden="false" customHeight="true" outlineLevel="0" collapsed="false">
      <c r="A100" s="72" t="s">
        <v>298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4.25" hidden="false" customHeight="true" outlineLevel="0" collapsed="false">
      <c r="A101" s="6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4.25" hidden="false" customHeight="true" outlineLevel="0" collapsed="false">
      <c r="A102" s="60" t="s">
        <v>299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4.25" hidden="false" customHeight="true" outlineLevel="0" collapsed="false">
      <c r="A103" s="60" t="s">
        <v>300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4.25" hidden="false" customHeight="true" outlineLevel="0" collapsed="false">
      <c r="A104" s="60" t="s">
        <v>301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4.25" hidden="false" customHeight="true" outlineLevel="0" collapsed="false">
      <c r="A105" s="60" t="s">
        <v>302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4.25" hidden="false" customHeight="true" outlineLevel="0" collapsed="false">
      <c r="A107" s="72" t="s">
        <v>303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4.25" hidden="false" customHeight="true" outlineLevel="0" collapsed="false">
      <c r="A108" s="6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4.25" hidden="false" customHeight="true" outlineLevel="0" collapsed="false">
      <c r="A109" s="60" t="s">
        <v>304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4.25" hidden="false" customHeight="true" outlineLevel="0" collapsed="false">
      <c r="A110" s="60" t="s">
        <v>305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4.25" hidden="false" customHeight="true" outlineLevel="0" collapsed="false">
      <c r="A112" s="72" t="s">
        <v>306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4.25" hidden="false" customHeight="true" outlineLevel="0" collapsed="false">
      <c r="A113" s="6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4.25" hidden="false" customHeight="true" outlineLevel="0" collapsed="false">
      <c r="A114" s="60" t="s">
        <v>307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4.25" hidden="false" customHeight="true" outlineLevel="0" collapsed="false">
      <c r="A115" s="60" t="s">
        <v>308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4.25" hidden="false" customHeight="true" outlineLevel="0" collapsed="false">
      <c r="A116" s="60" t="s">
        <v>309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4.25" hidden="false" customHeight="true" outlineLevel="0" collapsed="false">
      <c r="A118" s="72" t="s">
        <v>310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4.25" hidden="false" customHeight="true" outlineLevel="0" collapsed="false">
      <c r="A119" s="6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4.25" hidden="false" customHeight="true" outlineLevel="0" collapsed="false">
      <c r="A120" s="60" t="s">
        <v>311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4.25" hidden="false" customHeight="true" outlineLevel="0" collapsed="false">
      <c r="A121" s="60" t="s">
        <v>312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4.25" hidden="false" customHeight="true" outlineLevel="0" collapsed="false">
      <c r="A123" s="69" t="s">
        <v>313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4.25" hidden="false" customHeight="true" outlineLevel="0" collapsed="false">
      <c r="A125" s="71" t="s">
        <v>314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4.25" hidden="false" customHeight="true" outlineLevel="0" collapsed="false">
      <c r="A127" s="73" t="s">
        <v>315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4.25" hidden="false" customHeight="true" outlineLevel="0" collapsed="false">
      <c r="A128" s="6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4.25" hidden="false" customHeight="true" outlineLevel="0" collapsed="false">
      <c r="A129" s="60" t="s">
        <v>316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4.25" hidden="false" customHeight="true" outlineLevel="0" collapsed="false">
      <c r="A130" s="60" t="s">
        <v>317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4.25" hidden="false" customHeight="true" outlineLevel="0" collapsed="false">
      <c r="A131" s="60" t="s">
        <v>318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4.25" hidden="false" customHeight="true" outlineLevel="0" collapsed="false">
      <c r="A132" s="60" t="s">
        <v>319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4.25" hidden="false" customHeight="true" outlineLevel="0" collapsed="false">
      <c r="A133" s="60" t="s">
        <v>320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4.25" hidden="false" customHeight="true" outlineLevel="0" collapsed="false">
      <c r="A134" s="60" t="s">
        <v>321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4.25" hidden="false" customHeight="true" outlineLevel="0" collapsed="false">
      <c r="A136" s="72" t="s">
        <v>322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4.25" hidden="false" customHeight="true" outlineLevel="0" collapsed="false">
      <c r="A137" s="6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4.25" hidden="false" customHeight="true" outlineLevel="0" collapsed="false">
      <c r="A138" s="60" t="s">
        <v>323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4.25" hidden="false" customHeight="true" outlineLevel="0" collapsed="false">
      <c r="A139" s="60" t="s">
        <v>324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4.25" hidden="false" customHeight="true" outlineLevel="0" collapsed="false">
      <c r="A140" s="60" t="s">
        <v>325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4.25" hidden="false" customHeight="true" outlineLevel="0" collapsed="false">
      <c r="A141" s="60" t="s">
        <v>326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4.25" hidden="false" customHeight="true" outlineLevel="0" collapsed="false">
      <c r="A143" s="72" t="s">
        <v>327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4.25" hidden="false" customHeight="true" outlineLevel="0" collapsed="false">
      <c r="A144" s="6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4.25" hidden="false" customHeight="true" outlineLevel="0" collapsed="false">
      <c r="A145" s="60" t="s">
        <v>328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4.25" hidden="false" customHeight="true" outlineLevel="0" collapsed="false">
      <c r="A146" s="60" t="s">
        <v>329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4.25" hidden="false" customHeight="true" outlineLevel="0" collapsed="false">
      <c r="A147" s="60" t="s">
        <v>330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4.25" hidden="false" customHeight="true" outlineLevel="0" collapsed="false">
      <c r="A148" s="60" t="s">
        <v>331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4.25" hidden="false" customHeight="true" outlineLevel="0" collapsed="false">
      <c r="A149" s="60" t="s">
        <v>332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4.25" hidden="false" customHeight="true" outlineLevel="0" collapsed="false">
      <c r="A151" s="72" t="s">
        <v>333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4.25" hidden="false" customHeight="true" outlineLevel="0" collapsed="false">
      <c r="A152" s="6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4.25" hidden="false" customHeight="true" outlineLevel="0" collapsed="false">
      <c r="A153" s="60" t="s">
        <v>334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4.25" hidden="false" customHeight="true" outlineLevel="0" collapsed="false">
      <c r="A154" s="60" t="s">
        <v>335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4.25" hidden="false" customHeight="true" outlineLevel="0" collapsed="false">
      <c r="A155" s="60" t="s">
        <v>336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4.25" hidden="false" customHeight="true" outlineLevel="0" collapsed="false">
      <c r="A156" s="60" t="s">
        <v>337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4.25" hidden="false" customHeight="true" outlineLevel="0" collapsed="false">
      <c r="A157" s="60" t="s">
        <v>338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4.25" hidden="false" customHeight="true" outlineLevel="0" collapsed="false">
      <c r="A158" s="60" t="s">
        <v>339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4.25" hidden="false" customHeight="true" outlineLevel="0" collapsed="false">
      <c r="A159" s="60" t="s">
        <v>340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4.25" hidden="false" customHeight="true" outlineLevel="0" collapsed="false">
      <c r="A160" s="60" t="s">
        <v>341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4.25" hidden="false" customHeight="true" outlineLevel="0" collapsed="false">
      <c r="A162" s="71" t="s">
        <v>342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4.25" hidden="false" customHeight="true" outlineLevel="0" collapsed="false">
      <c r="A164" s="72" t="s">
        <v>343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4.25" hidden="false" customHeight="true" outlineLevel="0" collapsed="false">
      <c r="A165" s="6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4.25" hidden="false" customHeight="true" outlineLevel="0" collapsed="false">
      <c r="A166" s="60" t="s">
        <v>344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4.25" hidden="false" customHeight="true" outlineLevel="0" collapsed="false">
      <c r="A167" s="60" t="s">
        <v>345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4.25" hidden="false" customHeight="true" outlineLevel="0" collapsed="false">
      <c r="A168" s="60" t="s">
        <v>346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4.25" hidden="false" customHeight="true" outlineLevel="0" collapsed="false">
      <c r="A170" s="72" t="s">
        <v>347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4.25" hidden="false" customHeight="true" outlineLevel="0" collapsed="false">
      <c r="A171" s="6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4.25" hidden="false" customHeight="true" outlineLevel="0" collapsed="false">
      <c r="A172" s="60" t="s">
        <v>348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4.25" hidden="false" customHeight="true" outlineLevel="0" collapsed="false">
      <c r="A173" s="60" t="s">
        <v>349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4.25" hidden="false" customHeight="true" outlineLevel="0" collapsed="false">
      <c r="A174" s="60" t="s">
        <v>350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4.25" hidden="false" customHeight="true" outlineLevel="0" collapsed="false">
      <c r="A175" s="60" t="s">
        <v>351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4.25" hidden="false" customHeight="true" outlineLevel="0" collapsed="false">
      <c r="A177" s="72" t="s">
        <v>352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4.25" hidden="false" customHeight="true" outlineLevel="0" collapsed="false">
      <c r="A178" s="6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4.25" hidden="false" customHeight="true" outlineLevel="0" collapsed="false">
      <c r="A179" s="60" t="s">
        <v>353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4.25" hidden="false" customHeight="true" outlineLevel="0" collapsed="false">
      <c r="A180" s="60" t="s">
        <v>354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4.25" hidden="false" customHeight="true" outlineLevel="0" collapsed="false">
      <c r="A181" s="60" t="s">
        <v>355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4.25" hidden="false" customHeight="true" outlineLevel="0" collapsed="false">
      <c r="A182" s="60" t="s">
        <v>356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4.25" hidden="false" customHeight="true" outlineLevel="0" collapsed="false">
      <c r="A184" s="69" t="s">
        <v>357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4.25" hidden="false" customHeight="true" outlineLevel="0" collapsed="false">
      <c r="A186" s="71" t="s">
        <v>358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4.25" hidden="false" customHeight="true" outlineLevel="0" collapsed="false">
      <c r="A188" s="72" t="s">
        <v>359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4.25" hidden="false" customHeight="true" outlineLevel="0" collapsed="false">
      <c r="A189" s="6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4.25" hidden="false" customHeight="true" outlineLevel="0" collapsed="false">
      <c r="A190" s="60" t="s">
        <v>360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4.25" hidden="false" customHeight="true" outlineLevel="0" collapsed="false">
      <c r="A191" s="60" t="s">
        <v>361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4.25" hidden="false" customHeight="true" outlineLevel="0" collapsed="false">
      <c r="A192" s="60" t="s">
        <v>362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4.25" hidden="false" customHeight="true" outlineLevel="0" collapsed="false">
      <c r="A193" s="60" t="s">
        <v>363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4.25" hidden="false" customHeight="true" outlineLevel="0" collapsed="false">
      <c r="A194" s="60" t="s">
        <v>364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4.25" hidden="false" customHeight="true" outlineLevel="0" collapsed="false">
      <c r="A195" s="60" t="s">
        <v>365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4.25" hidden="false" customHeight="true" outlineLevel="0" collapsed="false">
      <c r="A197" s="72" t="s">
        <v>366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4.25" hidden="false" customHeight="true" outlineLevel="0" collapsed="false">
      <c r="A198" s="6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4.25" hidden="false" customHeight="true" outlineLevel="0" collapsed="false">
      <c r="A199" s="60" t="s">
        <v>367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4.25" hidden="false" customHeight="true" outlineLevel="0" collapsed="false">
      <c r="A200" s="60" t="s">
        <v>368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4.25" hidden="false" customHeight="true" outlineLevel="0" collapsed="false">
      <c r="A201" s="60" t="s">
        <v>369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4.25" hidden="false" customHeight="true" outlineLevel="0" collapsed="false">
      <c r="A202" s="60" t="s">
        <v>370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4.25" hidden="false" customHeight="true" outlineLevel="0" collapsed="false">
      <c r="A203" s="60" t="s">
        <v>371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4.25" hidden="false" customHeight="true" outlineLevel="0" collapsed="false">
      <c r="A204" s="60" t="s">
        <v>372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4.25" hidden="false" customHeight="true" outlineLevel="0" collapsed="false">
      <c r="A205" s="60" t="s">
        <v>373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4.25" hidden="false" customHeight="true" outlineLevel="0" collapsed="false">
      <c r="A206" s="60" t="s">
        <v>374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4.25" hidden="false" customHeight="true" outlineLevel="0" collapsed="false">
      <c r="A207" s="60" t="s">
        <v>375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4.25" hidden="false" customHeight="true" outlineLevel="0" collapsed="false">
      <c r="A208" s="60" t="s">
        <v>376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4.25" hidden="false" customHeight="true" outlineLevel="0" collapsed="false">
      <c r="A210" s="71" t="s">
        <v>377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4.25" hidden="false" customHeight="true" outlineLevel="0" collapsed="false">
      <c r="A212" s="72" t="s">
        <v>378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4.25" hidden="false" customHeight="true" outlineLevel="0" collapsed="false">
      <c r="A213" s="6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4.25" hidden="false" customHeight="true" outlineLevel="0" collapsed="false">
      <c r="A214" s="60" t="s">
        <v>379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4.25" hidden="false" customHeight="true" outlineLevel="0" collapsed="false">
      <c r="A215" s="60" t="s">
        <v>380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4.25" hidden="false" customHeight="true" outlineLevel="0" collapsed="false">
      <c r="A216" s="60" t="s">
        <v>381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4.25" hidden="false" customHeight="true" outlineLevel="0" collapsed="false">
      <c r="A218" s="72" t="s">
        <v>382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4.25" hidden="false" customHeight="true" outlineLevel="0" collapsed="false">
      <c r="A219" s="6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4.25" hidden="false" customHeight="true" outlineLevel="0" collapsed="false">
      <c r="A220" s="60" t="s">
        <v>383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4.25" hidden="false" customHeight="true" outlineLevel="0" collapsed="false">
      <c r="A221" s="60" t="s">
        <v>384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4.25" hidden="false" customHeight="true" outlineLevel="0" collapsed="false">
      <c r="A222" s="60" t="s">
        <v>385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4.25" hidden="false" customHeight="true" outlineLevel="0" collapsed="false">
      <c r="A223" s="60" t="s">
        <v>386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4.25" hidden="false" customHeight="true" outlineLevel="0" collapsed="false">
      <c r="A224" s="60" t="s">
        <v>387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4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4.25" hidden="false" customHeight="true" outlineLevel="0" collapsed="false">
      <c r="A226" s="72" t="s">
        <v>388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4.25" hidden="false" customHeight="true" outlineLevel="0" collapsed="false">
      <c r="A227" s="6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4.25" hidden="false" customHeight="true" outlineLevel="0" collapsed="false">
      <c r="A228" s="60" t="s">
        <v>389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4.25" hidden="false" customHeight="true" outlineLevel="0" collapsed="false">
      <c r="A229" s="60" t="s">
        <v>390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4.25" hidden="false" customHeight="true" outlineLevel="0" collapsed="false">
      <c r="A230" s="60" t="s">
        <v>391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4.25" hidden="false" customHeight="true" outlineLevel="0" collapsed="false">
      <c r="A231" s="60" t="s">
        <v>392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4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4.25" hidden="false" customHeight="true" outlineLevel="0" collapsed="false">
      <c r="A233" s="72" t="s">
        <v>393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4.25" hidden="false" customHeight="true" outlineLevel="0" collapsed="false">
      <c r="A234" s="6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4.25" hidden="false" customHeight="true" outlineLevel="0" collapsed="false">
      <c r="A235" s="60" t="s">
        <v>394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4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4.25" hidden="false" customHeight="true" outlineLevel="0" collapsed="false">
      <c r="A237" s="72" t="s">
        <v>395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4.25" hidden="false" customHeight="true" outlineLevel="0" collapsed="false">
      <c r="A238" s="6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4.25" hidden="false" customHeight="true" outlineLevel="0" collapsed="false">
      <c r="A239" s="60" t="s">
        <v>396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4.25" hidden="false" customHeight="true" outlineLevel="0" collapsed="false">
      <c r="A240" s="60" t="s">
        <v>397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4.25" hidden="false" customHeight="true" outlineLevel="0" collapsed="false">
      <c r="A241" s="60" t="s">
        <v>398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4.25" hidden="false" customHeight="true" outlineLevel="0" collapsed="false">
      <c r="A242" s="60" t="s">
        <v>399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4.25" hidden="false" customHeight="true" outlineLevel="0" collapsed="false">
      <c r="A243" s="60" t="s">
        <v>400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4.25" hidden="false" customHeight="true" outlineLevel="0" collapsed="false">
      <c r="A244" s="60" t="s">
        <v>401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4.25" hidden="false" customHeight="true" outlineLevel="0" collapsed="false">
      <c r="A245" s="60" t="s">
        <v>402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4.2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4.25" hidden="false" customHeight="true" outlineLevel="0" collapsed="false">
      <c r="A247" s="69" t="s">
        <v>403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4.2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4.25" hidden="false" customHeight="true" outlineLevel="0" collapsed="false">
      <c r="A249" s="71" t="s">
        <v>404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4.2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4.25" hidden="false" customHeight="true" outlineLevel="0" collapsed="false">
      <c r="A251" s="72" t="s">
        <v>405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4.25" hidden="false" customHeight="true" outlineLevel="0" collapsed="false">
      <c r="A252" s="6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4.25" hidden="false" customHeight="true" outlineLevel="0" collapsed="false">
      <c r="A253" s="60" t="s">
        <v>406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4.25" hidden="false" customHeight="true" outlineLevel="0" collapsed="false">
      <c r="A254" s="60" t="s">
        <v>407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4.25" hidden="false" customHeight="true" outlineLevel="0" collapsed="false">
      <c r="A255" s="60" t="s">
        <v>408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4.25" hidden="false" customHeight="true" outlineLevel="0" collapsed="false">
      <c r="A256" s="60" t="s">
        <v>409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4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4.25" hidden="false" customHeight="true" outlineLevel="0" collapsed="false">
      <c r="A258" s="72" t="s">
        <v>410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4.25" hidden="false" customHeight="true" outlineLevel="0" collapsed="false">
      <c r="A259" s="6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4.25" hidden="false" customHeight="true" outlineLevel="0" collapsed="false">
      <c r="A260" s="60" t="s">
        <v>411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4.25" hidden="false" customHeight="true" outlineLevel="0" collapsed="false">
      <c r="A261" s="60" t="s">
        <v>412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4.25" hidden="false" customHeight="true" outlineLevel="0" collapsed="false">
      <c r="A262" s="60" t="s">
        <v>413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4.25" hidden="false" customHeight="true" outlineLevel="0" collapsed="false">
      <c r="A263" s="60" t="s">
        <v>414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4.25" hidden="false" customHeight="true" outlineLevel="0" collapsed="false">
      <c r="A264" s="60" t="s">
        <v>415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4.25" hidden="false" customHeight="true" outlineLevel="0" collapsed="false">
      <c r="A265" s="60" t="s">
        <v>416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4.25" hidden="false" customHeight="true" outlineLevel="0" collapsed="false">
      <c r="A266" s="60" t="s">
        <v>417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4.25" hidden="false" customHeight="true" outlineLevel="0" collapsed="false">
      <c r="A267" s="60" t="s">
        <v>418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4.25" hidden="false" customHeight="true" outlineLevel="0" collapsed="false">
      <c r="A268" s="60" t="s">
        <v>419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4.25" hidden="false" customHeight="true" outlineLevel="0" collapsed="false">
      <c r="A269" s="60" t="s">
        <v>420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4.25" hidden="false" customHeight="true" outlineLevel="0" collapsed="false">
      <c r="A270" s="60" t="s">
        <v>421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4.25" hidden="false" customHeight="true" outlineLevel="0" collapsed="false">
      <c r="A271" s="60" t="s">
        <v>422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4.25" hidden="false" customHeight="true" outlineLevel="0" collapsed="false">
      <c r="A272" s="60" t="s">
        <v>423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4.25" hidden="false" customHeight="true" outlineLevel="0" collapsed="false">
      <c r="A273" s="60" t="s">
        <v>424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4.25" hidden="false" customHeight="true" outlineLevel="0" collapsed="false">
      <c r="A274" s="60" t="s">
        <v>425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4.2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4.25" hidden="false" customHeight="true" outlineLevel="0" collapsed="false">
      <c r="A276" s="71" t="s">
        <v>426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4.2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4.25" hidden="false" customHeight="true" outlineLevel="0" collapsed="false">
      <c r="A278" s="72" t="s">
        <v>427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4.25" hidden="false" customHeight="true" outlineLevel="0" collapsed="false">
      <c r="A279" s="6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4.25" hidden="false" customHeight="true" outlineLevel="0" collapsed="false">
      <c r="A280" s="60" t="s">
        <v>428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4.25" hidden="false" customHeight="true" outlineLevel="0" collapsed="false">
      <c r="A281" s="60" t="s">
        <v>429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4.25" hidden="false" customHeight="true" outlineLevel="0" collapsed="false">
      <c r="A282" s="60" t="s">
        <v>430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4.2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4.25" hidden="false" customHeight="true" outlineLevel="0" collapsed="false">
      <c r="A284" s="72" t="s">
        <v>431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4.25" hidden="false" customHeight="true" outlineLevel="0" collapsed="false">
      <c r="A285" s="6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4.25" hidden="false" customHeight="true" outlineLevel="0" collapsed="false">
      <c r="A286" s="60" t="s">
        <v>432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4.25" hidden="false" customHeight="true" outlineLevel="0" collapsed="false">
      <c r="A287" s="60" t="s">
        <v>433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4.25" hidden="false" customHeight="true" outlineLevel="0" collapsed="false">
      <c r="A288" s="60" t="s">
        <v>434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4.2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4.25" hidden="false" customHeight="true" outlineLevel="0" collapsed="false">
      <c r="A290" s="72" t="s">
        <v>435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4.25" hidden="false" customHeight="true" outlineLevel="0" collapsed="false">
      <c r="A291" s="6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4.25" hidden="false" customHeight="true" outlineLevel="0" collapsed="false">
      <c r="A292" s="60" t="s">
        <v>436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4.25" hidden="false" customHeight="true" outlineLevel="0" collapsed="false">
      <c r="A293" s="60" t="s">
        <v>437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4.25" hidden="false" customHeight="true" outlineLevel="0" collapsed="false">
      <c r="A294" s="60" t="s">
        <v>438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4.2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4.2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4.2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4.2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4.2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4.2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4.2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4.2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4.2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4.2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4.2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4.2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4.2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4.2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4.2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4.2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4.2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4.2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4.2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4.2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4.2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4.2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4.2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4.2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4.2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4.2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4.2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4.2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4.2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4.2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4.2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4.2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4.2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4.2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4.2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4.2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4.2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4.2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4.2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4.2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4.2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4.2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4.2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4.2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4.2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4.2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4.2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4.2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4.2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4.2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4.2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4.2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4.2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4.2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4.2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4.2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4.2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4.2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4.2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4.2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4.2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4.2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4.2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4.2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4.2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4.2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4.2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4.2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4.2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4.2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4.2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4.2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4.2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4.2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4.2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4.2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4.2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4.2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4.2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4.2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4.2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4.2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4.2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4.2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4.2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4.2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4.2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4.2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4.2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4.2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4.2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4.2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4.2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4.2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4.2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4.2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4.2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4.2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4.2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4.2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4.2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4.2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4.2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4.2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4.2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4.2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4.2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4.2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4.2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4.2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4.2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4.2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4.2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4.2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4.2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4.2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4.2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4.2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4.2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4.2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4.2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4.2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4.2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4.2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4.2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4.2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4.2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4.2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4.2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4.2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4.2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4.2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4.2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4.2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4.2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4.2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4.2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4.2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4.2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4.2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4.2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4.2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4.2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4.2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4.2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4.2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4.2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4.2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4.2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4.2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4.2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4.2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4.2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4.2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4.2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4.2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4.2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4.2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4.2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4.2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4.2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4.2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4.2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4.2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4.2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4.2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4.2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4.2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4.2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4.2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4.2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4.2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4.2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4.2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4.2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4.2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4.2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4.2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4.2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4.2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4.2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4.2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4.2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4.2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4.2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4.2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4.2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4.2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4.2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4.2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4.2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4.2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4.2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4.2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4.2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4.2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4.2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4.2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4.2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4.2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ef="A3" r:id="rId1" display="Drive (click here)"/>
    <hyperlink ref="A4" r:id="rId2" display="current promo ressources (click here)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2026-02-11T16:12:37Z</dcterms:created>
  <dc:creator>openpyxl</dc:creator>
  <dc:description/>
  <dc:language>en-US</dc:language>
  <cp:lastModifiedBy/>
  <dcterms:modified xsi:type="dcterms:W3CDTF">2026-02-11T16:12:38Z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