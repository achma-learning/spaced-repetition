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O" sheetId="1" r:id="rId5"/>
    <sheet state="visible" name="lesson-database" sheetId="2" r:id="rId6"/>
    <sheet state="visible" name="VISUALS" sheetId="3" r:id="rId7"/>
    <sheet state="visible" name="Hebdomadaire" sheetId="4" r:id="rId8"/>
    <sheet state="visible" name="Guide" sheetId="5" r:id="rId9"/>
  </sheets>
  <definedNames>
    <definedName hidden="1" localSheetId="1" name="_xlnm._FilterDatabase">'lesson-database'!$A$2:$G$93</definedName>
  </definedNames>
  <calcPr/>
</workbook>
</file>

<file path=xl/sharedStrings.xml><?xml version="1.0" encoding="utf-8"?>
<sst xmlns="http://schemas.openxmlformats.org/spreadsheetml/2006/main" count="354" uniqueCount="255">
  <si>
    <t>Today:</t>
  </si>
  <si>
    <t>Day's left</t>
  </si>
  <si>
    <t>exam date</t>
  </si>
  <si>
    <t>🔥 DUE TODAY</t>
  </si>
  <si>
    <t>📆 TOMORROW</t>
  </si>
  <si>
    <t>📈 THIS WEEK</t>
  </si>
  <si>
    <t>⏱️ TIME TODAY</t>
  </si>
  <si>
    <r>
      <rPr>
        <rFont val="Cambria"/>
        <b/>
        <color rgb="FF1F4788"/>
        <sz val="14.0"/>
      </rPr>
      <t xml:space="preserve">🚨 early bird </t>
    </r>
    <r>
      <rPr>
        <rFont val="Cambria"/>
        <b/>
        <color rgb="FF1F4788"/>
        <sz val="5.0"/>
      </rPr>
      <t>(How much a lesson is old)</t>
    </r>
  </si>
  <si>
    <t>Severity</t>
  </si>
  <si>
    <t>Count</t>
  </si>
  <si>
    <t>Days</t>
  </si>
  <si>
    <t>Action</t>
  </si>
  <si>
    <t>📚 TOP SUBJECTS</t>
  </si>
  <si>
    <t>🟠 High</t>
  </si>
  <si>
    <t>5-9 days</t>
  </si>
  <si>
    <t>Priority</t>
  </si>
  <si>
    <t>Module</t>
  </si>
  <si>
    <t>Subject</t>
  </si>
  <si>
    <t>Total</t>
  </si>
  <si>
    <t>started</t>
  </si>
  <si>
    <t>%</t>
  </si>
  <si>
    <t>🟡 Medium</t>
  </si>
  <si>
    <t>2-4 days</t>
  </si>
  <si>
    <t>Soon</t>
  </si>
  <si>
    <t>Traumato</t>
  </si>
  <si>
    <t>Tramatologie</t>
  </si>
  <si>
    <t>🟢 Today</t>
  </si>
  <si>
    <t>0 days</t>
  </si>
  <si>
    <t>Study Now</t>
  </si>
  <si>
    <t>Rhumatologie</t>
  </si>
  <si>
    <t>MPR</t>
  </si>
  <si>
    <t>🎓 MASTERY DISTRIBUTION</t>
  </si>
  <si>
    <t>Anapath</t>
  </si>
  <si>
    <t>Anatomopathologie</t>
  </si>
  <si>
    <t>Level</t>
  </si>
  <si>
    <t>Status</t>
  </si>
  <si>
    <t>Med interne</t>
  </si>
  <si>
    <t>Maladies de système</t>
  </si>
  <si>
    <t>0-2 (Weak)</t>
  </si>
  <si>
    <t>🔴 you learnt something please try again</t>
  </si>
  <si>
    <t>Génétique</t>
  </si>
  <si>
    <t>3-4 (Learning)</t>
  </si>
  <si>
    <t>🟡 Developing</t>
  </si>
  <si>
    <t>Immuno</t>
  </si>
  <si>
    <t>5-6 (Strong)</t>
  </si>
  <si>
    <t>🟢 Good</t>
  </si>
  <si>
    <t>TOTAUX</t>
  </si>
  <si>
    <t>7 (Mastered)</t>
  </si>
  <si>
    <t>✅ Excellent</t>
  </si>
  <si>
    <t>📅 7-DAY WORKLOAD</t>
  </si>
  <si>
    <t>Day</t>
  </si>
  <si>
    <t>Lessons</t>
  </si>
  <si>
    <t>Load</t>
  </si>
  <si>
    <t>Today</t>
  </si>
  <si>
    <t>Tomorrow</t>
  </si>
  <si>
    <t>J+2</t>
  </si>
  <si>
    <t>J+3</t>
  </si>
  <si>
    <t>J+4</t>
  </si>
  <si>
    <t>J+5</t>
  </si>
  <si>
    <t>J+6</t>
  </si>
  <si>
    <t>J+7</t>
  </si>
  <si>
    <t>⚡ QUICK ACTIONS</t>
  </si>
  <si>
    <t>→ Go to "lesson-database" sheet to study &amp; update</t>
  </si>
  <si>
    <t>→ Filter by Status: "⚡ STUDY NOW" to see due lessons</t>
  </si>
  <si>
    <t>→ After studying: Update Last Review (Ctrl+;) &amp; Mastery level</t>
  </si>
  <si>
    <t>→ Calendar syncs automatically every hour</t>
  </si>
  <si>
    <t>📊 TODAY'S PROGRESS</t>
  </si>
  <si>
    <t>Completed:</t>
  </si>
  <si>
    <t>Remaining:</t>
  </si>
  <si>
    <t>Progress:</t>
  </si>
  <si>
    <t>Progress Bar:</t>
  </si>
  <si>
    <t>1 module/j - 1 new lesson per day / EARLY BIRD : ""1h/day, also important to recharge battery , stop don't do nothing dikr, like 30min of rest pomodoro</t>
  </si>
  <si>
    <t>(Auto-filled by script)</t>
  </si>
  <si>
    <t>Topic</t>
  </si>
  <si>
    <t>Mastery</t>
  </si>
  <si>
    <t>Last Review</t>
  </si>
  <si>
    <t>Interval</t>
  </si>
  <si>
    <t>Next Review</t>
  </si>
  <si>
    <t>s8-Génétique</t>
  </si>
  <si>
    <t>Modes de transmission des maladies génétiques</t>
  </si>
  <si>
    <t>✅</t>
  </si>
  <si>
    <t>k3n6picl6ctqu7v6r8jg7m67k4@google.com</t>
  </si>
  <si>
    <t>Introduction à la génétique</t>
  </si>
  <si>
    <t>cagpscfki8g7gu5ff0pv3bre7k@google.com</t>
  </si>
  <si>
    <t>s8-Tramatologie</t>
  </si>
  <si>
    <t>Fractures de l'extrémité supérieur du fémur</t>
  </si>
  <si>
    <t>7bpldp5o05056f02r5i180ar58@google.com</t>
  </si>
  <si>
    <t>Fractures du genou</t>
  </si>
  <si>
    <t>9alocmb0kgcnfmg36bmsfhcpng@google.com</t>
  </si>
  <si>
    <t>s8-Anatomopathologie</t>
  </si>
  <si>
    <t>Tumeurs de l'estomac</t>
  </si>
  <si>
    <t>rp7kd96h03f63bcujfg4qh2d0c@google.com</t>
  </si>
  <si>
    <t>Fc coude + Avant bras</t>
  </si>
  <si>
    <t>foffv0o1q6sk1a3iflvm8rojj4@google.com</t>
  </si>
  <si>
    <t>Fractures de la diaphyse humérale</t>
  </si>
  <si>
    <t>qeh5ji5j1eajrq50lnkjg68bt0@google.com</t>
  </si>
  <si>
    <t>Fractures de la palette humérale</t>
  </si>
  <si>
    <t>Fractures du poignet (scaphoide)</t>
  </si>
  <si>
    <t>Infections de la main</t>
  </si>
  <si>
    <t>Traumas du bassin / Luxation de la hanche</t>
  </si>
  <si>
    <t>Lésions méniscoligamentaires du genou</t>
  </si>
  <si>
    <t>Trauma de la cheville</t>
  </si>
  <si>
    <t>Traumatismes vasculaires</t>
  </si>
  <si>
    <t>Fracture du fémur</t>
  </si>
  <si>
    <t>Fracture de la jambe</t>
  </si>
  <si>
    <t>Traumas de l'épaule</t>
  </si>
  <si>
    <t>Plaies de la main</t>
  </si>
  <si>
    <t>Fractures de la main</t>
  </si>
  <si>
    <t>Traumas des nerfs périphériques</t>
  </si>
  <si>
    <t>Tumeurs osseuses</t>
  </si>
  <si>
    <t>Tumeurs des parties molles</t>
  </si>
  <si>
    <t>s8-Rhumatologie</t>
  </si>
  <si>
    <t>Introd à la rhuamato</t>
  </si>
  <si>
    <t>Mono-arthrite</t>
  </si>
  <si>
    <t>Epaule douloureuse</t>
  </si>
  <si>
    <t>Hanche douloureuse</t>
  </si>
  <si>
    <t>Radiculalgie des membres</t>
  </si>
  <si>
    <t>Ostéoporose</t>
  </si>
  <si>
    <t>Ostéomalacie</t>
  </si>
  <si>
    <t>Hypercalcémies</t>
  </si>
  <si>
    <t>Ab-articulaire</t>
  </si>
  <si>
    <t>Algodystrophie</t>
  </si>
  <si>
    <t>Sd du canal carpien</t>
  </si>
  <si>
    <t>CAT devant rhumatisme inflammatoire débutant</t>
  </si>
  <si>
    <t>Polyarthrite rhumatoide</t>
  </si>
  <si>
    <t>Goutte</t>
  </si>
  <si>
    <t>Arthrose</t>
  </si>
  <si>
    <t>Lombalgies</t>
  </si>
  <si>
    <t>Tuberculose ostéo-articulaire</t>
  </si>
  <si>
    <t>Spondylarthrite ankylosante</t>
  </si>
  <si>
    <t>s8-MPR</t>
  </si>
  <si>
    <t>Handicap</t>
  </si>
  <si>
    <t>Intervenants et thérapies en MPR</t>
  </si>
  <si>
    <t>Appareillages et aides techniques</t>
  </si>
  <si>
    <t>MPR et domaines d'interventions</t>
  </si>
  <si>
    <t>L'activité physique</t>
  </si>
  <si>
    <t>Tumeurs du foie</t>
  </si>
  <si>
    <t>Polypes et polyposes digestives</t>
  </si>
  <si>
    <t>Cancers colo-rectales</t>
  </si>
  <si>
    <t>Cancer du sein</t>
  </si>
  <si>
    <t>Tumeurs broncho-pulmonaires</t>
  </si>
  <si>
    <t>Mastopathies bénignes</t>
  </si>
  <si>
    <t>Lymphome d'Hogking</t>
  </si>
  <si>
    <t>Tumeur de l'ovaire</t>
  </si>
  <si>
    <t>Pathologies de l'oesophage</t>
  </si>
  <si>
    <t>Tumeurs de la vessie</t>
  </si>
  <si>
    <t>Cancer du prostate</t>
  </si>
  <si>
    <t>Cancer du testicule</t>
  </si>
  <si>
    <t>Tumerus du rein</t>
  </si>
  <si>
    <t>Cancer du col utérin</t>
  </si>
  <si>
    <t>s8-Maladies de système</t>
  </si>
  <si>
    <t>Lupus</t>
  </si>
  <si>
    <t>Sclérodermie systémique</t>
  </si>
  <si>
    <t>Vascularites systémiques</t>
  </si>
  <si>
    <t>Maladie de Behçet</t>
  </si>
  <si>
    <t>Sd de Gougerot-sjogren</t>
  </si>
  <si>
    <t>Vascularites systémiques + Artérite à cellules génates</t>
  </si>
  <si>
    <t>Phénomène de Raynaud</t>
  </si>
  <si>
    <t>Maladie de Takayasu</t>
  </si>
  <si>
    <t>Myopathies inflammatoires</t>
  </si>
  <si>
    <t>SAPL</t>
  </si>
  <si>
    <t>Génétique des populations</t>
  </si>
  <si>
    <t>sr0n8j9e5g0milv5hdg1k5it0k@google.com</t>
  </si>
  <si>
    <t>Mutations : classification, conséquences et nomenclature</t>
  </si>
  <si>
    <t>vl0u2k382f4hvm6l45dm7pc0oo@google.com</t>
  </si>
  <si>
    <t>Caryotype</t>
  </si>
  <si>
    <t>La pathologie chromosomique</t>
  </si>
  <si>
    <t>Exemples de pathologies autosomes / gonosomes</t>
  </si>
  <si>
    <t>Conseil génétique</t>
  </si>
  <si>
    <t>Diagnostic anténatal</t>
  </si>
  <si>
    <t>SMA</t>
  </si>
  <si>
    <t>Sd de l'X fragil</t>
  </si>
  <si>
    <t>Sd de Prader Willi</t>
  </si>
  <si>
    <t>s8-Immuno</t>
  </si>
  <si>
    <t>Introduction à l'immuno</t>
  </si>
  <si>
    <t>Déficits immunitaires</t>
  </si>
  <si>
    <t>Hypersensibilité immédiate et allergie</t>
  </si>
  <si>
    <t>Hypersensibilité type 2 et 3</t>
  </si>
  <si>
    <t>Hypersensibilité type 4</t>
  </si>
  <si>
    <t>Auto-immunité et maladies auto-immunes</t>
  </si>
  <si>
    <t>Immunité anti-infectieuse</t>
  </si>
  <si>
    <t>Immunité anti-tumorale</t>
  </si>
  <si>
    <t>Vaccination</t>
  </si>
  <si>
    <t>Anticorps monoclonaux</t>
  </si>
  <si>
    <t>Immunosupresseurs</t>
  </si>
  <si>
    <t>s7-chir ped</t>
  </si>
  <si>
    <t>osteomyelite</t>
  </si>
  <si>
    <t>fic262a441r639qr8egv4luee8@google.com</t>
  </si>
  <si>
    <t>Due</t>
  </si>
  <si>
    <t>put here a list of cours to view during this week</t>
  </si>
  <si>
    <t>Make a small calendar grid where each day shows how many reviews are planned.</t>
  </si>
  <si>
    <t>You will immediately see:</t>
  </si>
  <si>
    <t>overloaded days</t>
  </si>
  <si>
    <t>empty days</t>
  </si>
  <si>
    <t>bad distribution</t>
  </si>
  <si>
    <t>This helps you reschedule before it explodes.</t>
  </si>
  <si>
    <t>in short select last review : update it to current date when study (ctrl + ; = insert today's date), and then update level | these are the two changes</t>
  </si>
  <si>
    <t>1️⃣ THE DAILY ROUTINE (3 Steps)</t>
  </si>
  <si>
    <t>Goal: Spend 100% of your time studying, not managing the sheet.</t>
  </si>
  <si>
    <t>Step A: FILTER 🔍</t>
  </si>
  <si>
    <t>1. Go to the "Status" column (Col G).</t>
  </si>
  <si>
    <t>2. Click the filter arrow.</t>
  </si>
  <si>
    <t>3. Select only "⚡ STUDY NOW".</t>
  </si>
  <si>
    <t>(Now you see only what is urgent today.)</t>
  </si>
  <si>
    <t>Step B: ACTIVE RECALL 💭</t>
  </si>
  <si>
    <t>1. Look at the Topic (Col B).</t>
  </si>
  <si>
    <t>2. Look away and attempt to recall the facts/mechanisms.</t>
  </si>
  <si>
    <t>3. Check your notes/textbook to verify.</t>
  </si>
  <si>
    <t>Step C: UPDATE 📝</t>
  </si>
  <si>
    <t>1. Update Date: Change "Last Review" (Col C) to TODAY.</t>
  </si>
  <si>
    <t>Excel Shortcut: Ctrl + ; (Windows) or Cmd + ; (Mac).</t>
  </si>
  <si>
    <t>2. Update Level: Change "Current Level" (Col D) based on how you did (see below).</t>
  </si>
  <si>
    <t>3. Clear Filter: When finished, clear the filter to see everything again.</t>
  </si>
  <si>
    <t>2️⃣ THE SCORING SYSTEM (How to set Column D)</t>
  </si>
  <si>
    <t>Be honest. The algorithm only works if you are truthful about your memory.</t>
  </si>
  <si>
    <t>If you felt...</t>
  </si>
  <si>
    <t>Action to take</t>
  </si>
  <si>
    <t>Result</t>
  </si>
  <si>
    <t>❌ Forgot / Wrong</t>
  </si>
  <si>
    <t>Change Level to 0</t>
  </si>
  <si>
    <t>Resets. You will see this again Tomorrow.</t>
  </si>
  <si>
    <t>😐 Hard / Hesitant</t>
  </si>
  <si>
    <t>Keep Level the SAME</t>
  </si>
  <si>
    <t>Repeats interval. You will see it again Soon.</t>
  </si>
  <si>
    <t>✅ Good / Easy</t>
  </si>
  <si>
    <t>Increase Level by +1</t>
  </si>
  <si>
    <t>Expands interval. You will see it Later.</t>
  </si>
  <si>
    <t>Max Level: Once you reach Level 7, you have mastered the topic (Review every ~4 months).</t>
  </si>
  <si>
    <t>3️⃣ ADDING NEW LESSONS</t>
  </si>
  <si>
    <t>1. Scroll to the bottom of your list.</t>
  </si>
  <si>
    <t>2. Type the Subject and Topic.</t>
  </si>
  <si>
    <t>3. Set Last Review to Today (Ctrl + ;).</t>
  </si>
  <si>
    <t>4. Set Current Level to 0.</t>
  </si>
  <si>
    <t>(This ensures you review it tomorrow to lock it in immediately.)</t>
  </si>
  <si>
    <t>💡 PRO TIPS FOR MEDICAL STUDENTS</t>
  </si>
  <si>
    <t>🚫 The "Exam Cram" Mode:</t>
  </si>
  <si>
    <t>If you have an exam coming up, forget the "Status" column. Instead, sort the sheet by Current Level (Smallest to Largest). Focus entirely on Level 0, 1, and 2 topics. Don't waste time reviewing Level 5+ during cram week.</t>
  </si>
  <si>
    <t>📅 Missed a few days?</t>
  </si>
  <si>
    <t>Don't panic. Unlike rigid schedules, this system pauses when you stop. Just open the sheet, filter for "⚡ STUDY NOW," and chip away at the list. Start with the hardest topics first.</t>
  </si>
  <si>
    <t>⌨️ Speed Shortcut:</t>
  </si>
  <si>
    <t>After studying a row, hit Right Arrow ➔ Ctrl + ; ➔ Right Arrow ➔ Type Level ➔ Enter. You can process a card in 3 seconds.</t>
  </si>
  <si>
    <t>📅 CALENDAR SYNC SETUP</t>
  </si>
  <si>
    <t>1. Go to Extensions → Apps Script</t>
  </si>
  <si>
    <t>2. Copy the script from CalendarSync.js file</t>
  </si>
  <si>
    <t>3. Paste it and save</t>
  </si>
  <si>
    <t>4. Refresh this sheet</t>
  </si>
  <si>
    <t>5. Click "📅 Calendar Sync" menu → "Setup Auto-Sync"</t>
  </si>
  <si>
    <t>6. Grant permissions when asked</t>
  </si>
  <si>
    <t>7. Done! Your lessons will appear in Google Calendar</t>
  </si>
  <si>
    <t>The script will:</t>
  </si>
  <si>
    <t>✅ Create calendar events for all lessons</t>
  </si>
  <si>
    <t>✅ Auto-sync every 6 hours</t>
  </si>
  <si>
    <t>✅ Update events when dates change</t>
  </si>
  <si>
    <t>✅ Delete events when lessons removed</t>
  </si>
  <si>
    <t>Column I (Event ID) is managed automatically by the script.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</si>
</sst>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/M/YYYY"/>
  </numFmts>
  <fonts count="41">
    <font>
      <sz val="11.0"/>
      <color theme="1"/>
      <name val="Calibri"/>
      <scheme val="minor"/>
    </font>
    <font>
      <b/>
      <sz val="11.0"/>
      <color theme="1"/>
      <name val="Cambria"/>
    </font>
    <font>
      <b/>
      <sz val="12.0"/>
      <color theme="1"/>
      <name val="Cambria"/>
    </font>
    <font>
      <sz val="14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6.0"/>
      <color rgb="FFFFFFFF"/>
      <name val="Cambria"/>
    </font>
    <font/>
    <font>
      <sz val="12.0"/>
      <color theme="1"/>
      <name val="Calibri"/>
      <scheme val="minor"/>
    </font>
    <font>
      <b/>
      <sz val="56.0"/>
      <color rgb="FFC00000"/>
      <name val="Cambria"/>
    </font>
    <font>
      <b/>
      <sz val="56.0"/>
      <color rgb="FFFF6600"/>
      <name val="Cambria"/>
    </font>
    <font>
      <b/>
      <sz val="56.0"/>
      <color rgb="FF0066CC"/>
      <name val="Cambria"/>
    </font>
    <font>
      <b/>
      <sz val="42.0"/>
      <color rgb="FF7030A0"/>
      <name val="Cambria"/>
    </font>
    <font>
      <b/>
      <sz val="14.0"/>
      <color rgb="FF1F4788"/>
      <name val="Cambria"/>
    </font>
    <font>
      <b/>
      <sz val="11.0"/>
      <color rgb="FF00FFFF"/>
      <name val="Cambria"/>
    </font>
    <font>
      <b/>
      <sz val="11.0"/>
      <color theme="1"/>
      <name val="Calibri"/>
    </font>
    <font>
      <b/>
      <i/>
      <sz val="12.0"/>
      <color rgb="FF0000FF"/>
      <name val="EB Garamond"/>
    </font>
    <font>
      <b/>
      <sz val="15.0"/>
      <color rgb="FF0000FF"/>
      <name val="EB Garamond"/>
    </font>
    <font>
      <b/>
      <sz val="14.0"/>
      <color rgb="FFFFFFFF"/>
      <name val="Cambria"/>
    </font>
    <font>
      <b/>
      <sz val="10.0"/>
      <color theme="1"/>
      <name val="Cambria"/>
    </font>
    <font>
      <b/>
      <sz val="13.0"/>
      <color rgb="FF00B050"/>
      <name val="Cambria"/>
    </font>
    <font>
      <b/>
      <sz val="13.0"/>
      <color rgb="FFC00000"/>
      <name val="Cambria"/>
    </font>
    <font>
      <b/>
      <sz val="13.0"/>
      <color rgb="FF0066CC"/>
      <name val="Cambria"/>
    </font>
    <font>
      <sz val="12.0"/>
      <color theme="1"/>
      <name val="Google Sans"/>
    </font>
    <font>
      <i/>
      <sz val="9.0"/>
      <color rgb="FF666666"/>
      <name val="Calibri"/>
    </font>
    <font>
      <i/>
      <sz val="10.0"/>
      <color rgb="FF00B0F0"/>
      <name val="0xProto Nerd Font Propo"/>
    </font>
    <font>
      <i/>
      <sz val="12.0"/>
      <color rgb="FF00B0F0"/>
      <name val="Arial"/>
    </font>
    <font>
      <b/>
      <u/>
      <sz val="10.0"/>
      <color rgb="FFCC00FF"/>
      <name val="0xProto Nerd Font Propo"/>
    </font>
    <font>
      <i/>
      <sz val="10.0"/>
      <color rgb="FF00B0F0"/>
      <name val="Arial"/>
    </font>
    <font>
      <b/>
      <sz val="12.0"/>
      <color theme="1"/>
      <name val="EB Garamond"/>
    </font>
    <font>
      <sz val="12.0"/>
      <color rgb="FF1F1F1F"/>
      <name val="Google Sans"/>
    </font>
    <font>
      <sz val="11.0"/>
      <color rgb="FF9C0006"/>
      <name val="Calibri"/>
    </font>
    <font>
      <sz val="12.0"/>
      <color theme="1"/>
      <name val="Calibri"/>
    </font>
    <font>
      <sz val="11.0"/>
      <color theme="1"/>
      <name val="Cambria"/>
    </font>
    <font>
      <b/>
      <sz val="18.0"/>
      <color theme="1"/>
      <name val="Arial"/>
    </font>
    <font>
      <i/>
      <sz val="11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2.0"/>
      <color rgb="FF1F4788"/>
      <name val="Calibri"/>
    </font>
    <font>
      <sz val="10.0"/>
      <color theme="1"/>
      <name val="Calibri"/>
    </font>
    <font>
      <sz val="10.0"/>
      <color rgb="FF00B050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FF6600"/>
        <bgColor rgb="FFFF6600"/>
      </patternFill>
    </fill>
    <fill>
      <patternFill patternType="solid">
        <fgColor rgb="FF0066CC"/>
        <bgColor rgb="FF0066CC"/>
      </patternFill>
    </fill>
    <fill>
      <patternFill patternType="solid">
        <fgColor rgb="FF7030A0"/>
        <bgColor rgb="FF7030A0"/>
      </patternFill>
    </fill>
    <fill>
      <patternFill patternType="solid">
        <fgColor rgb="FFD9E1F2"/>
        <bgColor rgb="FFD9E1F2"/>
      </patternFill>
    </fill>
    <fill>
      <patternFill patternType="solid">
        <fgColor rgb="FF0000FF"/>
        <bgColor rgb="FF0000FF"/>
      </patternFill>
    </fill>
    <fill>
      <patternFill patternType="solid">
        <fgColor rgb="FFE8E8E8"/>
        <bgColor rgb="FFE8E8E8"/>
      </patternFill>
    </fill>
    <fill>
      <patternFill patternType="solid">
        <fgColor theme="1"/>
        <bgColor theme="1"/>
      </patternFill>
    </fill>
    <fill>
      <patternFill patternType="solid">
        <fgColor rgb="FF6666FF"/>
        <bgColor rgb="FF6666FF"/>
      </patternFill>
    </fill>
    <fill>
      <patternFill patternType="solid">
        <fgColor rgb="FFFFC7CE"/>
        <bgColor rgb="FFFFC7CE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rgb="FFFF66CC"/>
        <bgColor rgb="FFFF66CC"/>
      </patternFill>
    </fill>
    <fill>
      <patternFill patternType="solid">
        <fgColor rgb="FF9CC2E5"/>
        <bgColor rgb="FF9CC2E5"/>
      </patternFill>
    </fill>
    <fill>
      <patternFill patternType="solid">
        <fgColor rgb="FFCC66FF"/>
        <bgColor rgb="FFCC66FF"/>
      </patternFill>
    </fill>
    <fill>
      <patternFill patternType="solid">
        <fgColor rgb="FFECECEC"/>
        <bgColor rgb="FFECECEC"/>
      </patternFill>
    </fill>
  </fills>
  <borders count="19">
    <border/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</border>
    <border>
      <left style="thick">
        <color theme="0"/>
      </left>
      <right style="thin">
        <color rgb="FF002060"/>
      </right>
      <top style="thin">
        <color rgb="FF000000"/>
      </top>
      <bottom style="thick">
        <color theme="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9C0006"/>
      </left>
      <right style="thin">
        <color rgb="FF9C0006"/>
      </right>
      <top style="thin">
        <color rgb="FF9C0006"/>
      </top>
      <bottom style="thin">
        <color rgb="FF9C0006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3" numFmtId="14" xfId="0" applyAlignment="1" applyFont="1" applyNumberFormat="1">
      <alignment horizontal="center" vertical="center"/>
    </xf>
    <xf borderId="0" fillId="0" fontId="4" numFmtId="0" xfId="0" applyAlignment="1" applyFont="1">
      <alignment shrinkToFit="0" vertical="bottom" wrapText="0"/>
    </xf>
    <xf borderId="0" fillId="0" fontId="5" numFmtId="0" xfId="0" applyFont="1"/>
    <xf borderId="1" fillId="2" fontId="6" numFmtId="0" xfId="0" applyAlignment="1" applyBorder="1" applyFill="1" applyFont="1">
      <alignment horizontal="center" readingOrder="0" shrinkToFit="0" vertical="center" wrapText="0"/>
    </xf>
    <xf borderId="2" fillId="0" fontId="7" numFmtId="0" xfId="0" applyBorder="1" applyFont="1"/>
    <xf borderId="1" fillId="3" fontId="6" numFmtId="0" xfId="0" applyAlignment="1" applyBorder="1" applyFill="1" applyFont="1">
      <alignment horizontal="center" shrinkToFit="0" vertical="center" wrapText="0"/>
    </xf>
    <xf borderId="3" fillId="0" fontId="7" numFmtId="0" xfId="0" applyBorder="1" applyFont="1"/>
    <xf borderId="1" fillId="4" fontId="6" numFmtId="0" xfId="0" applyAlignment="1" applyBorder="1" applyFill="1" applyFont="1">
      <alignment horizontal="center" shrinkToFit="0" vertical="center" wrapText="0"/>
    </xf>
    <xf borderId="1" fillId="5" fontId="6" numFmtId="0" xfId="0" applyAlignment="1" applyBorder="1" applyFill="1" applyFont="1">
      <alignment horizontal="center" shrinkToFit="0" vertical="center" wrapText="0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0" fillId="0" fontId="11" numFmtId="0" xfId="0" applyAlignment="1" applyFont="1">
      <alignment horizontal="center" shrinkToFit="0" vertical="center" wrapText="0"/>
    </xf>
    <xf borderId="0" fillId="0" fontId="12" numFmtId="0" xfId="0" applyAlignment="1" applyFont="1">
      <alignment horizontal="center" shrinkToFit="0" vertical="center" wrapText="0"/>
    </xf>
    <xf borderId="0" fillId="0" fontId="5" numFmtId="0" xfId="0" applyAlignment="1" applyFont="1">
      <alignment vertical="center"/>
    </xf>
    <xf borderId="4" fillId="0" fontId="13" numFmtId="0" xfId="0" applyAlignment="1" applyBorder="1" applyFont="1">
      <alignment horizontal="center" readingOrder="0" shrinkToFit="0" vertical="center" wrapText="0"/>
    </xf>
    <xf borderId="5" fillId="0" fontId="7" numFmtId="0" xfId="0" applyBorder="1" applyFont="1"/>
    <xf borderId="6" fillId="0" fontId="7" numFmtId="0" xfId="0" applyBorder="1" applyFont="1"/>
    <xf borderId="7" fillId="6" fontId="1" numFmtId="0" xfId="0" applyAlignment="1" applyBorder="1" applyFill="1" applyFont="1">
      <alignment horizontal="center" shrinkToFit="0" vertical="bottom" wrapText="0"/>
    </xf>
    <xf borderId="4" fillId="0" fontId="13" numFmtId="0" xfId="0" applyAlignment="1" applyBorder="1" applyFont="1">
      <alignment horizontal="center" shrinkToFit="0" vertical="center" wrapText="0"/>
    </xf>
    <xf borderId="7" fillId="0" fontId="5" numFmtId="0" xfId="0" applyBorder="1" applyFont="1"/>
    <xf borderId="7" fillId="0" fontId="4" numFmtId="0" xfId="0" applyAlignment="1" applyBorder="1" applyFont="1">
      <alignment horizontal="center" shrinkToFit="0" vertical="bottom" wrapText="0"/>
    </xf>
    <xf borderId="7" fillId="7" fontId="14" numFmtId="0" xfId="0" applyAlignment="1" applyBorder="1" applyFill="1" applyFont="1">
      <alignment horizontal="center" readingOrder="0" shrinkToFit="0" vertical="bottom" wrapText="0"/>
    </xf>
    <xf borderId="8" fillId="0" fontId="5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/>
    </xf>
    <xf borderId="7" fillId="0" fontId="15" numFmtId="0" xfId="0" applyAlignment="1" applyBorder="1" applyFont="1">
      <alignment horizontal="center" shrinkToFit="0" vertical="bottom" wrapText="0"/>
    </xf>
    <xf borderId="7" fillId="0" fontId="5" numFmtId="10" xfId="0" applyBorder="1" applyFont="1" applyNumberFormat="1"/>
    <xf borderId="9" fillId="0" fontId="7" numFmtId="0" xfId="0" applyBorder="1" applyFont="1"/>
    <xf borderId="7" fillId="0" fontId="5" numFmtId="0" xfId="0" applyAlignment="1" applyBorder="1" applyFont="1">
      <alignment horizontal="center" readingOrder="0"/>
    </xf>
    <xf borderId="10" fillId="0" fontId="7" numFmtId="0" xfId="0" applyBorder="1" applyFont="1"/>
    <xf borderId="0" fillId="0" fontId="5" numFmtId="0" xfId="0" applyAlignment="1" applyFont="1">
      <alignment horizontal="center"/>
    </xf>
    <xf borderId="7" fillId="0" fontId="5" numFmtId="0" xfId="0" applyAlignment="1" applyBorder="1" applyFont="1">
      <alignment readingOrder="0"/>
    </xf>
    <xf borderId="7" fillId="0" fontId="4" numFmtId="9" xfId="0" applyAlignment="1" applyBorder="1" applyFont="1" applyNumberFormat="1">
      <alignment shrinkToFit="0" vertical="bottom" wrapText="0"/>
    </xf>
    <xf borderId="7" fillId="0" fontId="4" numFmtId="0" xfId="0" applyAlignment="1" applyBorder="1" applyFont="1">
      <alignment readingOrder="0" shrinkToFit="0" vertical="bottom" wrapText="0"/>
    </xf>
    <xf borderId="4" fillId="0" fontId="16" numFmtId="0" xfId="0" applyAlignment="1" applyBorder="1" applyFont="1">
      <alignment horizontal="center" readingOrder="0"/>
    </xf>
    <xf borderId="6" fillId="0" fontId="17" numFmtId="0" xfId="0" applyAlignment="1" applyBorder="1" applyFont="1">
      <alignment horizontal="center" readingOrder="0"/>
    </xf>
    <xf borderId="7" fillId="0" fontId="17" numFmtId="1" xfId="0" applyAlignment="1" applyBorder="1" applyFont="1" applyNumberFormat="1">
      <alignment horizontal="right" shrinkToFit="0" vertical="bottom" wrapText="0"/>
    </xf>
    <xf borderId="7" fillId="0" fontId="17" numFmtId="164" xfId="0" applyAlignment="1" applyBorder="1" applyFont="1" applyNumberFormat="1">
      <alignment horizontal="right"/>
    </xf>
    <xf borderId="0" fillId="0" fontId="13" numFmtId="0" xfId="0" applyAlignment="1" applyFont="1">
      <alignment shrinkToFit="0" vertical="bottom" wrapText="0"/>
    </xf>
    <xf borderId="7" fillId="6" fontId="1" numFmtId="0" xfId="0" applyAlignment="1" applyBorder="1" applyFont="1">
      <alignment horizontal="center" readingOrder="0" shrinkToFit="0" vertical="bottom" wrapText="0"/>
    </xf>
    <xf borderId="7" fillId="0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1" fillId="2" fontId="18" numFmtId="0" xfId="0" applyAlignment="1" applyBorder="1" applyFont="1">
      <alignment horizontal="center" shrinkToFit="0" vertical="bottom" wrapText="0"/>
    </xf>
    <xf borderId="0" fillId="0" fontId="19" numFmtId="0" xfId="0" applyAlignment="1" applyFont="1">
      <alignment horizontal="center" shrinkToFit="0" vertical="bottom" wrapText="0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11" fillId="8" fontId="4" numFmtId="0" xfId="0" applyAlignment="1" applyBorder="1" applyFill="1" applyFont="1">
      <alignment shrinkToFit="0" vertical="bottom" wrapText="0"/>
    </xf>
    <xf borderId="0" fillId="0" fontId="23" numFmtId="0" xfId="0" applyAlignment="1" applyFont="1">
      <alignment horizontal="center" shrinkToFit="0" vertical="center" wrapText="0"/>
    </xf>
    <xf borderId="0" fillId="0" fontId="24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12" fillId="9" fontId="25" numFmtId="49" xfId="0" applyAlignment="1" applyBorder="1" applyFill="1" applyFont="1" applyNumberFormat="1">
      <alignment horizontal="center" readingOrder="1" shrinkToFit="0" vertical="center" wrapText="1"/>
    </xf>
    <xf borderId="12" fillId="9" fontId="26" numFmtId="49" xfId="0" applyAlignment="1" applyBorder="1" applyFont="1" applyNumberFormat="1">
      <alignment horizontal="center" shrinkToFit="0" vertical="center" wrapText="1"/>
    </xf>
    <xf borderId="13" fillId="9" fontId="25" numFmtId="49" xfId="0" applyAlignment="1" applyBorder="1" applyFont="1" applyNumberFormat="1">
      <alignment horizontal="center" readingOrder="1" shrinkToFit="0" vertical="center" wrapText="1"/>
    </xf>
    <xf borderId="12" fillId="9" fontId="27" numFmtId="49" xfId="0" applyAlignment="1" applyBorder="1" applyFont="1" applyNumberFormat="1">
      <alignment horizontal="center" readingOrder="1" shrinkToFit="0" vertical="center" wrapText="1"/>
    </xf>
    <xf borderId="12" fillId="9" fontId="28" numFmtId="49" xfId="0" applyAlignment="1" applyBorder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center" shrinkToFit="0" vertical="center" wrapText="0"/>
    </xf>
    <xf borderId="11" fillId="6" fontId="15" numFmtId="49" xfId="0" applyAlignment="1" applyBorder="1" applyFont="1" applyNumberFormat="1">
      <alignment horizontal="center" shrinkToFit="0" vertical="center" wrapText="0"/>
    </xf>
    <xf borderId="14" fillId="10" fontId="29" numFmtId="0" xfId="0" applyAlignment="1" applyBorder="1" applyFill="1" applyFont="1">
      <alignment horizontal="center" readingOrder="0"/>
    </xf>
    <xf borderId="10" fillId="0" fontId="30" numFmtId="0" xfId="0" applyAlignment="1" applyBorder="1" applyFont="1">
      <alignment shrinkToFit="0" wrapText="1"/>
    </xf>
    <xf borderId="15" fillId="11" fontId="31" numFmtId="0" xfId="0" applyAlignment="1" applyBorder="1" applyFill="1" applyFont="1">
      <alignment horizontal="center"/>
    </xf>
    <xf borderId="10" fillId="0" fontId="32" numFmtId="1" xfId="0" applyAlignment="1" applyBorder="1" applyFont="1" applyNumberFormat="1">
      <alignment horizontal="center" readingOrder="0"/>
    </xf>
    <xf borderId="10" fillId="0" fontId="4" numFmtId="165" xfId="0" applyAlignment="1" applyBorder="1" applyFont="1" applyNumberFormat="1">
      <alignment readingOrder="0"/>
    </xf>
    <xf borderId="10" fillId="0" fontId="4" numFmtId="1" xfId="0" applyAlignment="1" applyBorder="1" applyFont="1" applyNumberFormat="1">
      <alignment horizontal="center"/>
    </xf>
    <xf borderId="10" fillId="0" fontId="33" numFmtId="165" xfId="0" applyAlignment="1" applyBorder="1" applyFont="1" applyNumberFormat="1">
      <alignment horizontal="center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center" wrapText="0"/>
    </xf>
    <xf borderId="7" fillId="0" fontId="30" numFmtId="0" xfId="0" applyAlignment="1" applyBorder="1" applyFont="1">
      <alignment shrinkToFit="0" wrapText="1"/>
    </xf>
    <xf borderId="7" fillId="0" fontId="4" numFmtId="1" xfId="0" applyAlignment="1" applyBorder="1" applyFont="1" applyNumberFormat="1">
      <alignment horizontal="center"/>
    </xf>
    <xf borderId="7" fillId="0" fontId="33" numFmtId="165" xfId="0" applyAlignment="1" applyBorder="1" applyFont="1" applyNumberFormat="1">
      <alignment horizontal="center"/>
    </xf>
    <xf borderId="16" fillId="12" fontId="29" numFmtId="0" xfId="0" applyAlignment="1" applyBorder="1" applyFill="1" applyFont="1">
      <alignment horizontal="center" readingOrder="0"/>
    </xf>
    <xf borderId="7" fillId="0" fontId="30" numFmtId="0" xfId="0" applyAlignment="1" applyBorder="1" applyFont="1">
      <alignment shrinkToFit="0" wrapText="1"/>
    </xf>
    <xf borderId="15" fillId="11" fontId="31" numFmtId="0" xfId="0" applyAlignment="1" applyBorder="1" applyFont="1">
      <alignment horizontal="center"/>
    </xf>
    <xf borderId="10" fillId="0" fontId="32" numFmtId="1" xfId="0" applyAlignment="1" applyBorder="1" applyFont="1" applyNumberFormat="1">
      <alignment horizontal="center"/>
    </xf>
    <xf borderId="16" fillId="13" fontId="29" numFmtId="0" xfId="0" applyAlignment="1" applyBorder="1" applyFill="1" applyFont="1">
      <alignment horizontal="center" readingOrder="0"/>
    </xf>
    <xf borderId="10" fillId="0" fontId="4" numFmtId="165" xfId="0" applyBorder="1" applyFont="1" applyNumberFormat="1"/>
    <xf borderId="10" fillId="0" fontId="4" numFmtId="14" xfId="0" applyAlignment="1" applyBorder="1" applyFont="1" applyNumberFormat="1">
      <alignment readingOrder="0"/>
    </xf>
    <xf borderId="16" fillId="14" fontId="29" numFmtId="0" xfId="0" applyAlignment="1" applyBorder="1" applyFill="1" applyFont="1">
      <alignment horizontal="center" readingOrder="0"/>
    </xf>
    <xf borderId="0" fillId="0" fontId="5" numFmtId="0" xfId="0" applyAlignment="1" applyFont="1">
      <alignment readingOrder="0"/>
    </xf>
    <xf borderId="16" fillId="15" fontId="29" numFmtId="0" xfId="0" applyAlignment="1" applyBorder="1" applyFill="1" applyFont="1">
      <alignment horizontal="center" readingOrder="0"/>
    </xf>
    <xf borderId="7" fillId="0" fontId="4" numFmtId="165" xfId="0" applyAlignment="1" applyBorder="1" applyFont="1" applyNumberFormat="1">
      <alignment readingOrder="0"/>
    </xf>
    <xf borderId="7" fillId="0" fontId="4" numFmtId="165" xfId="0" applyBorder="1" applyFont="1" applyNumberFormat="1"/>
    <xf borderId="16" fillId="16" fontId="29" numFmtId="0" xfId="0" applyAlignment="1" applyBorder="1" applyFill="1" applyFont="1">
      <alignment horizontal="center" readingOrder="0"/>
    </xf>
    <xf borderId="16" fillId="10" fontId="29" numFmtId="0" xfId="0" applyAlignment="1" applyBorder="1" applyFont="1">
      <alignment horizontal="center" readingOrder="0"/>
    </xf>
    <xf borderId="16" fillId="17" fontId="29" numFmtId="0" xfId="0" applyAlignment="1" applyBorder="1" applyFill="1" applyFont="1">
      <alignment horizontal="center" readingOrder="0"/>
    </xf>
    <xf borderId="17" fillId="0" fontId="4" numFmtId="165" xfId="0" applyBorder="1" applyFont="1" applyNumberFormat="1"/>
    <xf borderId="17" fillId="0" fontId="4" numFmtId="1" xfId="0" applyAlignment="1" applyBorder="1" applyFont="1" applyNumberFormat="1">
      <alignment horizontal="center"/>
    </xf>
    <xf borderId="17" fillId="0" fontId="33" numFmtId="165" xfId="0" applyAlignment="1" applyBorder="1" applyFont="1" applyNumberFormat="1">
      <alignment horizontal="center"/>
    </xf>
    <xf borderId="17" fillId="0" fontId="4" numFmtId="165" xfId="0" applyAlignment="1" applyBorder="1" applyFont="1" applyNumberFormat="1">
      <alignment readingOrder="0"/>
    </xf>
    <xf borderId="0" fillId="0" fontId="34" numFmtId="0" xfId="0" applyAlignment="1" applyFont="1">
      <alignment shrinkToFit="0" vertical="center" wrapText="0"/>
    </xf>
    <xf borderId="0" fillId="0" fontId="35" numFmtId="0" xfId="0" applyAlignment="1" applyFont="1">
      <alignment shrinkToFit="0" vertical="center" wrapText="0"/>
    </xf>
    <xf borderId="0" fillId="0" fontId="36" numFmtId="0" xfId="0" applyAlignment="1" applyFont="1">
      <alignment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37" numFmtId="0" xfId="0" applyAlignment="1" applyFont="1">
      <alignment horizontal="left" shrinkToFit="0" vertical="center" wrapText="0"/>
    </xf>
    <xf borderId="0" fillId="0" fontId="35" numFmtId="0" xfId="0" applyAlignment="1" applyFont="1">
      <alignment horizontal="left" shrinkToFit="0" vertical="center" wrapText="0"/>
    </xf>
    <xf borderId="0" fillId="0" fontId="36" numFmtId="0" xfId="0" applyAlignment="1" applyFont="1">
      <alignment horizontal="left" shrinkToFit="0" vertical="center" wrapText="0"/>
    </xf>
    <xf borderId="18" fillId="0" fontId="36" numFmtId="0" xfId="0" applyAlignment="1" applyBorder="1" applyFont="1">
      <alignment shrinkToFit="0" vertical="center" wrapText="1"/>
    </xf>
    <xf borderId="18" fillId="0" fontId="37" numFmtId="0" xfId="0" applyAlignment="1" applyBorder="1" applyFont="1">
      <alignment shrinkToFit="0" vertical="center" wrapText="1"/>
    </xf>
    <xf borderId="0" fillId="0" fontId="38" numFmtId="0" xfId="0" applyAlignment="1" applyFont="1">
      <alignment shrinkToFit="0" vertical="bottom" wrapText="0"/>
    </xf>
    <xf borderId="0" fillId="0" fontId="39" numFmtId="0" xfId="0" applyAlignment="1" applyFont="1">
      <alignment shrinkToFit="0" vertical="bottom" wrapText="0"/>
    </xf>
    <xf borderId="0" fillId="0" fontId="40" numFmtId="0" xfId="0" applyAlignment="1" applyFont="1">
      <alignment shrinkToFit="0" vertical="bottom" wrapText="0"/>
    </xf>
  </cellXfs>
  <cellStyles count="1">
    <cellStyle xfId="0" name="Normal" builtinId="0"/>
  </cellStyles>
  <dxfs count="13"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none"/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66CC"/>
          <bgColor rgb="FFFF66CC"/>
        </patternFill>
      </fill>
      <border/>
    </dxf>
    <dxf>
      <font/>
      <fill>
        <patternFill patternType="solid">
          <fgColor rgb="FFECECEC"/>
          <bgColor rgb="FFECECEC"/>
        </patternFill>
      </fill>
      <border/>
    </dxf>
    <dxf>
      <font/>
      <fill>
        <patternFill patternType="solid">
          <fgColor rgb="FF6666FF"/>
          <bgColor rgb="FF6666FF"/>
        </patternFill>
      </fill>
      <border/>
    </dxf>
    <dxf>
      <font/>
      <fill>
        <patternFill patternType="solid">
          <fgColor rgb="FFCC66FF"/>
          <bgColor rgb="FFCC66FF"/>
        </patternFill>
      </fill>
      <border/>
    </dxf>
    <dxf>
      <font/>
      <fill>
        <patternFill patternType="solid">
          <fgColor rgb="FFA8D08D"/>
          <bgColor rgb="FFA8D08D"/>
        </patternFill>
      </fill>
      <border/>
    </dxf>
    <dxf>
      <font/>
      <fill>
        <patternFill patternType="solid">
          <fgColor rgb="FF9CC2E5"/>
          <bgColor rgb="FF9CC2E5"/>
        </patternFill>
      </fill>
      <border/>
    </dxf>
    <dxf>
      <font/>
      <fill>
        <patternFill patternType="solid">
          <fgColor rgb="FFC8C8C8"/>
          <bgColor rgb="FFC8C8C8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>
        <color rgb="FF002060"/>
      </font>
      <fill>
        <patternFill patternType="solid">
          <fgColor rgb="FFBDD6EE"/>
          <bgColor rgb="FFBDD6EE"/>
        </patternFill>
      </fill>
      <border>
        <left style="thin">
          <color rgb="FFCC00FF"/>
        </left>
        <right style="thin">
          <color rgb="FFCC00FF"/>
        </right>
        <top style="thin">
          <color rgb="FFCC00FF"/>
        </top>
        <bottom style="thin">
          <color rgb="FFCC00FF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lesson/week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cat>
            <c:strRef>
              <c:f>AIO!$F$20:$F$27</c:f>
            </c:strRef>
          </c:cat>
          <c:val>
            <c:numRef>
              <c:f>AIO!$I$20:$I$27</c:f>
              <c:numCache/>
            </c:numRef>
          </c:val>
        </c:ser>
        <c:axId val="329239299"/>
        <c:axId val="1549026471"/>
      </c:barChart>
      <c:catAx>
        <c:axId val="3292392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9026471"/>
      </c:catAx>
      <c:valAx>
        <c:axId val="1549026471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329239299"/>
      </c:valAx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AIO!$F$20:$F$27</c:f>
            </c:strRef>
          </c:cat>
          <c:val>
            <c:numRef>
              <c:f>AIO!$H$20:$H$27</c:f>
              <c:numCache/>
            </c:numRef>
          </c:val>
        </c:ser>
        <c:axId val="1440104948"/>
        <c:axId val="159038322"/>
      </c:barChart>
      <c:catAx>
        <c:axId val="14401049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038322"/>
      </c:catAx>
      <c:valAx>
        <c:axId val="15903832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010494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and started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AIO!$C$3:$C$7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AIO!$B$8:$B$15</c:f>
            </c:strRef>
          </c:cat>
          <c:val>
            <c:numRef>
              <c:f>AIO!$C$8:$C$15</c:f>
              <c:numCache/>
            </c:numRef>
          </c:val>
        </c:ser>
        <c:ser>
          <c:idx val="1"/>
          <c:order val="1"/>
          <c:tx>
            <c:strRef>
              <c:f>AIO!$D$3:$D$7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AIO!$B$8:$B$15</c:f>
            </c:strRef>
          </c:cat>
          <c:val>
            <c:numRef>
              <c:f>AIO!$D$8:$D$15</c:f>
              <c:numCache/>
            </c:numRef>
          </c:val>
        </c:ser>
        <c:overlap val="100"/>
        <c:axId val="729531534"/>
        <c:axId val="1410076683"/>
      </c:barChart>
      <c:catAx>
        <c:axId val="729531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Subject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0076683"/>
      </c:catAx>
      <c:valAx>
        <c:axId val="14100766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95315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started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AIO!$B$3:$B$14</c:f>
            </c:strRef>
          </c:cat>
          <c:val>
            <c:numRef>
              <c:f>AIO!$D$3:$D$14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 sz="1400">
                <a:solidFill>
                  <a:srgbClr val="757575"/>
                </a:solidFill>
                <a:latin typeface="Arial"/>
              </a:defRPr>
            </a:pPr>
            <a:r>
              <a:rPr b="0" i="1" sz="1400">
                <a:solidFill>
                  <a:srgbClr val="757575"/>
                </a:solidFill>
                <a:latin typeface="Arial"/>
              </a:rPr>
              <a:t>started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Pt>
            <c:idx val="4"/>
            <c:spPr>
              <a:solidFill>
                <a:srgbClr val="5B9BD5"/>
              </a:solidFill>
            </c:spPr>
          </c:dPt>
          <c:dPt>
            <c:idx val="5"/>
            <c:spPr>
              <a:solidFill>
                <a:srgbClr val="70AD47"/>
              </a:solidFill>
            </c:spPr>
          </c:dPt>
          <c:dPt>
            <c:idx val="6"/>
            <c:spPr>
              <a:solidFill>
                <a:srgbClr val="7C9CD6"/>
              </a:solidFill>
            </c:spPr>
          </c:dPt>
          <c:dPt>
            <c:idx val="7"/>
            <c:spPr>
              <a:solidFill>
                <a:srgbClr val="F2A46F"/>
              </a:solidFill>
            </c:spPr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AIO!$B$3:$B$14</c:f>
            </c:strRef>
          </c:cat>
          <c:val>
            <c:numRef>
              <c:f>AIO!$D$3:$D$14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and started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AIO!$C$3:$C$7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AIO!$B$8:$B$15</c:f>
            </c:strRef>
          </c:cat>
          <c:val>
            <c:numRef>
              <c:f>AIO!$C$8:$C$15</c:f>
              <c:numCache/>
            </c:numRef>
          </c:val>
        </c:ser>
        <c:ser>
          <c:idx val="1"/>
          <c:order val="1"/>
          <c:tx>
            <c:strRef>
              <c:f>AIO!$D$3:$D$7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AIO!$B$8:$B$15</c:f>
            </c:strRef>
          </c:cat>
          <c:val>
            <c:numRef>
              <c:f>AIO!$D$8:$D$15</c:f>
              <c:numCache/>
            </c:numRef>
          </c:val>
        </c:ser>
        <c:overlap val="100"/>
        <c:axId val="462574163"/>
        <c:axId val="1487519388"/>
      </c:barChart>
      <c:catAx>
        <c:axId val="462574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Subject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7519388"/>
      </c:catAx>
      <c:valAx>
        <c:axId val="14875193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25741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lesson/week</a:t>
            </a:r>
          </a:p>
        </c:rich>
      </c:tx>
      <c:overlay val="0"/>
    </c:title>
    <c:plotArea>
      <c:layout/>
      <c:barChart>
        <c:barDir val="col"/>
        <c:ser>
          <c:idx val="1"/>
          <c:order val="1"/>
          <c:cat>
            <c:strRef>
              <c:f>AIO!$F$20:$F$27</c:f>
            </c:strRef>
          </c:cat>
          <c:val>
            <c:numRef>
              <c:f>AIO!$I$20:$I$27</c:f>
              <c:numCache/>
            </c:numRef>
          </c:val>
        </c:ser>
        <c:axId val="885971032"/>
        <c:axId val="324356402"/>
      </c:barChart>
      <c:catAx>
        <c:axId val="8859710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4356402"/>
      </c:catAx>
      <c:valAx>
        <c:axId val="324356402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885971032"/>
      </c:valAx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AIO!$F$20:$F$27</c:f>
            </c:strRef>
          </c:cat>
          <c:val>
            <c:numRef>
              <c:f>AIO!$H$20:$H$27</c:f>
              <c:numCache/>
            </c:numRef>
          </c:val>
        </c:ser>
        <c:axId val="652418907"/>
        <c:axId val="2014510597"/>
      </c:barChart>
      <c:catAx>
        <c:axId val="6524189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4510597"/>
      </c:catAx>
      <c:valAx>
        <c:axId val="201451059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241890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1">
                <a:solidFill>
                  <a:srgbClr val="757575"/>
                </a:solidFill>
                <a:latin typeface="+mn-lt"/>
              </a:defRPr>
            </a:pPr>
            <a:r>
              <a:rPr b="0" i="1">
                <a:solidFill>
                  <a:srgbClr val="757575"/>
                </a:solidFill>
                <a:latin typeface="+mn-lt"/>
              </a:rPr>
              <a:t>Mastery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AIO!$M$11</c:f>
            </c:strRef>
          </c:tx>
          <c:dPt>
            <c:idx val="0"/>
            <c:spPr>
              <a:solidFill>
                <a:srgbClr val="4472C4"/>
              </a:solidFill>
            </c:spPr>
          </c:dPt>
          <c:dPt>
            <c:idx val="1"/>
            <c:spPr>
              <a:solidFill>
                <a:srgbClr val="ED7D31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Pt>
            <c:idx val="3"/>
            <c:spPr>
              <a:solidFill>
                <a:srgbClr val="FFC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AIO!$L$12:$L$15</c:f>
            </c:strRef>
          </c:cat>
          <c:val>
            <c:numRef>
              <c:f>AIO!$M$12:$M$15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4</xdr:row>
      <xdr:rowOff>76200</xdr:rowOff>
    </xdr:from>
    <xdr:ext cx="3686175" cy="2314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15</xdr:row>
      <xdr:rowOff>76200</xdr:rowOff>
    </xdr:from>
    <xdr:ext cx="3943350" cy="24288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41</xdr:row>
      <xdr:rowOff>9525</xdr:rowOff>
    </xdr:from>
    <xdr:ext cx="3743325" cy="23145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18</xdr:col>
      <xdr:colOff>19050</xdr:colOff>
      <xdr:row>1</xdr:row>
      <xdr:rowOff>123825</xdr:rowOff>
    </xdr:from>
    <xdr:ext cx="2686050" cy="2505075"/>
    <xdr:pic>
      <xdr:nvPicPr>
        <xdr:cNvPr descr="bonne mauvaise stratégie"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009900" cy="1857375"/>
    <xdr:graphicFrame>
      <xdr:nvGraphicFramePr>
        <xdr:cNvPr descr="started" id="4" name="Chart 4" title="start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9</xdr:row>
      <xdr:rowOff>142875</xdr:rowOff>
    </xdr:from>
    <xdr:ext cx="3009900" cy="18573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123825</xdr:colOff>
      <xdr:row>0</xdr:row>
      <xdr:rowOff>0</xdr:rowOff>
    </xdr:from>
    <xdr:ext cx="5819775" cy="36099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180975</xdr:colOff>
      <xdr:row>0</xdr:row>
      <xdr:rowOff>0</xdr:rowOff>
    </xdr:from>
    <xdr:ext cx="3276600" cy="20193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8.29"/>
    <col customWidth="1" min="3" max="3" width="10.0"/>
    <col customWidth="1" min="4" max="4" width="9.86"/>
    <col customWidth="1" min="5" max="5" width="10.43"/>
    <col customWidth="1" min="6" max="6" width="10.0"/>
    <col customWidth="1" min="7" max="7" width="15.14"/>
    <col customWidth="1" min="8" max="8" width="9.86"/>
    <col customWidth="1" min="9" max="9" width="17.29"/>
    <col customWidth="1" min="10" max="10" width="2.29"/>
    <col customWidth="1" min="11" max="11" width="1.71"/>
    <col customWidth="1" min="12" max="12" width="12.86"/>
    <col customWidth="1" min="13" max="13" width="7.14"/>
    <col customWidth="1" min="14" max="14" width="9.71"/>
    <col customWidth="1" min="15" max="15" width="37.29"/>
    <col customWidth="1" min="16" max="16" width="17.43"/>
  </cols>
  <sheetData>
    <row r="1" ht="18.0" customHeight="1">
      <c r="A1" s="1" t="s">
        <v>0</v>
      </c>
      <c r="B1" s="2" t="str">
        <f>TEXT(TODAY(),"DDDD, MMMM DD, YYYY")</f>
        <v>Monday, June 08, 2026</v>
      </c>
      <c r="G1" s="1" t="s">
        <v>1</v>
      </c>
      <c r="H1" s="3" t="str">
        <f>TEXT(MAX(0, M1 - TODAY()), "0") &amp; " days available"</f>
        <v>0 days available</v>
      </c>
      <c r="L1" s="4" t="s">
        <v>2</v>
      </c>
      <c r="M1" s="5">
        <f>DATE(2026, 5, 12)</f>
        <v>46154</v>
      </c>
      <c r="V1" s="6"/>
      <c r="W1" s="6"/>
      <c r="X1" s="6"/>
      <c r="Y1" s="6"/>
      <c r="Z1" s="6"/>
      <c r="AA1" s="6"/>
      <c r="AB1" s="6"/>
    </row>
    <row r="2" ht="1.5" customHeight="1">
      <c r="P2" s="7">
        <f>COUNTIF('lesson-database'!$D:$D,0)+COUNTIF('lesson-database'!$D:$D,1)</f>
        <v>89</v>
      </c>
    </row>
    <row r="3" ht="23.25" customHeight="1">
      <c r="A3" s="8" t="s">
        <v>3</v>
      </c>
      <c r="B3" s="9"/>
      <c r="C3" s="10" t="s">
        <v>4</v>
      </c>
      <c r="D3" s="11"/>
      <c r="E3" s="9"/>
      <c r="F3" s="12" t="s">
        <v>5</v>
      </c>
      <c r="G3" s="9"/>
      <c r="H3" s="13" t="s">
        <v>6</v>
      </c>
      <c r="I3" s="9"/>
      <c r="P3" s="14"/>
    </row>
    <row r="4" ht="47.25" customHeight="1">
      <c r="A4" s="15">
        <f>COUNTIFS('lesson-database'!$A$2:$A$10000,"&lt;&gt;",
          'lesson-database'!$G$2:$G$10000,"&gt;="&amp;DATE(2024,1,1),
          'lesson-database'!$G$2:$G$10000,"&lt;="&amp;TODAY())</f>
        <v>10</v>
      </c>
      <c r="C4" s="16">
        <f>COUNTIF('lesson-database'!$G:$G,TODAY()+1)</f>
        <v>0</v>
      </c>
      <c r="F4" s="17">
        <f>SUMPRODUCT(('lesson-database'!$G:$G&gt;=TODAY())*('lesson-database'!$G:$G&lt;=TODAY()+7)*('lesson-database'!$A:$A&lt;&gt;""))</f>
        <v>0</v>
      </c>
      <c r="H4" s="18" t="str">
        <f>ROUND(A4*30/60,1)&amp;" hrs"</f>
        <v>5 hrs</v>
      </c>
      <c r="J4" s="19"/>
      <c r="K4" s="19"/>
      <c r="L4" s="20" t="s">
        <v>7</v>
      </c>
      <c r="M4" s="21"/>
      <c r="N4" s="21"/>
      <c r="O4" s="22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</row>
    <row r="5" ht="14.25" customHeight="1">
      <c r="J5" s="19"/>
      <c r="K5" s="19"/>
      <c r="L5" s="23" t="s">
        <v>8</v>
      </c>
      <c r="M5" s="23" t="s">
        <v>9</v>
      </c>
      <c r="N5" s="23" t="s">
        <v>10</v>
      </c>
      <c r="O5" s="23" t="s">
        <v>11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</row>
    <row r="6" ht="16.5" customHeight="1">
      <c r="A6" s="24" t="s">
        <v>12</v>
      </c>
      <c r="B6" s="21"/>
      <c r="C6" s="21"/>
      <c r="D6" s="21"/>
      <c r="E6" s="22"/>
      <c r="L6" s="25" t="s">
        <v>13</v>
      </c>
      <c r="M6" s="26">
        <f>COUNTIFS('lesson-database'!$G:$G,"&lt;"&amp;TODAY()-5,'lesson-database'!$G:$G,"&gt;="&amp;TODAY()-10)</f>
        <v>0</v>
      </c>
      <c r="N6" s="25" t="s">
        <v>14</v>
      </c>
      <c r="O6" s="25" t="s">
        <v>15</v>
      </c>
    </row>
    <row r="7" ht="15.0" customHeight="1">
      <c r="A7" s="23" t="s">
        <v>16</v>
      </c>
      <c r="B7" s="23" t="s">
        <v>17</v>
      </c>
      <c r="C7" s="23" t="s">
        <v>18</v>
      </c>
      <c r="D7" s="27" t="s">
        <v>19</v>
      </c>
      <c r="E7" s="23" t="s">
        <v>20</v>
      </c>
      <c r="L7" s="25" t="s">
        <v>21</v>
      </c>
      <c r="M7" s="26">
        <f>COUNTIFS('lesson-database'!$G:$G,"&lt;"&amp;TODAY()-1,'lesson-database'!$G:$G,"&gt;="&amp;TODAY()-5)</f>
        <v>1</v>
      </c>
      <c r="N7" s="25" t="s">
        <v>22</v>
      </c>
      <c r="O7" s="25" t="s">
        <v>23</v>
      </c>
    </row>
    <row r="8" ht="14.25" customHeight="1">
      <c r="A8" s="28" t="s">
        <v>24</v>
      </c>
      <c r="B8" s="29" t="s">
        <v>25</v>
      </c>
      <c r="C8" s="26">
        <f>COUNTIF('lesson-database'!$A:$A,B8)</f>
        <v>0</v>
      </c>
      <c r="D8" s="30">
        <f>COUNTIFS('lesson-database'!$A:$A, B8, 'lesson-database'!$E:$E, "&lt;&gt;")</f>
        <v>0</v>
      </c>
      <c r="E8" s="31" t="str">
        <f t="shared" ref="E8:E15" si="1">D8/C8</f>
        <v>#DIV/0!</v>
      </c>
      <c r="L8" s="25" t="s">
        <v>26</v>
      </c>
      <c r="M8" s="26">
        <f>COUNTIF('lesson-database'!$G:$G,TODAY())</f>
        <v>0</v>
      </c>
      <c r="N8" s="25" t="s">
        <v>27</v>
      </c>
      <c r="O8" s="25" t="s">
        <v>28</v>
      </c>
    </row>
    <row r="9" ht="14.25" customHeight="1">
      <c r="A9" s="32"/>
      <c r="B9" s="33" t="s">
        <v>29</v>
      </c>
      <c r="C9" s="26">
        <f>COUNTIF('lesson-database'!$A:$A,B9)</f>
        <v>0</v>
      </c>
      <c r="D9" s="30">
        <f>COUNTIFS('lesson-database'!$A:$A, B9, 'lesson-database'!$E:$E, "&lt;&gt;")</f>
        <v>0</v>
      </c>
      <c r="E9" s="31" t="str">
        <f t="shared" si="1"/>
        <v>#DIV/0!</v>
      </c>
    </row>
    <row r="10" ht="15.0" customHeight="1">
      <c r="A10" s="34"/>
      <c r="B10" s="33" t="s">
        <v>30</v>
      </c>
      <c r="C10" s="26">
        <f>COUNTIF('lesson-database'!$A:$A,B10)</f>
        <v>0</v>
      </c>
      <c r="D10" s="30">
        <f>COUNTIFS('lesson-database'!$A:$A, B10, 'lesson-database'!$E:$E, "&lt;&gt;")</f>
        <v>0</v>
      </c>
      <c r="E10" s="31" t="str">
        <f t="shared" si="1"/>
        <v>#DIV/0!</v>
      </c>
      <c r="J10" s="35"/>
      <c r="K10" s="35"/>
      <c r="L10" s="24" t="s">
        <v>31</v>
      </c>
      <c r="M10" s="21"/>
      <c r="N10" s="21"/>
      <c r="O10" s="22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 ht="15.75" customHeight="1">
      <c r="A11" s="33" t="s">
        <v>32</v>
      </c>
      <c r="B11" s="33" t="s">
        <v>33</v>
      </c>
      <c r="C11" s="26">
        <f>COUNTIF('lesson-database'!$A:$A,B11)</f>
        <v>0</v>
      </c>
      <c r="D11" s="30">
        <f>COUNTIFS('lesson-database'!$A:$A, B11, 'lesson-database'!$E:$E, "&lt;&gt;")</f>
        <v>0</v>
      </c>
      <c r="E11" s="31" t="str">
        <f t="shared" si="1"/>
        <v>#DIV/0!</v>
      </c>
      <c r="L11" s="23" t="s">
        <v>34</v>
      </c>
      <c r="M11" s="23" t="s">
        <v>9</v>
      </c>
      <c r="N11" s="23" t="s">
        <v>20</v>
      </c>
      <c r="O11" s="23" t="s">
        <v>35</v>
      </c>
    </row>
    <row r="12" ht="14.25" customHeight="1">
      <c r="A12" s="28" t="s">
        <v>36</v>
      </c>
      <c r="B12" s="33" t="s">
        <v>37</v>
      </c>
      <c r="C12" s="26">
        <f>COUNTIF('lesson-database'!$A:$A,B12)</f>
        <v>0</v>
      </c>
      <c r="D12" s="30">
        <f>COUNTIFS('lesson-database'!$A:$A, B12, 'lesson-database'!$E:$E, "&lt;&gt;")</f>
        <v>0</v>
      </c>
      <c r="E12" s="31" t="str">
        <f t="shared" si="1"/>
        <v>#DIV/0!</v>
      </c>
      <c r="L12" s="36" t="s">
        <v>38</v>
      </c>
      <c r="M12" s="26">
        <f>COUNTIF('lesson-database'!$D:$D,0)+COUNTIF('lesson-database'!$D:$D,1)+COUNTIF('lesson-database'!$D:$D,2)</f>
        <v>91</v>
      </c>
      <c r="N12" s="37">
        <f>IF(COUNTA('lesson-database'!$D:$D)=0,0,M12/COUNTA('lesson-database'!$D:$D))</f>
        <v>0.9891304348</v>
      </c>
      <c r="O12" s="38" t="s">
        <v>39</v>
      </c>
    </row>
    <row r="13" ht="14.25" customHeight="1">
      <c r="A13" s="32"/>
      <c r="B13" s="33" t="s">
        <v>40</v>
      </c>
      <c r="C13" s="26">
        <f>COUNTIF('lesson-database'!$A:$A,B13)</f>
        <v>0</v>
      </c>
      <c r="D13" s="30">
        <f>COUNTIFS('lesson-database'!$A:$A, B13, 'lesson-database'!$E:$E, "&lt;&gt;")</f>
        <v>0</v>
      </c>
      <c r="E13" s="31" t="str">
        <f t="shared" si="1"/>
        <v>#DIV/0!</v>
      </c>
      <c r="L13" s="36" t="s">
        <v>41</v>
      </c>
      <c r="M13" s="26">
        <f>COUNTIF('lesson-database'!$D:$D,3)+COUNTIF('lesson-database'!$D:$D,4)</f>
        <v>0</v>
      </c>
      <c r="N13" s="37">
        <f>IF(COUNTA('lesson-database'!$D:$D)=0,0,M13/COUNTA('lesson-database'!$D:$D))</f>
        <v>0</v>
      </c>
      <c r="O13" s="36" t="s">
        <v>42</v>
      </c>
    </row>
    <row r="14" ht="14.25" customHeight="1">
      <c r="A14" s="34"/>
      <c r="B14" s="33" t="s">
        <v>43</v>
      </c>
      <c r="C14" s="26">
        <f>COUNTIF('lesson-database'!$A:$A,B14)</f>
        <v>0</v>
      </c>
      <c r="D14" s="30">
        <f>COUNTIFS('lesson-database'!$A:$A, B14, 'lesson-database'!$E:$E, "&lt;&gt;")</f>
        <v>0</v>
      </c>
      <c r="E14" s="31" t="str">
        <f t="shared" si="1"/>
        <v>#DIV/0!</v>
      </c>
      <c r="J14" s="6"/>
      <c r="K14" s="6"/>
      <c r="L14" s="36" t="s">
        <v>44</v>
      </c>
      <c r="M14" s="26">
        <f>COUNTIF('lesson-database'!$D:$D,5)+COUNTIF('lesson-database'!$D:$D,6)</f>
        <v>0</v>
      </c>
      <c r="N14" s="37">
        <f>IF(COUNTA('lesson-database'!$D:$D)=0,0,M14/COUNTA('lesson-database'!$D:$D))</f>
        <v>0</v>
      </c>
      <c r="O14" s="25" t="s">
        <v>45</v>
      </c>
      <c r="P14" s="6"/>
      <c r="Q14" s="6"/>
    </row>
    <row r="15" ht="22.5" customHeight="1">
      <c r="B15" s="39" t="s">
        <v>46</v>
      </c>
      <c r="C15" s="40">
        <f t="shared" ref="C15:D15" si="2">SUM(C8:C14)</f>
        <v>0</v>
      </c>
      <c r="D15" s="41">
        <f t="shared" si="2"/>
        <v>0</v>
      </c>
      <c r="E15" s="42" t="str">
        <f t="shared" si="1"/>
        <v>#DIV/0!</v>
      </c>
      <c r="L15" s="36" t="s">
        <v>47</v>
      </c>
      <c r="M15" s="26">
        <f>COUNTIF('lesson-database'!$D:$D,7)</f>
        <v>0</v>
      </c>
      <c r="N15" s="37">
        <f>IF(COUNTA('lesson-database'!$D:$D)=0,0,M15/COUNTA('lesson-database'!$D:$D))</f>
        <v>0</v>
      </c>
      <c r="O15" s="25" t="s">
        <v>48</v>
      </c>
    </row>
    <row r="16" ht="14.25" customHeight="1"/>
    <row r="17" ht="14.25" customHeight="1">
      <c r="J17" s="43"/>
      <c r="K17" s="43"/>
    </row>
    <row r="18" ht="14.25" customHeight="1">
      <c r="G18" s="24" t="s">
        <v>49</v>
      </c>
      <c r="H18" s="21"/>
      <c r="I18" s="22"/>
    </row>
    <row r="19" ht="14.25" customHeight="1">
      <c r="G19" s="23" t="s">
        <v>50</v>
      </c>
      <c r="H19" s="44" t="s">
        <v>51</v>
      </c>
      <c r="I19" s="23" t="s">
        <v>52</v>
      </c>
    </row>
    <row r="20" ht="14.25" customHeight="1">
      <c r="F20" s="45" t="s">
        <v>53</v>
      </c>
      <c r="G20" s="26" t="str">
        <f>TEXT(TODAY(),"ddd MM/DD")</f>
        <v>Mon 06/08</v>
      </c>
      <c r="H20" s="26">
        <f>COUNTIF('lesson-database'!$G:$G,TODAY())</f>
        <v>0</v>
      </c>
      <c r="I20" s="26" t="str">
        <f t="shared" ref="I20:I27" si="3">IF(H20&gt;12,"🔴 Heavy",IF(H20&gt;5,"🟡 Busy","🟢 Light"))</f>
        <v>🟢 Light</v>
      </c>
    </row>
    <row r="21" ht="27.75" customHeight="1">
      <c r="F21" s="45" t="s">
        <v>54</v>
      </c>
      <c r="G21" s="26" t="str">
        <f>TEXT(TODAY()+1,"ddd MM/DD")</f>
        <v>Tue 06/09</v>
      </c>
      <c r="H21" s="26">
        <f>COUNTIF('lesson-database'!$G:$G,TODAY()+1)</f>
        <v>0</v>
      </c>
      <c r="I21" s="26" t="str">
        <f t="shared" si="3"/>
        <v>🟢 Light</v>
      </c>
    </row>
    <row r="22" ht="14.25" customHeight="1">
      <c r="F22" s="45" t="s">
        <v>55</v>
      </c>
      <c r="G22" s="26" t="str">
        <f>TEXT(TODAY()+2,"ddd MM/DD")</f>
        <v>Wed 06/10</v>
      </c>
      <c r="H22" s="26">
        <f>COUNTIF('lesson-database'!$G:$G,TODAY()+2)</f>
        <v>0</v>
      </c>
      <c r="I22" s="26" t="str">
        <f t="shared" si="3"/>
        <v>🟢 Light</v>
      </c>
    </row>
    <row r="23" ht="14.25" customHeight="1">
      <c r="F23" s="45" t="s">
        <v>56</v>
      </c>
      <c r="G23" s="26" t="str">
        <f>TEXT(TODAY()+3,"ddd MM/DD")</f>
        <v>Thu 06/11</v>
      </c>
      <c r="H23" s="26">
        <f>COUNTIF('lesson-database'!$G:$G,TODAY()+3)</f>
        <v>0</v>
      </c>
      <c r="I23" s="26" t="str">
        <f t="shared" si="3"/>
        <v>🟢 Light</v>
      </c>
    </row>
    <row r="24" ht="30.0" customHeight="1">
      <c r="F24" s="45" t="s">
        <v>57</v>
      </c>
      <c r="G24" s="26" t="str">
        <f>TEXT(TODAY()+4,"ddd MM/DD")</f>
        <v>Fri 06/12</v>
      </c>
      <c r="H24" s="26">
        <f>COUNTIF('lesson-database'!$G:$G,TODAY()+4)</f>
        <v>0</v>
      </c>
      <c r="I24" s="26" t="str">
        <f t="shared" si="3"/>
        <v>🟢 Light</v>
      </c>
    </row>
    <row r="25" ht="14.25" customHeight="1">
      <c r="F25" s="45" t="s">
        <v>58</v>
      </c>
      <c r="G25" s="26" t="str">
        <f>TEXT(TODAY()+5,"ddd MM/DD")</f>
        <v>Sat 06/13</v>
      </c>
      <c r="H25" s="26">
        <f>COUNTIF('lesson-database'!$G:$G,TODAY()+5)</f>
        <v>0</v>
      </c>
      <c r="I25" s="26" t="str">
        <f t="shared" si="3"/>
        <v>🟢 Light</v>
      </c>
    </row>
    <row r="26" ht="14.25" customHeight="1">
      <c r="F26" s="45" t="s">
        <v>59</v>
      </c>
      <c r="G26" s="26" t="str">
        <f>TEXT(TODAY()+6,"ddd MM/DD")</f>
        <v>Sun 06/14</v>
      </c>
      <c r="H26" s="26">
        <f>COUNTIF('lesson-database'!$G:$G,TODAY()+6)</f>
        <v>0</v>
      </c>
      <c r="I26" s="26" t="str">
        <f t="shared" si="3"/>
        <v>🟢 Light</v>
      </c>
    </row>
    <row r="27" ht="14.25" customHeight="1">
      <c r="F27" s="46" t="s">
        <v>60</v>
      </c>
      <c r="G27" s="26" t="str">
        <f>TEXT(TODAY()+7,"ddd MM/DD")</f>
        <v>Mon 06/15</v>
      </c>
      <c r="H27" s="26">
        <f>COUNTIF('lesson-database'!$G:$G,TODAY()+7)</f>
        <v>0</v>
      </c>
      <c r="I27" s="26" t="str">
        <f t="shared" si="3"/>
        <v>🟢 Light</v>
      </c>
    </row>
    <row r="28" ht="14.25" customHeight="1"/>
    <row r="29" ht="14.25" customHeight="1"/>
    <row r="30" ht="14.25" customHeight="1"/>
    <row r="31" ht="14.25" customHeight="1">
      <c r="A31" s="47" t="s">
        <v>61</v>
      </c>
      <c r="B31" s="11"/>
      <c r="C31" s="11"/>
      <c r="D31" s="11"/>
      <c r="E31" s="11"/>
      <c r="F31" s="11"/>
      <c r="G31" s="11"/>
      <c r="H31" s="11"/>
      <c r="I31" s="9"/>
    </row>
    <row r="32" ht="14.25" customHeight="1">
      <c r="A32" s="48" t="s">
        <v>62</v>
      </c>
    </row>
    <row r="33" ht="14.25" customHeight="1">
      <c r="A33" s="48" t="s">
        <v>63</v>
      </c>
    </row>
    <row r="34" ht="14.25" customHeight="1">
      <c r="A34" s="48" t="s">
        <v>64</v>
      </c>
    </row>
    <row r="35" ht="14.25" customHeight="1">
      <c r="A35" s="48" t="s">
        <v>65</v>
      </c>
    </row>
    <row r="36" ht="14.25" customHeight="1"/>
    <row r="37" ht="14.25" customHeight="1"/>
    <row r="38" ht="14.25" customHeight="1">
      <c r="A38" s="43" t="s">
        <v>66</v>
      </c>
    </row>
    <row r="39" ht="14.25" customHeight="1">
      <c r="A39" s="7" t="s">
        <v>67</v>
      </c>
      <c r="B39" s="49">
        <f>COUNTIFS('lesson-database'!$G:$G,"&lt;="&amp;TODAY(),'lesson-database'!$E:$E,TODAY())</f>
        <v>0</v>
      </c>
      <c r="D39" s="7" t="s">
        <v>68</v>
      </c>
      <c r="F39" s="50">
        <f>MAX(0,A4-B39)</f>
        <v>10</v>
      </c>
      <c r="H39" s="7" t="s">
        <v>69</v>
      </c>
      <c r="I39" s="51" t="str">
        <f>IF(A4=0,"100%",ROUND(B39/A4*100,0)&amp;"%")</f>
        <v>0%</v>
      </c>
    </row>
    <row r="40" ht="14.25" customHeight="1">
      <c r="A40" s="7" t="s">
        <v>70</v>
      </c>
      <c r="B40" s="52"/>
      <c r="C40" s="52"/>
      <c r="D40" s="52"/>
      <c r="E40" s="52"/>
      <c r="F40" s="52"/>
      <c r="G40" s="52"/>
      <c r="H40" s="52"/>
      <c r="I40" s="52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3">
    <mergeCell ref="B1:E1"/>
    <mergeCell ref="H1:I1"/>
    <mergeCell ref="M1:O1"/>
    <mergeCell ref="A3:B3"/>
    <mergeCell ref="C3:E3"/>
    <mergeCell ref="F3:G3"/>
    <mergeCell ref="H3:I3"/>
    <mergeCell ref="A4:B5"/>
    <mergeCell ref="C4:E5"/>
    <mergeCell ref="F4:G5"/>
    <mergeCell ref="H4:I5"/>
    <mergeCell ref="L4:O4"/>
    <mergeCell ref="A6:E6"/>
    <mergeCell ref="L10:O10"/>
    <mergeCell ref="A35:I35"/>
    <mergeCell ref="A38:I38"/>
    <mergeCell ref="A8:A10"/>
    <mergeCell ref="A12:A14"/>
    <mergeCell ref="G18:I18"/>
    <mergeCell ref="A31:I31"/>
    <mergeCell ref="A32:I32"/>
    <mergeCell ref="A33:I33"/>
    <mergeCell ref="A34:I34"/>
  </mergeCells>
  <conditionalFormatting sqref="B40:I40">
    <cfRule type="expression" dxfId="0" priority="1">
      <formula>COLUMN()-1&lt;=$B$39/$A$4*7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60.29"/>
    <col customWidth="1" min="3" max="3" width="21.29"/>
    <col customWidth="1" min="4" max="4" width="11.43"/>
    <col customWidth="1" min="5" max="5" width="13.86"/>
    <col customWidth="1" min="6" max="6" width="15.43"/>
    <col customWidth="1" min="7" max="7" width="21.29"/>
    <col customWidth="1" min="8" max="8" width="8.71"/>
    <col customWidth="1" min="9" max="9" width="25.0"/>
    <col customWidth="1" min="10" max="26" width="8.71"/>
  </cols>
  <sheetData>
    <row r="1">
      <c r="A1" s="53" t="s">
        <v>71</v>
      </c>
      <c r="H1" s="6"/>
      <c r="I1" s="54" t="s">
        <v>72</v>
      </c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36.0" customHeight="1">
      <c r="A2" s="56" t="s">
        <v>17</v>
      </c>
      <c r="B2" s="57" t="s">
        <v>73</v>
      </c>
      <c r="C2" s="58" t="s">
        <v>35</v>
      </c>
      <c r="D2" s="59" t="s">
        <v>74</v>
      </c>
      <c r="E2" s="59" t="s">
        <v>75</v>
      </c>
      <c r="F2" s="60" t="s">
        <v>76</v>
      </c>
      <c r="G2" s="56" t="s">
        <v>77</v>
      </c>
      <c r="H2" s="61"/>
      <c r="I2" s="62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ht="15.75" customHeight="1">
      <c r="A3" s="63" t="s">
        <v>78</v>
      </c>
      <c r="B3" s="64" t="s">
        <v>79</v>
      </c>
      <c r="C3" s="65" t="str">
        <f t="shared" ref="C3:C93" si="1">IF(G3 &lt;= TODAY(), "⚡ STUDY NOW", "✅ Wait")</f>
        <v>⚡ STUDY NOW</v>
      </c>
      <c r="D3" s="66">
        <v>2.0</v>
      </c>
      <c r="E3" s="67">
        <v>46083.0</v>
      </c>
      <c r="F3" s="68">
        <f t="shared" ref="F3:F7" si="2">CHOOSE(D3+1, 1, 3, 7, 14, 30, 60, 90, 120)</f>
        <v>7</v>
      </c>
      <c r="G3" s="69">
        <f t="shared" ref="G3:G93" si="3">E3 + F3</f>
        <v>46090</v>
      </c>
      <c r="H3" s="70" t="s">
        <v>80</v>
      </c>
      <c r="I3" s="71" t="s">
        <v>81</v>
      </c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5.75" customHeight="1">
      <c r="A4" s="63" t="s">
        <v>78</v>
      </c>
      <c r="B4" s="72" t="s">
        <v>82</v>
      </c>
      <c r="C4" s="65" t="str">
        <f t="shared" si="1"/>
        <v>⚡ STUDY NOW</v>
      </c>
      <c r="D4" s="66">
        <v>2.0</v>
      </c>
      <c r="E4" s="67">
        <v>46083.0</v>
      </c>
      <c r="F4" s="73">
        <f t="shared" si="2"/>
        <v>7</v>
      </c>
      <c r="G4" s="74">
        <f t="shared" si="3"/>
        <v>46090</v>
      </c>
      <c r="H4" s="70" t="s">
        <v>80</v>
      </c>
      <c r="I4" s="71" t="s">
        <v>83</v>
      </c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5.75" customHeight="1">
      <c r="A5" s="75" t="s">
        <v>84</v>
      </c>
      <c r="B5" s="76" t="s">
        <v>85</v>
      </c>
      <c r="C5" s="77" t="str">
        <f t="shared" si="1"/>
        <v>⚡ STUDY NOW</v>
      </c>
      <c r="D5" s="78">
        <v>0.0</v>
      </c>
      <c r="E5" s="67">
        <v>46071.0</v>
      </c>
      <c r="F5" s="73">
        <f t="shared" si="2"/>
        <v>1</v>
      </c>
      <c r="G5" s="74">
        <f t="shared" si="3"/>
        <v>46072</v>
      </c>
      <c r="H5" s="70" t="s">
        <v>80</v>
      </c>
      <c r="I5" s="71" t="s">
        <v>86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5.75" customHeight="1">
      <c r="A6" s="75" t="s">
        <v>84</v>
      </c>
      <c r="B6" s="76" t="s">
        <v>87</v>
      </c>
      <c r="C6" s="77" t="str">
        <f t="shared" si="1"/>
        <v>⚡ STUDY NOW</v>
      </c>
      <c r="D6" s="78">
        <v>0.0</v>
      </c>
      <c r="E6" s="67">
        <v>46071.0</v>
      </c>
      <c r="F6" s="73">
        <f t="shared" si="2"/>
        <v>1</v>
      </c>
      <c r="G6" s="74">
        <f t="shared" si="3"/>
        <v>46072</v>
      </c>
      <c r="H6" s="70" t="s">
        <v>80</v>
      </c>
      <c r="I6" s="71" t="s">
        <v>88</v>
      </c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5.75" customHeight="1">
      <c r="A7" s="79" t="s">
        <v>89</v>
      </c>
      <c r="B7" s="72" t="s">
        <v>90</v>
      </c>
      <c r="C7" s="65" t="str">
        <f t="shared" si="1"/>
        <v>⚡ STUDY NOW</v>
      </c>
      <c r="D7" s="66">
        <v>0.0</v>
      </c>
      <c r="E7" s="67">
        <v>46076.0</v>
      </c>
      <c r="F7" s="73">
        <f t="shared" si="2"/>
        <v>1</v>
      </c>
      <c r="G7" s="74">
        <f t="shared" si="3"/>
        <v>46077</v>
      </c>
      <c r="H7" s="70" t="s">
        <v>80</v>
      </c>
      <c r="I7" s="71" t="s">
        <v>91</v>
      </c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5.75" customHeight="1">
      <c r="A8" s="75" t="s">
        <v>84</v>
      </c>
      <c r="B8" s="76" t="s">
        <v>92</v>
      </c>
      <c r="C8" s="77" t="str">
        <f t="shared" si="1"/>
        <v>⚡ STUDY NOW</v>
      </c>
      <c r="D8" s="78">
        <v>0.0</v>
      </c>
      <c r="E8" s="67">
        <v>46118.0</v>
      </c>
      <c r="F8" s="73">
        <f>CHOOSE(D8+1, 1, 3, 10, 15, 30, 60, 90, 120)</f>
        <v>1</v>
      </c>
      <c r="G8" s="74">
        <f t="shared" si="3"/>
        <v>46119</v>
      </c>
      <c r="H8" s="70" t="s">
        <v>80</v>
      </c>
      <c r="I8" s="71" t="s">
        <v>93</v>
      </c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5.75" customHeight="1">
      <c r="A9" s="75" t="s">
        <v>84</v>
      </c>
      <c r="B9" s="76" t="s">
        <v>94</v>
      </c>
      <c r="C9" s="77" t="str">
        <f t="shared" si="1"/>
        <v>⚡ STUDY NOW</v>
      </c>
      <c r="D9" s="78">
        <v>0.0</v>
      </c>
      <c r="E9" s="67">
        <v>46118.0</v>
      </c>
      <c r="F9" s="73">
        <f t="shared" ref="F9:F93" si="4">CHOOSE(D9+1, 1, 3, 7, 14, 30, 60, 90, 120)</f>
        <v>1</v>
      </c>
      <c r="G9" s="74">
        <f t="shared" si="3"/>
        <v>46119</v>
      </c>
      <c r="H9" s="70" t="s">
        <v>80</v>
      </c>
      <c r="I9" s="71" t="s">
        <v>95</v>
      </c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5.75" customHeight="1">
      <c r="A10" s="75" t="s">
        <v>84</v>
      </c>
      <c r="B10" s="76" t="s">
        <v>96</v>
      </c>
      <c r="C10" s="77" t="str">
        <f t="shared" si="1"/>
        <v>⚡ STUDY NOW</v>
      </c>
      <c r="D10" s="78">
        <v>0.0</v>
      </c>
      <c r="E10" s="80"/>
      <c r="F10" s="73">
        <f t="shared" si="4"/>
        <v>1</v>
      </c>
      <c r="G10" s="74">
        <f t="shared" si="3"/>
        <v>1</v>
      </c>
      <c r="H10" s="70"/>
      <c r="I10" s="71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5.75" customHeight="1">
      <c r="A11" s="75" t="s">
        <v>84</v>
      </c>
      <c r="B11" s="76" t="s">
        <v>97</v>
      </c>
      <c r="C11" s="77" t="str">
        <f t="shared" si="1"/>
        <v>⚡ STUDY NOW</v>
      </c>
      <c r="D11" s="78">
        <v>0.0</v>
      </c>
      <c r="E11" s="80"/>
      <c r="F11" s="73">
        <f t="shared" si="4"/>
        <v>1</v>
      </c>
      <c r="G11" s="74">
        <f t="shared" si="3"/>
        <v>1</v>
      </c>
      <c r="H11" s="70"/>
      <c r="I11" s="71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5.75" customHeight="1">
      <c r="A12" s="75" t="s">
        <v>84</v>
      </c>
      <c r="B12" s="76" t="s">
        <v>98</v>
      </c>
      <c r="C12" s="77" t="str">
        <f t="shared" si="1"/>
        <v>⚡ STUDY NOW</v>
      </c>
      <c r="D12" s="78">
        <v>0.0</v>
      </c>
      <c r="E12" s="67"/>
      <c r="F12" s="73">
        <f t="shared" si="4"/>
        <v>1</v>
      </c>
      <c r="G12" s="74">
        <f t="shared" si="3"/>
        <v>1</v>
      </c>
      <c r="H12" s="70"/>
      <c r="I12" s="71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5.75" customHeight="1">
      <c r="A13" s="75" t="s">
        <v>84</v>
      </c>
      <c r="B13" s="76" t="s">
        <v>99</v>
      </c>
      <c r="C13" s="77" t="str">
        <f t="shared" si="1"/>
        <v>⚡ STUDY NOW</v>
      </c>
      <c r="D13" s="78">
        <v>0.0</v>
      </c>
      <c r="E13" s="67"/>
      <c r="F13" s="73">
        <f t="shared" si="4"/>
        <v>1</v>
      </c>
      <c r="G13" s="74">
        <f t="shared" si="3"/>
        <v>1</v>
      </c>
      <c r="H13" s="70"/>
      <c r="I13" s="71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5.75" customHeight="1">
      <c r="A14" s="75" t="s">
        <v>84</v>
      </c>
      <c r="B14" s="76" t="s">
        <v>100</v>
      </c>
      <c r="C14" s="77" t="str">
        <f t="shared" si="1"/>
        <v>⚡ STUDY NOW</v>
      </c>
      <c r="D14" s="78">
        <v>0.0</v>
      </c>
      <c r="E14" s="67"/>
      <c r="F14" s="73">
        <f t="shared" si="4"/>
        <v>1</v>
      </c>
      <c r="G14" s="74">
        <f t="shared" si="3"/>
        <v>1</v>
      </c>
      <c r="H14" s="70"/>
      <c r="I14" s="71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5.75" customHeight="1">
      <c r="A15" s="75" t="s">
        <v>84</v>
      </c>
      <c r="B15" s="76" t="s">
        <v>101</v>
      </c>
      <c r="C15" s="77" t="str">
        <f t="shared" si="1"/>
        <v>⚡ STUDY NOW</v>
      </c>
      <c r="D15" s="78">
        <v>0.0</v>
      </c>
      <c r="E15" s="67"/>
      <c r="F15" s="73">
        <f t="shared" si="4"/>
        <v>1</v>
      </c>
      <c r="G15" s="74">
        <f t="shared" si="3"/>
        <v>1</v>
      </c>
      <c r="H15" s="70"/>
      <c r="I15" s="71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5.75" customHeight="1">
      <c r="A16" s="75" t="s">
        <v>84</v>
      </c>
      <c r="B16" s="76" t="s">
        <v>102</v>
      </c>
      <c r="C16" s="77" t="str">
        <f t="shared" si="1"/>
        <v>⚡ STUDY NOW</v>
      </c>
      <c r="D16" s="78">
        <v>0.0</v>
      </c>
      <c r="E16" s="67"/>
      <c r="F16" s="73">
        <f t="shared" si="4"/>
        <v>1</v>
      </c>
      <c r="G16" s="74">
        <f t="shared" si="3"/>
        <v>1</v>
      </c>
      <c r="H16" s="70"/>
      <c r="I16" s="71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5.75" customHeight="1">
      <c r="A17" s="75" t="s">
        <v>84</v>
      </c>
      <c r="B17" s="76" t="s">
        <v>103</v>
      </c>
      <c r="C17" s="77" t="str">
        <f t="shared" si="1"/>
        <v>⚡ STUDY NOW</v>
      </c>
      <c r="D17" s="78">
        <v>0.0</v>
      </c>
      <c r="E17" s="67"/>
      <c r="F17" s="73">
        <f t="shared" si="4"/>
        <v>1</v>
      </c>
      <c r="G17" s="74">
        <f t="shared" si="3"/>
        <v>1</v>
      </c>
      <c r="H17" s="70"/>
      <c r="I17" s="71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5.75" customHeight="1">
      <c r="A18" s="75" t="s">
        <v>84</v>
      </c>
      <c r="B18" s="76" t="s">
        <v>104</v>
      </c>
      <c r="C18" s="77" t="str">
        <f t="shared" si="1"/>
        <v>⚡ STUDY NOW</v>
      </c>
      <c r="D18" s="78">
        <v>0.0</v>
      </c>
      <c r="E18" s="67"/>
      <c r="F18" s="73">
        <f t="shared" si="4"/>
        <v>1</v>
      </c>
      <c r="G18" s="74">
        <f t="shared" si="3"/>
        <v>1</v>
      </c>
      <c r="H18" s="70"/>
      <c r="I18" s="71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5.75" customHeight="1">
      <c r="A19" s="75" t="s">
        <v>84</v>
      </c>
      <c r="B19" s="76" t="s">
        <v>105</v>
      </c>
      <c r="C19" s="77" t="str">
        <f t="shared" si="1"/>
        <v>⚡ STUDY NOW</v>
      </c>
      <c r="D19" s="78">
        <v>0.0</v>
      </c>
      <c r="E19" s="81"/>
      <c r="F19" s="73">
        <f t="shared" si="4"/>
        <v>1</v>
      </c>
      <c r="G19" s="74">
        <f t="shared" si="3"/>
        <v>1</v>
      </c>
      <c r="H19" s="70"/>
      <c r="I19" s="71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5.75" customHeight="1">
      <c r="A20" s="75" t="s">
        <v>84</v>
      </c>
      <c r="B20" s="76" t="s">
        <v>106</v>
      </c>
      <c r="C20" s="77" t="str">
        <f t="shared" si="1"/>
        <v>⚡ STUDY NOW</v>
      </c>
      <c r="D20" s="78">
        <v>0.0</v>
      </c>
      <c r="E20" s="67"/>
      <c r="F20" s="73">
        <f t="shared" si="4"/>
        <v>1</v>
      </c>
      <c r="G20" s="74">
        <f t="shared" si="3"/>
        <v>1</v>
      </c>
      <c r="H20" s="70"/>
      <c r="I20" s="71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75" t="s">
        <v>84</v>
      </c>
      <c r="B21" s="76" t="s">
        <v>107</v>
      </c>
      <c r="C21" s="77" t="str">
        <f t="shared" si="1"/>
        <v>⚡ STUDY NOW</v>
      </c>
      <c r="D21" s="78">
        <v>0.0</v>
      </c>
      <c r="E21" s="67"/>
      <c r="F21" s="73">
        <f t="shared" si="4"/>
        <v>1</v>
      </c>
      <c r="G21" s="74">
        <f t="shared" si="3"/>
        <v>1</v>
      </c>
      <c r="H21" s="70"/>
      <c r="I21" s="71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5.75" customHeight="1">
      <c r="A22" s="75" t="s">
        <v>84</v>
      </c>
      <c r="B22" s="76" t="s">
        <v>108</v>
      </c>
      <c r="C22" s="77" t="str">
        <f t="shared" si="1"/>
        <v>⚡ STUDY NOW</v>
      </c>
      <c r="D22" s="78">
        <v>0.0</v>
      </c>
      <c r="E22" s="67"/>
      <c r="F22" s="73">
        <f t="shared" si="4"/>
        <v>1</v>
      </c>
      <c r="G22" s="74">
        <f t="shared" si="3"/>
        <v>1</v>
      </c>
      <c r="H22" s="70"/>
      <c r="I22" s="71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5.75" customHeight="1">
      <c r="A23" s="75" t="s">
        <v>84</v>
      </c>
      <c r="B23" s="76" t="s">
        <v>109</v>
      </c>
      <c r="C23" s="77" t="str">
        <f t="shared" si="1"/>
        <v>⚡ STUDY NOW</v>
      </c>
      <c r="D23" s="78">
        <v>0.0</v>
      </c>
      <c r="E23" s="67"/>
      <c r="F23" s="73">
        <f t="shared" si="4"/>
        <v>1</v>
      </c>
      <c r="G23" s="74">
        <f t="shared" si="3"/>
        <v>1</v>
      </c>
      <c r="H23" s="70"/>
      <c r="I23" s="71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5.75" customHeight="1">
      <c r="A24" s="75" t="s">
        <v>84</v>
      </c>
      <c r="B24" s="76" t="s">
        <v>110</v>
      </c>
      <c r="C24" s="77" t="str">
        <f t="shared" si="1"/>
        <v>⚡ STUDY NOW</v>
      </c>
      <c r="D24" s="78">
        <v>0.0</v>
      </c>
      <c r="E24" s="67"/>
      <c r="F24" s="73">
        <f t="shared" si="4"/>
        <v>1</v>
      </c>
      <c r="G24" s="74">
        <f t="shared" si="3"/>
        <v>1</v>
      </c>
      <c r="H24" s="70"/>
      <c r="I24" s="71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5.75" customHeight="1">
      <c r="A25" s="82" t="s">
        <v>111</v>
      </c>
      <c r="B25" s="76" t="s">
        <v>112</v>
      </c>
      <c r="C25" s="77" t="str">
        <f t="shared" si="1"/>
        <v>⚡ STUDY NOW</v>
      </c>
      <c r="D25" s="78">
        <v>0.0</v>
      </c>
      <c r="E25" s="67"/>
      <c r="F25" s="73">
        <f t="shared" si="4"/>
        <v>1</v>
      </c>
      <c r="G25" s="74">
        <f t="shared" si="3"/>
        <v>1</v>
      </c>
      <c r="H25" s="70"/>
      <c r="I25" s="71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82" t="s">
        <v>111</v>
      </c>
      <c r="B26" s="76" t="s">
        <v>113</v>
      </c>
      <c r="C26" s="77" t="str">
        <f t="shared" si="1"/>
        <v>⚡ STUDY NOW</v>
      </c>
      <c r="D26" s="78">
        <v>0.0</v>
      </c>
      <c r="E26" s="67"/>
      <c r="F26" s="73">
        <f t="shared" si="4"/>
        <v>1</v>
      </c>
      <c r="G26" s="74">
        <f t="shared" si="3"/>
        <v>1</v>
      </c>
      <c r="H26" s="70"/>
      <c r="I26" s="71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82" t="s">
        <v>111</v>
      </c>
      <c r="B27" s="76" t="s">
        <v>114</v>
      </c>
      <c r="C27" s="77" t="str">
        <f t="shared" si="1"/>
        <v>⚡ STUDY NOW</v>
      </c>
      <c r="D27" s="78">
        <v>0.0</v>
      </c>
      <c r="E27" s="67"/>
      <c r="F27" s="73">
        <f t="shared" si="4"/>
        <v>1</v>
      </c>
      <c r="G27" s="74">
        <f t="shared" si="3"/>
        <v>1</v>
      </c>
      <c r="H27" s="70"/>
      <c r="I27" s="71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82" t="s">
        <v>111</v>
      </c>
      <c r="B28" s="76" t="s">
        <v>115</v>
      </c>
      <c r="C28" s="77" t="str">
        <f t="shared" si="1"/>
        <v>⚡ STUDY NOW</v>
      </c>
      <c r="D28" s="78">
        <v>0.0</v>
      </c>
      <c r="E28" s="67"/>
      <c r="F28" s="73">
        <f t="shared" si="4"/>
        <v>1</v>
      </c>
      <c r="G28" s="74">
        <f t="shared" si="3"/>
        <v>1</v>
      </c>
      <c r="H28" s="70"/>
      <c r="I28" s="71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82" t="s">
        <v>111</v>
      </c>
      <c r="B29" s="76" t="s">
        <v>116</v>
      </c>
      <c r="C29" s="77" t="str">
        <f t="shared" si="1"/>
        <v>⚡ STUDY NOW</v>
      </c>
      <c r="D29" s="78">
        <v>0.0</v>
      </c>
      <c r="E29" s="67"/>
      <c r="F29" s="73">
        <f t="shared" si="4"/>
        <v>1</v>
      </c>
      <c r="G29" s="74">
        <f t="shared" si="3"/>
        <v>1</v>
      </c>
      <c r="H29" s="70"/>
      <c r="I29" s="71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82" t="s">
        <v>111</v>
      </c>
      <c r="B30" s="76" t="s">
        <v>117</v>
      </c>
      <c r="C30" s="77" t="str">
        <f t="shared" si="1"/>
        <v>⚡ STUDY NOW</v>
      </c>
      <c r="D30" s="78">
        <v>0.0</v>
      </c>
      <c r="E30" s="67"/>
      <c r="F30" s="73">
        <f t="shared" si="4"/>
        <v>1</v>
      </c>
      <c r="G30" s="74">
        <f t="shared" si="3"/>
        <v>1</v>
      </c>
      <c r="H30" s="83"/>
      <c r="I30" s="83"/>
    </row>
    <row r="31" ht="15.75" customHeight="1">
      <c r="A31" s="82" t="s">
        <v>111</v>
      </c>
      <c r="B31" s="76" t="s">
        <v>118</v>
      </c>
      <c r="C31" s="77" t="str">
        <f t="shared" si="1"/>
        <v>⚡ STUDY NOW</v>
      </c>
      <c r="D31" s="78">
        <v>0.0</v>
      </c>
      <c r="E31" s="67"/>
      <c r="F31" s="73">
        <f t="shared" si="4"/>
        <v>1</v>
      </c>
      <c r="G31" s="74">
        <f t="shared" si="3"/>
        <v>1</v>
      </c>
      <c r="H31" s="83"/>
      <c r="I31" s="83"/>
    </row>
    <row r="32" ht="15.75" customHeight="1">
      <c r="A32" s="82" t="s">
        <v>111</v>
      </c>
      <c r="B32" s="76" t="s">
        <v>119</v>
      </c>
      <c r="C32" s="77" t="str">
        <f t="shared" si="1"/>
        <v>⚡ STUDY NOW</v>
      </c>
      <c r="D32" s="78">
        <v>0.0</v>
      </c>
      <c r="E32" s="67"/>
      <c r="F32" s="73">
        <f t="shared" si="4"/>
        <v>1</v>
      </c>
      <c r="G32" s="74">
        <f t="shared" si="3"/>
        <v>1</v>
      </c>
      <c r="H32" s="83"/>
      <c r="I32" s="83"/>
    </row>
    <row r="33" ht="15.75" customHeight="1">
      <c r="A33" s="82" t="s">
        <v>111</v>
      </c>
      <c r="B33" s="72" t="s">
        <v>120</v>
      </c>
      <c r="C33" s="65" t="str">
        <f t="shared" si="1"/>
        <v>⚡ STUDY NOW</v>
      </c>
      <c r="D33" s="78">
        <v>0.0</v>
      </c>
      <c r="E33" s="67"/>
      <c r="F33" s="73">
        <f t="shared" si="4"/>
        <v>1</v>
      </c>
      <c r="G33" s="74">
        <f t="shared" si="3"/>
        <v>1</v>
      </c>
      <c r="H33" s="83"/>
      <c r="I33" s="83"/>
    </row>
    <row r="34" ht="15.75" customHeight="1">
      <c r="A34" s="82" t="s">
        <v>111</v>
      </c>
      <c r="B34" s="72" t="s">
        <v>121</v>
      </c>
      <c r="C34" s="65" t="str">
        <f t="shared" si="1"/>
        <v>⚡ STUDY NOW</v>
      </c>
      <c r="D34" s="78">
        <v>0.0</v>
      </c>
      <c r="E34" s="67"/>
      <c r="F34" s="73">
        <f t="shared" si="4"/>
        <v>1</v>
      </c>
      <c r="G34" s="74">
        <f t="shared" si="3"/>
        <v>1</v>
      </c>
      <c r="H34" s="83"/>
      <c r="I34" s="83"/>
    </row>
    <row r="35" ht="15.75" customHeight="1">
      <c r="A35" s="82" t="s">
        <v>111</v>
      </c>
      <c r="B35" s="72" t="s">
        <v>122</v>
      </c>
      <c r="C35" s="65" t="str">
        <f t="shared" si="1"/>
        <v>⚡ STUDY NOW</v>
      </c>
      <c r="D35" s="78">
        <v>0.0</v>
      </c>
      <c r="E35" s="67"/>
      <c r="F35" s="73">
        <f t="shared" si="4"/>
        <v>1</v>
      </c>
      <c r="G35" s="74">
        <f t="shared" si="3"/>
        <v>1</v>
      </c>
      <c r="H35" s="83"/>
      <c r="I35" s="83"/>
    </row>
    <row r="36" ht="15.75" customHeight="1">
      <c r="A36" s="82" t="s">
        <v>111</v>
      </c>
      <c r="B36" s="72" t="s">
        <v>123</v>
      </c>
      <c r="C36" s="65" t="str">
        <f t="shared" si="1"/>
        <v>⚡ STUDY NOW</v>
      </c>
      <c r="D36" s="78">
        <v>0.0</v>
      </c>
      <c r="E36" s="67"/>
      <c r="F36" s="73">
        <f t="shared" si="4"/>
        <v>1</v>
      </c>
      <c r="G36" s="74">
        <f t="shared" si="3"/>
        <v>1</v>
      </c>
      <c r="H36" s="83"/>
      <c r="I36" s="83"/>
    </row>
    <row r="37" ht="15.75" customHeight="1">
      <c r="A37" s="82" t="s">
        <v>111</v>
      </c>
      <c r="B37" s="72" t="s">
        <v>124</v>
      </c>
      <c r="C37" s="65" t="str">
        <f t="shared" si="1"/>
        <v>⚡ STUDY NOW</v>
      </c>
      <c r="D37" s="78">
        <v>0.0</v>
      </c>
      <c r="E37" s="67"/>
      <c r="F37" s="73">
        <f t="shared" si="4"/>
        <v>1</v>
      </c>
      <c r="G37" s="74">
        <f t="shared" si="3"/>
        <v>1</v>
      </c>
      <c r="H37" s="83"/>
      <c r="I37" s="83"/>
    </row>
    <row r="38" ht="15.75" customHeight="1">
      <c r="A38" s="82" t="s">
        <v>111</v>
      </c>
      <c r="B38" s="72" t="s">
        <v>125</v>
      </c>
      <c r="C38" s="65" t="str">
        <f t="shared" si="1"/>
        <v>⚡ STUDY NOW</v>
      </c>
      <c r="D38" s="78">
        <v>0.0</v>
      </c>
      <c r="E38" s="67"/>
      <c r="F38" s="73">
        <f t="shared" si="4"/>
        <v>1</v>
      </c>
      <c r="G38" s="74">
        <f t="shared" si="3"/>
        <v>1</v>
      </c>
      <c r="H38" s="83"/>
      <c r="I38" s="83"/>
    </row>
    <row r="39" ht="15.75" customHeight="1">
      <c r="A39" s="82" t="s">
        <v>111</v>
      </c>
      <c r="B39" s="72" t="s">
        <v>126</v>
      </c>
      <c r="C39" s="65" t="str">
        <f t="shared" si="1"/>
        <v>⚡ STUDY NOW</v>
      </c>
      <c r="D39" s="78">
        <v>0.0</v>
      </c>
      <c r="E39" s="67"/>
      <c r="F39" s="73">
        <f t="shared" si="4"/>
        <v>1</v>
      </c>
      <c r="G39" s="74">
        <f t="shared" si="3"/>
        <v>1</v>
      </c>
      <c r="H39" s="83"/>
      <c r="I39" s="83"/>
    </row>
    <row r="40" ht="15.75" customHeight="1">
      <c r="A40" s="82" t="s">
        <v>111</v>
      </c>
      <c r="B40" s="72" t="s">
        <v>127</v>
      </c>
      <c r="C40" s="65" t="str">
        <f t="shared" si="1"/>
        <v>⚡ STUDY NOW</v>
      </c>
      <c r="D40" s="78">
        <v>0.0</v>
      </c>
      <c r="E40" s="67"/>
      <c r="F40" s="73">
        <f t="shared" si="4"/>
        <v>1</v>
      </c>
      <c r="G40" s="74">
        <f t="shared" si="3"/>
        <v>1</v>
      </c>
      <c r="H40" s="83"/>
      <c r="I40" s="83"/>
    </row>
    <row r="41" ht="15.75" customHeight="1">
      <c r="A41" s="82" t="s">
        <v>111</v>
      </c>
      <c r="B41" s="72" t="s">
        <v>128</v>
      </c>
      <c r="C41" s="65" t="str">
        <f t="shared" si="1"/>
        <v>⚡ STUDY NOW</v>
      </c>
      <c r="D41" s="78">
        <v>0.0</v>
      </c>
      <c r="E41" s="67"/>
      <c r="F41" s="73">
        <f t="shared" si="4"/>
        <v>1</v>
      </c>
      <c r="G41" s="74">
        <f t="shared" si="3"/>
        <v>1</v>
      </c>
      <c r="H41" s="83"/>
      <c r="I41" s="83"/>
    </row>
    <row r="42" ht="15.75" customHeight="1">
      <c r="A42" s="82" t="s">
        <v>111</v>
      </c>
      <c r="B42" s="72" t="s">
        <v>129</v>
      </c>
      <c r="C42" s="65" t="str">
        <f t="shared" si="1"/>
        <v>⚡ STUDY NOW</v>
      </c>
      <c r="D42" s="78">
        <v>0.0</v>
      </c>
      <c r="E42" s="67"/>
      <c r="F42" s="73">
        <f t="shared" si="4"/>
        <v>1</v>
      </c>
      <c r="G42" s="74">
        <f t="shared" si="3"/>
        <v>1</v>
      </c>
      <c r="H42" s="83"/>
      <c r="I42" s="83"/>
    </row>
    <row r="43" ht="15.75" customHeight="1">
      <c r="A43" s="84" t="s">
        <v>130</v>
      </c>
      <c r="B43" s="72" t="s">
        <v>131</v>
      </c>
      <c r="C43" s="65" t="str">
        <f t="shared" si="1"/>
        <v>⚡ STUDY NOW</v>
      </c>
      <c r="D43" s="78">
        <v>0.0</v>
      </c>
      <c r="E43" s="67"/>
      <c r="F43" s="73">
        <f t="shared" si="4"/>
        <v>1</v>
      </c>
      <c r="G43" s="74">
        <f t="shared" si="3"/>
        <v>1</v>
      </c>
      <c r="H43" s="83"/>
      <c r="I43" s="83"/>
    </row>
    <row r="44" ht="15.75" customHeight="1">
      <c r="A44" s="84" t="s">
        <v>130</v>
      </c>
      <c r="B44" s="72" t="s">
        <v>132</v>
      </c>
      <c r="C44" s="65" t="str">
        <f t="shared" si="1"/>
        <v>⚡ STUDY NOW</v>
      </c>
      <c r="D44" s="78">
        <v>0.0</v>
      </c>
      <c r="E44" s="67"/>
      <c r="F44" s="73">
        <f t="shared" si="4"/>
        <v>1</v>
      </c>
      <c r="G44" s="74">
        <f t="shared" si="3"/>
        <v>1</v>
      </c>
      <c r="H44" s="83"/>
      <c r="I44" s="83"/>
    </row>
    <row r="45" ht="15.75" customHeight="1">
      <c r="A45" s="84" t="s">
        <v>130</v>
      </c>
      <c r="B45" s="72" t="s">
        <v>133</v>
      </c>
      <c r="C45" s="65" t="str">
        <f t="shared" si="1"/>
        <v>⚡ STUDY NOW</v>
      </c>
      <c r="D45" s="78">
        <v>0.0</v>
      </c>
      <c r="E45" s="67"/>
      <c r="F45" s="73">
        <f t="shared" si="4"/>
        <v>1</v>
      </c>
      <c r="G45" s="74">
        <f t="shared" si="3"/>
        <v>1</v>
      </c>
      <c r="H45" s="83"/>
      <c r="I45" s="83"/>
    </row>
    <row r="46" ht="15.75" customHeight="1">
      <c r="A46" s="84" t="s">
        <v>130</v>
      </c>
      <c r="B46" s="72" t="s">
        <v>134</v>
      </c>
      <c r="C46" s="65" t="str">
        <f t="shared" si="1"/>
        <v>⚡ STUDY NOW</v>
      </c>
      <c r="D46" s="78">
        <v>0.0</v>
      </c>
      <c r="E46" s="67"/>
      <c r="F46" s="73">
        <f t="shared" si="4"/>
        <v>1</v>
      </c>
      <c r="G46" s="74">
        <f t="shared" si="3"/>
        <v>1</v>
      </c>
      <c r="H46" s="83"/>
      <c r="I46" s="83"/>
    </row>
    <row r="47" ht="15.75" customHeight="1">
      <c r="A47" s="84" t="s">
        <v>130</v>
      </c>
      <c r="B47" s="72" t="s">
        <v>135</v>
      </c>
      <c r="C47" s="65" t="str">
        <f t="shared" si="1"/>
        <v>⚡ STUDY NOW</v>
      </c>
      <c r="D47" s="78">
        <v>0.0</v>
      </c>
      <c r="E47" s="67"/>
      <c r="F47" s="73">
        <f t="shared" si="4"/>
        <v>1</v>
      </c>
      <c r="G47" s="74">
        <f t="shared" si="3"/>
        <v>1</v>
      </c>
      <c r="H47" s="83"/>
      <c r="I47" s="83"/>
    </row>
    <row r="48" ht="15.75" customHeight="1">
      <c r="A48" s="79" t="s">
        <v>89</v>
      </c>
      <c r="B48" s="72" t="s">
        <v>136</v>
      </c>
      <c r="C48" s="65" t="str">
        <f t="shared" si="1"/>
        <v>⚡ STUDY NOW</v>
      </c>
      <c r="D48" s="78">
        <v>0.0</v>
      </c>
      <c r="E48" s="67"/>
      <c r="F48" s="73">
        <f t="shared" si="4"/>
        <v>1</v>
      </c>
      <c r="G48" s="74">
        <f t="shared" si="3"/>
        <v>1</v>
      </c>
      <c r="H48" s="83"/>
      <c r="I48" s="83"/>
    </row>
    <row r="49" ht="15.75" customHeight="1">
      <c r="A49" s="79" t="s">
        <v>89</v>
      </c>
      <c r="B49" s="72" t="s">
        <v>137</v>
      </c>
      <c r="C49" s="65" t="str">
        <f t="shared" si="1"/>
        <v>⚡ STUDY NOW</v>
      </c>
      <c r="D49" s="78">
        <v>0.0</v>
      </c>
      <c r="E49" s="67"/>
      <c r="F49" s="73">
        <f t="shared" si="4"/>
        <v>1</v>
      </c>
      <c r="G49" s="74">
        <f t="shared" si="3"/>
        <v>1</v>
      </c>
      <c r="H49" s="83"/>
      <c r="I49" s="83"/>
    </row>
    <row r="50" ht="15.75" customHeight="1">
      <c r="A50" s="79" t="s">
        <v>89</v>
      </c>
      <c r="B50" s="72" t="s">
        <v>138</v>
      </c>
      <c r="C50" s="65" t="str">
        <f t="shared" si="1"/>
        <v>⚡ STUDY NOW</v>
      </c>
      <c r="D50" s="78">
        <v>0.0</v>
      </c>
      <c r="E50" s="67"/>
      <c r="F50" s="73">
        <f t="shared" si="4"/>
        <v>1</v>
      </c>
      <c r="G50" s="74">
        <f t="shared" si="3"/>
        <v>1</v>
      </c>
      <c r="H50" s="83"/>
      <c r="I50" s="83"/>
    </row>
    <row r="51" ht="15.75" customHeight="1">
      <c r="A51" s="79" t="s">
        <v>89</v>
      </c>
      <c r="B51" s="72" t="s">
        <v>139</v>
      </c>
      <c r="C51" s="65" t="str">
        <f t="shared" si="1"/>
        <v>⚡ STUDY NOW</v>
      </c>
      <c r="D51" s="78">
        <v>0.0</v>
      </c>
      <c r="E51" s="67"/>
      <c r="F51" s="73">
        <f t="shared" si="4"/>
        <v>1</v>
      </c>
      <c r="G51" s="74">
        <f t="shared" si="3"/>
        <v>1</v>
      </c>
      <c r="H51" s="83"/>
      <c r="I51" s="83"/>
    </row>
    <row r="52" ht="15.75" customHeight="1">
      <c r="A52" s="79" t="s">
        <v>89</v>
      </c>
      <c r="B52" s="72" t="s">
        <v>140</v>
      </c>
      <c r="C52" s="65" t="str">
        <f t="shared" si="1"/>
        <v>⚡ STUDY NOW</v>
      </c>
      <c r="D52" s="78">
        <v>0.0</v>
      </c>
      <c r="E52" s="67"/>
      <c r="F52" s="73">
        <f t="shared" si="4"/>
        <v>1</v>
      </c>
      <c r="G52" s="74">
        <f t="shared" si="3"/>
        <v>1</v>
      </c>
      <c r="H52" s="83"/>
      <c r="I52" s="83"/>
    </row>
    <row r="53" ht="15.75" customHeight="1">
      <c r="A53" s="79" t="s">
        <v>89</v>
      </c>
      <c r="B53" s="72" t="s">
        <v>141</v>
      </c>
      <c r="C53" s="65" t="str">
        <f t="shared" si="1"/>
        <v>⚡ STUDY NOW</v>
      </c>
      <c r="D53" s="78">
        <v>0.0</v>
      </c>
      <c r="E53" s="67"/>
      <c r="F53" s="73">
        <f t="shared" si="4"/>
        <v>1</v>
      </c>
      <c r="G53" s="74">
        <f t="shared" si="3"/>
        <v>1</v>
      </c>
      <c r="H53" s="83"/>
      <c r="I53" s="83"/>
    </row>
    <row r="54" ht="15.75" customHeight="1">
      <c r="A54" s="79" t="s">
        <v>89</v>
      </c>
      <c r="B54" s="72" t="s">
        <v>142</v>
      </c>
      <c r="C54" s="65" t="str">
        <f t="shared" si="1"/>
        <v>⚡ STUDY NOW</v>
      </c>
      <c r="D54" s="78">
        <v>0.0</v>
      </c>
      <c r="E54" s="85"/>
      <c r="F54" s="73">
        <f t="shared" si="4"/>
        <v>1</v>
      </c>
      <c r="G54" s="74">
        <f t="shared" si="3"/>
        <v>1</v>
      </c>
    </row>
    <row r="55" ht="15.75" customHeight="1">
      <c r="A55" s="79" t="s">
        <v>89</v>
      </c>
      <c r="B55" s="72" t="s">
        <v>143</v>
      </c>
      <c r="C55" s="65" t="str">
        <f t="shared" si="1"/>
        <v>⚡ STUDY NOW</v>
      </c>
      <c r="D55" s="78">
        <v>0.0</v>
      </c>
      <c r="E55" s="85"/>
      <c r="F55" s="73">
        <f t="shared" si="4"/>
        <v>1</v>
      </c>
      <c r="G55" s="74">
        <f t="shared" si="3"/>
        <v>1</v>
      </c>
    </row>
    <row r="56" ht="15.75" customHeight="1">
      <c r="A56" s="79" t="s">
        <v>89</v>
      </c>
      <c r="B56" s="72" t="s">
        <v>144</v>
      </c>
      <c r="C56" s="65" t="str">
        <f t="shared" si="1"/>
        <v>⚡ STUDY NOW</v>
      </c>
      <c r="D56" s="78">
        <v>0.0</v>
      </c>
      <c r="E56" s="85"/>
      <c r="F56" s="73">
        <f t="shared" si="4"/>
        <v>1</v>
      </c>
      <c r="G56" s="74">
        <f t="shared" si="3"/>
        <v>1</v>
      </c>
    </row>
    <row r="57" ht="15.75" customHeight="1">
      <c r="A57" s="79" t="s">
        <v>89</v>
      </c>
      <c r="B57" s="72" t="s">
        <v>145</v>
      </c>
      <c r="C57" s="65" t="str">
        <f t="shared" si="1"/>
        <v>⚡ STUDY NOW</v>
      </c>
      <c r="D57" s="78">
        <v>0.0</v>
      </c>
      <c r="E57" s="86"/>
      <c r="F57" s="73">
        <f t="shared" si="4"/>
        <v>1</v>
      </c>
      <c r="G57" s="74">
        <f t="shared" si="3"/>
        <v>1</v>
      </c>
    </row>
    <row r="58" ht="15.75" customHeight="1">
      <c r="A58" s="79" t="s">
        <v>89</v>
      </c>
      <c r="B58" s="72" t="s">
        <v>146</v>
      </c>
      <c r="C58" s="65" t="str">
        <f t="shared" si="1"/>
        <v>⚡ STUDY NOW</v>
      </c>
      <c r="D58" s="78">
        <v>0.0</v>
      </c>
      <c r="E58" s="86"/>
      <c r="F58" s="73">
        <f t="shared" si="4"/>
        <v>1</v>
      </c>
      <c r="G58" s="74">
        <f t="shared" si="3"/>
        <v>1</v>
      </c>
    </row>
    <row r="59" ht="15.75" customHeight="1">
      <c r="A59" s="79" t="s">
        <v>89</v>
      </c>
      <c r="B59" s="72" t="s">
        <v>147</v>
      </c>
      <c r="C59" s="65" t="str">
        <f t="shared" si="1"/>
        <v>⚡ STUDY NOW</v>
      </c>
      <c r="D59" s="78">
        <v>0.0</v>
      </c>
      <c r="E59" s="86"/>
      <c r="F59" s="73">
        <f t="shared" si="4"/>
        <v>1</v>
      </c>
      <c r="G59" s="74">
        <f t="shared" si="3"/>
        <v>1</v>
      </c>
    </row>
    <row r="60" ht="15.75" customHeight="1">
      <c r="A60" s="79" t="s">
        <v>89</v>
      </c>
      <c r="B60" s="72" t="s">
        <v>148</v>
      </c>
      <c r="C60" s="65" t="str">
        <f t="shared" si="1"/>
        <v>⚡ STUDY NOW</v>
      </c>
      <c r="D60" s="78">
        <v>0.0</v>
      </c>
      <c r="E60" s="86"/>
      <c r="F60" s="73">
        <f t="shared" si="4"/>
        <v>1</v>
      </c>
      <c r="G60" s="74">
        <f t="shared" si="3"/>
        <v>1</v>
      </c>
      <c r="H60" s="83"/>
      <c r="I60" s="83"/>
    </row>
    <row r="61" ht="15.75" customHeight="1">
      <c r="A61" s="79" t="s">
        <v>89</v>
      </c>
      <c r="B61" s="72" t="s">
        <v>149</v>
      </c>
      <c r="C61" s="65" t="str">
        <f t="shared" si="1"/>
        <v>⚡ STUDY NOW</v>
      </c>
      <c r="D61" s="78">
        <v>0.0</v>
      </c>
      <c r="E61" s="86"/>
      <c r="F61" s="73">
        <f t="shared" si="4"/>
        <v>1</v>
      </c>
      <c r="G61" s="74">
        <f t="shared" si="3"/>
        <v>1</v>
      </c>
    </row>
    <row r="62" ht="15.75" customHeight="1">
      <c r="A62" s="87" t="s">
        <v>150</v>
      </c>
      <c r="B62" s="72" t="s">
        <v>151</v>
      </c>
      <c r="C62" s="65" t="str">
        <f t="shared" si="1"/>
        <v>⚡ STUDY NOW</v>
      </c>
      <c r="D62" s="78">
        <v>0.0</v>
      </c>
      <c r="E62" s="85"/>
      <c r="F62" s="73">
        <f t="shared" si="4"/>
        <v>1</v>
      </c>
      <c r="G62" s="74">
        <f t="shared" si="3"/>
        <v>1</v>
      </c>
    </row>
    <row r="63" ht="15.75" customHeight="1">
      <c r="A63" s="87" t="s">
        <v>150</v>
      </c>
      <c r="B63" s="72" t="s">
        <v>152</v>
      </c>
      <c r="C63" s="65" t="str">
        <f t="shared" si="1"/>
        <v>⚡ STUDY NOW</v>
      </c>
      <c r="D63" s="78">
        <v>0.0</v>
      </c>
      <c r="E63" s="86"/>
      <c r="F63" s="73">
        <f t="shared" si="4"/>
        <v>1</v>
      </c>
      <c r="G63" s="74">
        <f t="shared" si="3"/>
        <v>1</v>
      </c>
    </row>
    <row r="64" ht="15.75" customHeight="1">
      <c r="A64" s="87" t="s">
        <v>150</v>
      </c>
      <c r="B64" s="72" t="s">
        <v>153</v>
      </c>
      <c r="C64" s="65" t="str">
        <f t="shared" si="1"/>
        <v>⚡ STUDY NOW</v>
      </c>
      <c r="D64" s="78">
        <v>0.0</v>
      </c>
      <c r="E64" s="86"/>
      <c r="F64" s="73">
        <f t="shared" si="4"/>
        <v>1</v>
      </c>
      <c r="G64" s="74">
        <f t="shared" si="3"/>
        <v>1</v>
      </c>
    </row>
    <row r="65" ht="15.75" customHeight="1">
      <c r="A65" s="87" t="s">
        <v>150</v>
      </c>
      <c r="B65" s="72" t="s">
        <v>154</v>
      </c>
      <c r="C65" s="65" t="str">
        <f t="shared" si="1"/>
        <v>⚡ STUDY NOW</v>
      </c>
      <c r="D65" s="78">
        <v>0.0</v>
      </c>
      <c r="E65" s="86"/>
      <c r="F65" s="73">
        <f t="shared" si="4"/>
        <v>1</v>
      </c>
      <c r="G65" s="74">
        <f t="shared" si="3"/>
        <v>1</v>
      </c>
    </row>
    <row r="66" ht="15.75" customHeight="1">
      <c r="A66" s="87" t="s">
        <v>150</v>
      </c>
      <c r="B66" s="72" t="s">
        <v>155</v>
      </c>
      <c r="C66" s="65" t="str">
        <f t="shared" si="1"/>
        <v>⚡ STUDY NOW</v>
      </c>
      <c r="D66" s="78">
        <v>0.0</v>
      </c>
      <c r="E66" s="86"/>
      <c r="F66" s="73">
        <f t="shared" si="4"/>
        <v>1</v>
      </c>
      <c r="G66" s="74">
        <f t="shared" si="3"/>
        <v>1</v>
      </c>
    </row>
    <row r="67" ht="15.75" customHeight="1">
      <c r="A67" s="87" t="s">
        <v>150</v>
      </c>
      <c r="B67" s="72" t="s">
        <v>156</v>
      </c>
      <c r="C67" s="65" t="str">
        <f t="shared" si="1"/>
        <v>⚡ STUDY NOW</v>
      </c>
      <c r="D67" s="78">
        <v>0.0</v>
      </c>
      <c r="E67" s="86"/>
      <c r="F67" s="73">
        <f t="shared" si="4"/>
        <v>1</v>
      </c>
      <c r="G67" s="74">
        <f t="shared" si="3"/>
        <v>1</v>
      </c>
    </row>
    <row r="68" ht="15.75" customHeight="1">
      <c r="A68" s="87" t="s">
        <v>150</v>
      </c>
      <c r="B68" s="72" t="s">
        <v>157</v>
      </c>
      <c r="C68" s="65" t="str">
        <f t="shared" si="1"/>
        <v>⚡ STUDY NOW</v>
      </c>
      <c r="D68" s="78">
        <v>0.0</v>
      </c>
      <c r="E68" s="86"/>
      <c r="F68" s="73">
        <f t="shared" si="4"/>
        <v>1</v>
      </c>
      <c r="G68" s="74">
        <f t="shared" si="3"/>
        <v>1</v>
      </c>
    </row>
    <row r="69" ht="15.75" customHeight="1">
      <c r="A69" s="87" t="s">
        <v>150</v>
      </c>
      <c r="B69" s="72" t="s">
        <v>158</v>
      </c>
      <c r="C69" s="65" t="str">
        <f t="shared" si="1"/>
        <v>⚡ STUDY NOW</v>
      </c>
      <c r="D69" s="78">
        <v>0.0</v>
      </c>
      <c r="E69" s="86"/>
      <c r="F69" s="73">
        <f t="shared" si="4"/>
        <v>1</v>
      </c>
      <c r="G69" s="74">
        <f t="shared" si="3"/>
        <v>1</v>
      </c>
    </row>
    <row r="70" ht="15.75" customHeight="1">
      <c r="A70" s="87" t="s">
        <v>150</v>
      </c>
      <c r="B70" s="72" t="s">
        <v>159</v>
      </c>
      <c r="C70" s="65" t="str">
        <f t="shared" si="1"/>
        <v>⚡ STUDY NOW</v>
      </c>
      <c r="D70" s="78">
        <v>0.0</v>
      </c>
      <c r="E70" s="86"/>
      <c r="F70" s="73">
        <f t="shared" si="4"/>
        <v>1</v>
      </c>
      <c r="G70" s="74">
        <f t="shared" si="3"/>
        <v>1</v>
      </c>
      <c r="H70" s="83"/>
      <c r="I70" s="83"/>
    </row>
    <row r="71" ht="15.75" customHeight="1">
      <c r="A71" s="87" t="s">
        <v>150</v>
      </c>
      <c r="B71" s="72" t="s">
        <v>160</v>
      </c>
      <c r="C71" s="65" t="str">
        <f t="shared" si="1"/>
        <v>⚡ STUDY NOW</v>
      </c>
      <c r="D71" s="78">
        <v>0.0</v>
      </c>
      <c r="E71" s="86"/>
      <c r="F71" s="73">
        <f t="shared" si="4"/>
        <v>1</v>
      </c>
      <c r="G71" s="74">
        <f t="shared" si="3"/>
        <v>1</v>
      </c>
      <c r="H71" s="83"/>
      <c r="I71" s="83"/>
    </row>
    <row r="72" ht="15.75" customHeight="1">
      <c r="A72" s="88" t="s">
        <v>78</v>
      </c>
      <c r="B72" s="72" t="s">
        <v>161</v>
      </c>
      <c r="C72" s="65" t="str">
        <f t="shared" si="1"/>
        <v>⚡ STUDY NOW</v>
      </c>
      <c r="D72" s="66">
        <v>1.0</v>
      </c>
      <c r="E72" s="85">
        <v>46085.0</v>
      </c>
      <c r="F72" s="73">
        <f t="shared" si="4"/>
        <v>3</v>
      </c>
      <c r="G72" s="74">
        <f t="shared" si="3"/>
        <v>46088</v>
      </c>
      <c r="H72" s="83" t="s">
        <v>80</v>
      </c>
      <c r="I72" s="83" t="s">
        <v>162</v>
      </c>
    </row>
    <row r="73" ht="15.75" customHeight="1">
      <c r="A73" s="88" t="s">
        <v>78</v>
      </c>
      <c r="B73" s="72" t="s">
        <v>163</v>
      </c>
      <c r="C73" s="65" t="str">
        <f t="shared" si="1"/>
        <v>⚡ STUDY NOW</v>
      </c>
      <c r="D73" s="78">
        <v>0.0</v>
      </c>
      <c r="E73" s="85">
        <v>46082.0</v>
      </c>
      <c r="F73" s="73">
        <f t="shared" si="4"/>
        <v>1</v>
      </c>
      <c r="G73" s="74">
        <f t="shared" si="3"/>
        <v>46083</v>
      </c>
      <c r="H73" s="83" t="s">
        <v>80</v>
      </c>
      <c r="I73" s="83" t="s">
        <v>164</v>
      </c>
    </row>
    <row r="74" ht="15.75" customHeight="1">
      <c r="A74" s="88" t="s">
        <v>78</v>
      </c>
      <c r="B74" s="72" t="s">
        <v>165</v>
      </c>
      <c r="C74" s="65" t="str">
        <f t="shared" si="1"/>
        <v>⚡ STUDY NOW</v>
      </c>
      <c r="D74" s="78">
        <v>0.0</v>
      </c>
      <c r="E74" s="86"/>
      <c r="F74" s="73">
        <f t="shared" si="4"/>
        <v>1</v>
      </c>
      <c r="G74" s="74">
        <f t="shared" si="3"/>
        <v>1</v>
      </c>
    </row>
    <row r="75" ht="15.75" customHeight="1">
      <c r="A75" s="88" t="s">
        <v>78</v>
      </c>
      <c r="B75" s="72" t="s">
        <v>166</v>
      </c>
      <c r="C75" s="65" t="str">
        <f t="shared" si="1"/>
        <v>⚡ STUDY NOW</v>
      </c>
      <c r="D75" s="78">
        <v>0.0</v>
      </c>
      <c r="E75" s="86"/>
      <c r="F75" s="73">
        <f t="shared" si="4"/>
        <v>1</v>
      </c>
      <c r="G75" s="74">
        <f t="shared" si="3"/>
        <v>1</v>
      </c>
    </row>
    <row r="76" ht="15.75" customHeight="1">
      <c r="A76" s="88" t="s">
        <v>78</v>
      </c>
      <c r="B76" s="72" t="s">
        <v>167</v>
      </c>
      <c r="C76" s="65" t="str">
        <f t="shared" si="1"/>
        <v>⚡ STUDY NOW</v>
      </c>
      <c r="D76" s="78">
        <v>0.0</v>
      </c>
      <c r="E76" s="86"/>
      <c r="F76" s="73">
        <f t="shared" si="4"/>
        <v>1</v>
      </c>
      <c r="G76" s="74">
        <f t="shared" si="3"/>
        <v>1</v>
      </c>
    </row>
    <row r="77" ht="15.75" customHeight="1">
      <c r="A77" s="88" t="s">
        <v>78</v>
      </c>
      <c r="B77" s="72" t="s">
        <v>168</v>
      </c>
      <c r="C77" s="65" t="str">
        <f t="shared" si="1"/>
        <v>⚡ STUDY NOW</v>
      </c>
      <c r="D77" s="78">
        <v>0.0</v>
      </c>
      <c r="E77" s="86"/>
      <c r="F77" s="73">
        <f t="shared" si="4"/>
        <v>1</v>
      </c>
      <c r="G77" s="74">
        <f t="shared" si="3"/>
        <v>1</v>
      </c>
    </row>
    <row r="78" ht="15.75" customHeight="1">
      <c r="A78" s="88" t="s">
        <v>78</v>
      </c>
      <c r="B78" s="72" t="s">
        <v>169</v>
      </c>
      <c r="C78" s="65" t="str">
        <f t="shared" si="1"/>
        <v>⚡ STUDY NOW</v>
      </c>
      <c r="D78" s="78">
        <v>0.0</v>
      </c>
      <c r="E78" s="86"/>
      <c r="F78" s="73">
        <f t="shared" si="4"/>
        <v>1</v>
      </c>
      <c r="G78" s="74">
        <f t="shared" si="3"/>
        <v>1</v>
      </c>
    </row>
    <row r="79" ht="15.75" customHeight="1">
      <c r="A79" s="88" t="s">
        <v>78</v>
      </c>
      <c r="B79" s="72" t="s">
        <v>170</v>
      </c>
      <c r="C79" s="65" t="str">
        <f t="shared" si="1"/>
        <v>⚡ STUDY NOW</v>
      </c>
      <c r="D79" s="78">
        <v>0.0</v>
      </c>
      <c r="E79" s="86"/>
      <c r="F79" s="73">
        <f t="shared" si="4"/>
        <v>1</v>
      </c>
      <c r="G79" s="74">
        <f t="shared" si="3"/>
        <v>1</v>
      </c>
    </row>
    <row r="80" ht="15.75" customHeight="1">
      <c r="A80" s="88" t="s">
        <v>78</v>
      </c>
      <c r="B80" s="72" t="s">
        <v>171</v>
      </c>
      <c r="C80" s="65" t="str">
        <f t="shared" si="1"/>
        <v>⚡ STUDY NOW</v>
      </c>
      <c r="D80" s="78">
        <v>0.0</v>
      </c>
      <c r="E80" s="86"/>
      <c r="F80" s="73">
        <f t="shared" si="4"/>
        <v>1</v>
      </c>
      <c r="G80" s="74">
        <f t="shared" si="3"/>
        <v>1</v>
      </c>
    </row>
    <row r="81" ht="15.75" customHeight="1">
      <c r="A81" s="88" t="s">
        <v>78</v>
      </c>
      <c r="B81" s="72" t="s">
        <v>172</v>
      </c>
      <c r="C81" s="65" t="str">
        <f t="shared" si="1"/>
        <v>⚡ STUDY NOW</v>
      </c>
      <c r="D81" s="78">
        <v>0.0</v>
      </c>
      <c r="E81" s="86"/>
      <c r="F81" s="73">
        <f t="shared" si="4"/>
        <v>1</v>
      </c>
      <c r="G81" s="74">
        <f t="shared" si="3"/>
        <v>1</v>
      </c>
    </row>
    <row r="82" ht="15.75" customHeight="1">
      <c r="A82" s="89" t="s">
        <v>173</v>
      </c>
      <c r="B82" s="72" t="s">
        <v>174</v>
      </c>
      <c r="C82" s="65" t="str">
        <f t="shared" si="1"/>
        <v>⚡ STUDY NOW</v>
      </c>
      <c r="D82" s="78">
        <v>0.0</v>
      </c>
      <c r="E82" s="86"/>
      <c r="F82" s="73">
        <f t="shared" si="4"/>
        <v>1</v>
      </c>
      <c r="G82" s="74">
        <f t="shared" si="3"/>
        <v>1</v>
      </c>
    </row>
    <row r="83" ht="15.75" customHeight="1">
      <c r="A83" s="89" t="s">
        <v>173</v>
      </c>
      <c r="B83" s="72" t="s">
        <v>175</v>
      </c>
      <c r="C83" s="65" t="str">
        <f t="shared" si="1"/>
        <v>⚡ STUDY NOW</v>
      </c>
      <c r="D83" s="78">
        <v>0.0</v>
      </c>
      <c r="E83" s="86"/>
      <c r="F83" s="73">
        <f t="shared" si="4"/>
        <v>1</v>
      </c>
      <c r="G83" s="74">
        <f t="shared" si="3"/>
        <v>1</v>
      </c>
    </row>
    <row r="84" ht="15.75" customHeight="1">
      <c r="A84" s="89" t="s">
        <v>173</v>
      </c>
      <c r="B84" s="72" t="s">
        <v>176</v>
      </c>
      <c r="C84" s="65" t="str">
        <f t="shared" si="1"/>
        <v>⚡ STUDY NOW</v>
      </c>
      <c r="D84" s="78">
        <v>0.0</v>
      </c>
      <c r="E84" s="86"/>
      <c r="F84" s="73">
        <f t="shared" si="4"/>
        <v>1</v>
      </c>
      <c r="G84" s="74">
        <f t="shared" si="3"/>
        <v>1</v>
      </c>
    </row>
    <row r="85" ht="15.75" customHeight="1">
      <c r="A85" s="89" t="s">
        <v>173</v>
      </c>
      <c r="B85" s="72" t="s">
        <v>177</v>
      </c>
      <c r="C85" s="65" t="str">
        <f t="shared" si="1"/>
        <v>⚡ STUDY NOW</v>
      </c>
      <c r="D85" s="78">
        <v>0.0</v>
      </c>
      <c r="E85" s="86"/>
      <c r="F85" s="73">
        <f t="shared" si="4"/>
        <v>1</v>
      </c>
      <c r="G85" s="74">
        <f t="shared" si="3"/>
        <v>1</v>
      </c>
    </row>
    <row r="86" ht="15.75" customHeight="1">
      <c r="A86" s="89" t="s">
        <v>173</v>
      </c>
      <c r="B86" s="72" t="s">
        <v>178</v>
      </c>
      <c r="C86" s="65" t="str">
        <f t="shared" si="1"/>
        <v>⚡ STUDY NOW</v>
      </c>
      <c r="D86" s="78">
        <v>0.0</v>
      </c>
      <c r="E86" s="86"/>
      <c r="F86" s="73">
        <f t="shared" si="4"/>
        <v>1</v>
      </c>
      <c r="G86" s="74">
        <f t="shared" si="3"/>
        <v>1</v>
      </c>
    </row>
    <row r="87" ht="15.75" customHeight="1">
      <c r="A87" s="89" t="s">
        <v>173</v>
      </c>
      <c r="B87" s="72" t="s">
        <v>179</v>
      </c>
      <c r="C87" s="65" t="str">
        <f t="shared" si="1"/>
        <v>⚡ STUDY NOW</v>
      </c>
      <c r="D87" s="78">
        <v>0.0</v>
      </c>
      <c r="E87" s="86"/>
      <c r="F87" s="73">
        <f t="shared" si="4"/>
        <v>1</v>
      </c>
      <c r="G87" s="74">
        <f t="shared" si="3"/>
        <v>1</v>
      </c>
    </row>
    <row r="88" ht="15.75" customHeight="1">
      <c r="A88" s="89" t="s">
        <v>173</v>
      </c>
      <c r="B88" s="72" t="s">
        <v>180</v>
      </c>
      <c r="C88" s="65" t="str">
        <f t="shared" si="1"/>
        <v>⚡ STUDY NOW</v>
      </c>
      <c r="D88" s="78">
        <v>0.0</v>
      </c>
      <c r="E88" s="86"/>
      <c r="F88" s="73">
        <f t="shared" si="4"/>
        <v>1</v>
      </c>
      <c r="G88" s="74">
        <f t="shared" si="3"/>
        <v>1</v>
      </c>
    </row>
    <row r="89" ht="15.75" customHeight="1">
      <c r="A89" s="89" t="s">
        <v>173</v>
      </c>
      <c r="B89" s="72" t="s">
        <v>181</v>
      </c>
      <c r="C89" s="65" t="str">
        <f t="shared" si="1"/>
        <v>⚡ STUDY NOW</v>
      </c>
      <c r="D89" s="78">
        <v>0.0</v>
      </c>
      <c r="E89" s="86"/>
      <c r="F89" s="73">
        <f t="shared" si="4"/>
        <v>1</v>
      </c>
      <c r="G89" s="74">
        <f t="shared" si="3"/>
        <v>1</v>
      </c>
    </row>
    <row r="90" ht="15.75" customHeight="1">
      <c r="A90" s="89" t="s">
        <v>173</v>
      </c>
      <c r="B90" s="72" t="s">
        <v>182</v>
      </c>
      <c r="C90" s="65" t="str">
        <f t="shared" si="1"/>
        <v>⚡ STUDY NOW</v>
      </c>
      <c r="D90" s="78">
        <v>0.0</v>
      </c>
      <c r="E90" s="86"/>
      <c r="F90" s="73">
        <f t="shared" si="4"/>
        <v>1</v>
      </c>
      <c r="G90" s="74">
        <f t="shared" si="3"/>
        <v>1</v>
      </c>
    </row>
    <row r="91" ht="15.75" customHeight="1">
      <c r="A91" s="89" t="s">
        <v>173</v>
      </c>
      <c r="B91" s="72" t="s">
        <v>183</v>
      </c>
      <c r="C91" s="65" t="str">
        <f t="shared" si="1"/>
        <v>⚡ STUDY NOW</v>
      </c>
      <c r="D91" s="78">
        <v>0.0</v>
      </c>
      <c r="E91" s="86"/>
      <c r="F91" s="73">
        <f t="shared" si="4"/>
        <v>1</v>
      </c>
      <c r="G91" s="74">
        <f t="shared" si="3"/>
        <v>1</v>
      </c>
    </row>
    <row r="92" ht="15.75" customHeight="1">
      <c r="A92" s="89" t="s">
        <v>173</v>
      </c>
      <c r="B92" s="72" t="s">
        <v>184</v>
      </c>
      <c r="C92" s="65" t="str">
        <f t="shared" si="1"/>
        <v>⚡ STUDY NOW</v>
      </c>
      <c r="D92" s="78">
        <v>0.0</v>
      </c>
      <c r="E92" s="90"/>
      <c r="F92" s="91">
        <f t="shared" si="4"/>
        <v>1</v>
      </c>
      <c r="G92" s="92">
        <f t="shared" si="3"/>
        <v>1</v>
      </c>
    </row>
    <row r="93" ht="15.75" customHeight="1">
      <c r="A93" s="83" t="s">
        <v>185</v>
      </c>
      <c r="B93" s="83" t="s">
        <v>186</v>
      </c>
      <c r="C93" s="65" t="str">
        <f t="shared" si="1"/>
        <v>⚡ STUDY NOW</v>
      </c>
      <c r="D93" s="78">
        <v>0.0</v>
      </c>
      <c r="E93" s="93">
        <v>46176.0</v>
      </c>
      <c r="F93" s="91">
        <f t="shared" si="4"/>
        <v>1</v>
      </c>
      <c r="G93" s="92">
        <f t="shared" si="3"/>
        <v>46177</v>
      </c>
      <c r="H93" s="83" t="s">
        <v>80</v>
      </c>
      <c r="I93" s="83" t="s">
        <v>187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</sheetData>
  <autoFilter ref="$A$2:$G$93">
    <sortState ref="A2:G93">
      <sortCondition ref="E2:E93"/>
      <sortCondition descending="1" ref="G2:G93"/>
    </sortState>
  </autoFilter>
  <mergeCells count="1">
    <mergeCell ref="A1:G1"/>
  </mergeCells>
  <conditionalFormatting sqref="C2:C737">
    <cfRule type="containsText" dxfId="1" priority="1" operator="containsText" text="⚡ STUDY NOW">
      <formula>NOT(ISERROR(SEARCH(("⚡ STUDY NOW"),(C2))))</formula>
    </cfRule>
  </conditionalFormatting>
  <conditionalFormatting sqref="C2:C737">
    <cfRule type="containsText" dxfId="2" priority="2" operator="containsText" text="✅ Wait">
      <formula>NOT(ISERROR(SEARCH(("✅ Wait"),(C2))))</formula>
    </cfRule>
  </conditionalFormatting>
  <conditionalFormatting sqref="C2:C737">
    <cfRule type="containsText" dxfId="3" priority="3" operator="containsText" text="⚡ STUDY NOW">
      <formula>NOT(ISERROR(SEARCH(("⚡ STUDY NOW"),(C2))))</formula>
    </cfRule>
  </conditionalFormatting>
  <conditionalFormatting sqref="A1:A737">
    <cfRule type="containsText" dxfId="4" priority="4" operator="containsText" text="Rhumatologie">
      <formula>NOT(ISERROR(SEARCH(("Rhumatologie"),(A1))))</formula>
    </cfRule>
  </conditionalFormatting>
  <conditionalFormatting sqref="A1:A737">
    <cfRule type="containsText" dxfId="5" priority="5" operator="containsText" text="Immuno">
      <formula>NOT(ISERROR(SEARCH(("Immuno"),(A1))))</formula>
    </cfRule>
  </conditionalFormatting>
  <conditionalFormatting sqref="A1:A737">
    <cfRule type="containsText" dxfId="6" priority="6" operator="containsText" text="Génétique">
      <formula>NOT(ISERROR(SEARCH(("Génétique"),(A1))))</formula>
    </cfRule>
  </conditionalFormatting>
  <conditionalFormatting sqref="A1:A737">
    <cfRule type="containsText" dxfId="7" priority="7" operator="containsText" text="Maladies de système">
      <formula>NOT(ISERROR(SEARCH(("Maladies de système"),(A1))))</formula>
    </cfRule>
  </conditionalFormatting>
  <conditionalFormatting sqref="A1:A737">
    <cfRule type="containsText" dxfId="8" priority="8" operator="containsText" text="Anatomopathologie">
      <formula>NOT(ISERROR(SEARCH(("Anatomopathologie"),(A1))))</formula>
    </cfRule>
  </conditionalFormatting>
  <conditionalFormatting sqref="A1:A737">
    <cfRule type="containsText" dxfId="9" priority="9" operator="containsText" text="MPR">
      <formula>NOT(ISERROR(SEARCH(("MPR"),(A1))))</formula>
    </cfRule>
  </conditionalFormatting>
  <conditionalFormatting sqref="A1:A737">
    <cfRule type="containsText" dxfId="10" priority="10" operator="containsText" text="Rhumatologie">
      <formula>NOT(ISERROR(SEARCH(("Rhumatologie"),(A1))))</formula>
    </cfRule>
  </conditionalFormatting>
  <conditionalFormatting sqref="A1:A737">
    <cfRule type="containsText" dxfId="11" priority="11" operator="containsText" text="Tramatologie">
      <formula>NOT(ISERROR(SEARCH(("Tramatologie"),(A1))))</formula>
    </cfRule>
  </conditionalFormatting>
  <conditionalFormatting sqref="G3:G737">
    <cfRule type="expression" dxfId="12" priority="12">
      <formula>OR(AND(G3&lt;=TODAY(), TODAY()-G3&lt;WEEKDAY(TODAY())), AND(TODAY()&lt;G3, G3-TODAY()&lt;WEEKDAY(G3)))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7.14"/>
    <col customWidth="1" min="4" max="6" width="8.71"/>
  </cols>
  <sheetData>
    <row r="1" ht="27.75" customHeight="1">
      <c r="A1" s="24" t="s">
        <v>49</v>
      </c>
      <c r="B1" s="21"/>
      <c r="C1" s="22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23" t="s">
        <v>50</v>
      </c>
      <c r="B2" s="44" t="s">
        <v>188</v>
      </c>
      <c r="C2" s="23" t="s">
        <v>52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26" t="str">
        <f>TEXT(TODAY(),"ddd MM/DD")</f>
        <v>Mon 06/08</v>
      </c>
      <c r="B3" s="26">
        <f>COUNTIF('lesson-database'!$G:$G,TODAY())</f>
        <v>0</v>
      </c>
      <c r="C3" s="26" t="str">
        <f t="shared" ref="C3:C10" si="1">IF(B3&gt;12,"🔴 Heavy",IF(B3&gt;8,"🟡 Busy","🟢 Light"))</f>
        <v>🟢 Light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26" t="str">
        <f>TEXT(TODAY()+1,"ddd MM/DD")</f>
        <v>Tue 06/09</v>
      </c>
      <c r="B4" s="26">
        <f>COUNTIF('lesson-database'!$G:$G,TODAY()+1)</f>
        <v>0</v>
      </c>
      <c r="C4" s="26" t="str">
        <f t="shared" si="1"/>
        <v>🟢 Light</v>
      </c>
      <c r="F4" s="6"/>
      <c r="G4" s="6"/>
      <c r="H4" s="6"/>
      <c r="I4" s="6"/>
      <c r="J4" s="6"/>
      <c r="K4" s="6"/>
      <c r="L4" s="6" t="s">
        <v>189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26" t="str">
        <f>TEXT(TODAY()+2,"ddd MM/DD")</f>
        <v>Wed 06/10</v>
      </c>
      <c r="B5" s="26">
        <f>COUNTIF('lesson-database'!$G:$G,TODAY()+2)</f>
        <v>0</v>
      </c>
      <c r="C5" s="26" t="str">
        <f t="shared" si="1"/>
        <v>🟢 Light</v>
      </c>
      <c r="F5" s="6"/>
      <c r="G5" s="6"/>
      <c r="H5" s="6"/>
      <c r="I5" s="6"/>
      <c r="J5" s="6"/>
      <c r="K5" s="6"/>
      <c r="L5" s="6"/>
      <c r="M5" s="6" t="s">
        <v>190</v>
      </c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26" t="str">
        <f>TEXT(TODAY()+3,"ddd MM/DD")</f>
        <v>Thu 06/11</v>
      </c>
      <c r="B6" s="26">
        <f>COUNTIF('lesson-database'!$G:$G,TODAY()+3)</f>
        <v>0</v>
      </c>
      <c r="C6" s="26" t="str">
        <f t="shared" si="1"/>
        <v>🟢 Light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26" t="str">
        <f>TEXT(TODAY()+4,"ddd MM/DD")</f>
        <v>Fri 06/12</v>
      </c>
      <c r="B7" s="26">
        <f>COUNTIF('lesson-database'!$G:$G,TODAY()+4)</f>
        <v>0</v>
      </c>
      <c r="C7" s="26" t="str">
        <f t="shared" si="1"/>
        <v>🟢 Light</v>
      </c>
      <c r="F7" s="6"/>
      <c r="G7" s="6"/>
      <c r="H7" s="6"/>
      <c r="I7" s="6"/>
      <c r="J7" s="6"/>
      <c r="K7" s="6"/>
      <c r="L7" s="6"/>
      <c r="M7" s="6" t="s">
        <v>191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26" t="str">
        <f>TEXT(TODAY()+5,"ddd MM/DD")</f>
        <v>Sat 06/13</v>
      </c>
      <c r="B8" s="26">
        <f>COUNTIF('lesson-database'!$G:$G,TODAY()+5)</f>
        <v>0</v>
      </c>
      <c r="C8" s="26" t="str">
        <f t="shared" si="1"/>
        <v>🟢 Light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26" t="str">
        <f>TEXT(TODAY()+6,"ddd MM/DD")</f>
        <v>Sun 06/14</v>
      </c>
      <c r="B9" s="26">
        <f>COUNTIF('lesson-database'!$G:$G,TODAY()+6)</f>
        <v>0</v>
      </c>
      <c r="C9" s="26" t="str">
        <f t="shared" si="1"/>
        <v>🟢 Light</v>
      </c>
      <c r="F9" s="6"/>
      <c r="G9" s="6"/>
      <c r="H9" s="6"/>
      <c r="I9" s="6"/>
      <c r="J9" s="6"/>
      <c r="K9" s="6"/>
      <c r="L9" s="6"/>
      <c r="M9" s="6" t="s">
        <v>192</v>
      </c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26" t="str">
        <f>TEXT(TODAY()+7,"ddd MM/DD")</f>
        <v>Mon 06/15</v>
      </c>
      <c r="B10" s="26">
        <f>COUNTIF('lesson-database'!$G:$G,TODAY()+7)</f>
        <v>0</v>
      </c>
      <c r="C10" s="26" t="str">
        <f t="shared" si="1"/>
        <v>🟢 Light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F11" s="6"/>
      <c r="G11" s="6"/>
      <c r="H11" s="6"/>
      <c r="I11" s="6"/>
      <c r="J11" s="6"/>
      <c r="K11" s="6"/>
      <c r="L11" s="6"/>
      <c r="M11" s="6" t="s">
        <v>193</v>
      </c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 t="s">
        <v>194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 t="s">
        <v>195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 ht="14.25" customHeight="1">
      <c r="A1" s="6" t="s">
        <v>196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94" t="s">
        <v>197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95" t="s">
        <v>198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96" t="s">
        <v>199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97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98" t="s">
        <v>200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97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98" t="s">
        <v>201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4.25" customHeight="1">
      <c r="A11" s="97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4.25" customHeight="1">
      <c r="A12" s="98" t="s">
        <v>202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4.25" customHeight="1">
      <c r="A13" s="97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4.25" customHeight="1">
      <c r="A14" s="99" t="s">
        <v>203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96" t="s">
        <v>204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97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98" t="s">
        <v>205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97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100" t="s">
        <v>206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97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98" t="s">
        <v>207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96" t="s">
        <v>208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97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100" t="s">
        <v>209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9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9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99" t="s">
        <v>210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97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100" t="s">
        <v>211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97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100" t="s">
        <v>212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94" t="s">
        <v>213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95" t="s">
        <v>214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101" t="s">
        <v>215</v>
      </c>
      <c r="B41" s="101" t="s">
        <v>216</v>
      </c>
      <c r="C41" s="101" t="s">
        <v>217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102" t="s">
        <v>218</v>
      </c>
      <c r="B42" s="101" t="s">
        <v>219</v>
      </c>
      <c r="C42" s="102" t="s">
        <v>220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102" t="s">
        <v>221</v>
      </c>
      <c r="B43" s="101" t="s">
        <v>222</v>
      </c>
      <c r="C43" s="102" t="s">
        <v>223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102" t="s">
        <v>224</v>
      </c>
      <c r="B44" s="101" t="s">
        <v>225</v>
      </c>
      <c r="C44" s="102" t="s">
        <v>226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100" t="s">
        <v>227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94" t="s">
        <v>228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9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98" t="s">
        <v>229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9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98" t="s">
        <v>230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9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98" t="s">
        <v>231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9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98" t="s">
        <v>232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9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99" t="s">
        <v>233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94" t="s">
        <v>234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9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100" t="s">
        <v>235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97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98" t="s">
        <v>236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97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100" t="s">
        <v>237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97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100" t="s">
        <v>238</v>
      </c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97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100" t="s">
        <v>239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97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98" t="s">
        <v>240</v>
      </c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55"/>
      <c r="B76" s="5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55"/>
      <c r="B77" s="5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55"/>
      <c r="B78" s="5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55"/>
      <c r="B79" s="55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55"/>
      <c r="B80" s="5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55"/>
      <c r="B81" s="55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55"/>
      <c r="B82" s="5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55"/>
      <c r="B83" s="55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55"/>
      <c r="B84" s="5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55"/>
      <c r="B85" s="55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55"/>
      <c r="B86" s="5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55"/>
      <c r="B87" s="55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55"/>
      <c r="B88" s="5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55"/>
      <c r="B89" s="55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55"/>
      <c r="B90" s="5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55"/>
      <c r="B91" s="55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55"/>
      <c r="B92" s="5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55"/>
      <c r="B93" s="55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55"/>
      <c r="B94" s="5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55"/>
      <c r="B95" s="55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55"/>
      <c r="B96" s="5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55"/>
      <c r="B97" s="55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55"/>
      <c r="B98" s="5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55"/>
      <c r="B99" s="55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55"/>
      <c r="B100" s="5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55"/>
      <c r="B101" s="55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55"/>
      <c r="B102" s="5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55"/>
      <c r="B103" s="55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55"/>
      <c r="B104" s="5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55"/>
      <c r="B105" s="55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55"/>
      <c r="B106" s="5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55"/>
      <c r="B107" s="55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55"/>
      <c r="B108" s="5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55"/>
      <c r="B109" s="55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55"/>
      <c r="B110" s="5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55"/>
      <c r="B111" s="55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55"/>
      <c r="B112" s="5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55"/>
      <c r="B113" s="55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55"/>
      <c r="B114" s="5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55"/>
      <c r="B115" s="55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55"/>
      <c r="B116" s="5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55"/>
      <c r="B117" s="55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55"/>
      <c r="B118" s="5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55"/>
      <c r="B119" s="55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55"/>
      <c r="B120" s="5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55"/>
      <c r="B121" s="55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55"/>
      <c r="B122" s="5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55"/>
      <c r="B123" s="55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55"/>
      <c r="B124" s="5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55"/>
      <c r="B125" s="55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55"/>
      <c r="B126" s="5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55"/>
      <c r="B127" s="55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55"/>
      <c r="B128" s="5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55"/>
      <c r="B129" s="55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55"/>
      <c r="B130" s="5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55"/>
      <c r="B131" s="55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55"/>
      <c r="B132" s="5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55"/>
      <c r="B133" s="55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55"/>
      <c r="B134" s="5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55"/>
      <c r="B135" s="55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55"/>
      <c r="B136" s="5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55"/>
      <c r="B137" s="55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55"/>
      <c r="B138" s="5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55"/>
      <c r="B139" s="55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55"/>
      <c r="B140" s="5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55"/>
      <c r="B141" s="55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55"/>
      <c r="B142" s="5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55"/>
      <c r="B143" s="55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55"/>
      <c r="B144" s="5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55"/>
      <c r="B145" s="55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55"/>
      <c r="B146" s="5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55"/>
      <c r="B147" s="55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55"/>
      <c r="B148" s="5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55"/>
      <c r="B149" s="55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55"/>
      <c r="B150" s="5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55"/>
      <c r="B151" s="55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55"/>
      <c r="B152" s="5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55"/>
      <c r="B153" s="55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55"/>
      <c r="B154" s="5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55"/>
      <c r="B155" s="55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55"/>
      <c r="B156" s="5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55"/>
      <c r="B157" s="55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55"/>
      <c r="B158" s="5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55"/>
      <c r="B159" s="55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55"/>
      <c r="B160" s="5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55"/>
      <c r="B161" s="55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55"/>
      <c r="B162" s="5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55"/>
      <c r="B163" s="55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55"/>
      <c r="B164" s="5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55"/>
      <c r="B165" s="55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55"/>
      <c r="B166" s="5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55"/>
      <c r="B167" s="55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55"/>
      <c r="B168" s="5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55"/>
      <c r="B169" s="55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55"/>
      <c r="B170" s="5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55"/>
      <c r="B171" s="55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55"/>
      <c r="B172" s="5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55"/>
      <c r="B173" s="55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55"/>
      <c r="B174" s="5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55"/>
      <c r="B175" s="55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55"/>
      <c r="B176" s="5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55"/>
      <c r="B177" s="55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55"/>
      <c r="B178" s="5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55"/>
      <c r="B179" s="55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55"/>
      <c r="B180" s="5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55"/>
      <c r="B181" s="55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55"/>
      <c r="B182" s="5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55"/>
      <c r="B183" s="55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55"/>
      <c r="B184" s="5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55"/>
      <c r="B185" s="55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55"/>
      <c r="B186" s="5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55"/>
      <c r="B187" s="55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55"/>
      <c r="B188" s="5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55"/>
      <c r="B189" s="55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55"/>
      <c r="B190" s="5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55"/>
      <c r="B191" s="55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55"/>
      <c r="B192" s="5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55"/>
      <c r="B193" s="55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55"/>
      <c r="B194" s="5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55"/>
      <c r="B195" s="55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55"/>
      <c r="B196" s="5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55"/>
      <c r="B197" s="55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55"/>
      <c r="B198" s="5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55"/>
      <c r="B199" s="55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55"/>
      <c r="B200" s="55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55"/>
      <c r="B201" s="55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55"/>
      <c r="B202" s="5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55"/>
      <c r="B203" s="55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55"/>
      <c r="B204" s="5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55"/>
      <c r="B205" s="55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55"/>
      <c r="B206" s="55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55"/>
      <c r="B207" s="55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55"/>
      <c r="B208" s="55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55"/>
      <c r="B209" s="55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55"/>
      <c r="B210" s="55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55"/>
      <c r="B211" s="55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55"/>
      <c r="B212" s="55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55"/>
      <c r="B213" s="55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55"/>
      <c r="B214" s="55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55"/>
      <c r="B215" s="55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55"/>
      <c r="B216" s="55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55"/>
      <c r="B217" s="55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55"/>
      <c r="B218" s="55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55"/>
      <c r="B219" s="55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55"/>
      <c r="B220" s="5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55"/>
      <c r="B221" s="55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55"/>
      <c r="B222" s="55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55"/>
      <c r="B223" s="55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55"/>
      <c r="B224" s="55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55"/>
      <c r="B225" s="55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55"/>
      <c r="B226" s="55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55"/>
      <c r="B227" s="55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55"/>
      <c r="B228" s="55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55"/>
      <c r="B229" s="55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55"/>
      <c r="B230" s="5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55"/>
      <c r="B231" s="55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55"/>
      <c r="B232" s="55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55"/>
      <c r="B233" s="55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55"/>
      <c r="B234" s="5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55"/>
      <c r="B235" s="55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55"/>
      <c r="B236" s="5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55"/>
      <c r="B237" s="55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55"/>
      <c r="B238" s="55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55"/>
      <c r="B239" s="55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55"/>
      <c r="B240" s="55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55"/>
      <c r="B241" s="55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55"/>
      <c r="B242" s="55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55"/>
      <c r="B243" s="55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55"/>
      <c r="B244" s="55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55"/>
      <c r="B245" s="55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55"/>
      <c r="B246" s="55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55"/>
      <c r="B247" s="55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55"/>
      <c r="B248" s="55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55"/>
      <c r="B249" s="55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55"/>
      <c r="B250" s="55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55"/>
      <c r="B251" s="55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55"/>
      <c r="B252" s="55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55"/>
      <c r="B253" s="55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55"/>
      <c r="B254" s="55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55"/>
      <c r="B255" s="55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55"/>
      <c r="B256" s="55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55"/>
      <c r="B257" s="55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55"/>
      <c r="B258" s="55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55"/>
      <c r="B259" s="55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55"/>
      <c r="B260" s="55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55"/>
      <c r="B261" s="55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55"/>
      <c r="B262" s="55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55"/>
      <c r="B263" s="55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55"/>
      <c r="B264" s="55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55"/>
      <c r="B265" s="55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55"/>
      <c r="B266" s="55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55"/>
      <c r="B267" s="55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55"/>
      <c r="B268" s="55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55"/>
      <c r="B269" s="55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55"/>
      <c r="B270" s="55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55"/>
      <c r="B271" s="55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55"/>
      <c r="B272" s="55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55"/>
      <c r="B273" s="55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55"/>
      <c r="B274" s="55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55"/>
      <c r="B275" s="55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55"/>
      <c r="B276" s="55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55"/>
      <c r="B277" s="55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55"/>
      <c r="B278" s="55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55"/>
      <c r="B279" s="55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55"/>
      <c r="B280" s="55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55"/>
      <c r="B281" s="55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55"/>
      <c r="B282" s="55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55"/>
      <c r="B283" s="55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55"/>
      <c r="B284" s="55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55"/>
      <c r="B285" s="55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55"/>
      <c r="B286" s="55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55"/>
      <c r="B287" s="55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55"/>
      <c r="B288" s="55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55"/>
      <c r="B289" s="55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55"/>
      <c r="B290" s="55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55"/>
      <c r="B291" s="55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55"/>
      <c r="B292" s="55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55"/>
      <c r="B293" s="55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55"/>
      <c r="B294" s="55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55"/>
      <c r="B295" s="55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55"/>
      <c r="B296" s="55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55"/>
      <c r="B297" s="55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55"/>
      <c r="B298" s="55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55"/>
      <c r="B299" s="55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55"/>
      <c r="B300" s="55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55"/>
      <c r="B301" s="55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55"/>
      <c r="B302" s="55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55"/>
      <c r="B303" s="55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55"/>
      <c r="B304" s="55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55"/>
      <c r="B305" s="55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55"/>
      <c r="B306" s="55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55"/>
      <c r="B307" s="55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55"/>
      <c r="B308" s="55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55"/>
      <c r="B309" s="55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55"/>
      <c r="B310" s="55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55"/>
      <c r="B311" s="55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55"/>
      <c r="B312" s="55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55"/>
      <c r="B313" s="55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55"/>
      <c r="B314" s="55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55"/>
      <c r="B315" s="55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55"/>
      <c r="B316" s="55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55"/>
      <c r="B317" s="55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55"/>
      <c r="B318" s="55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55"/>
      <c r="B319" s="55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55"/>
      <c r="B320" s="55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55"/>
      <c r="B321" s="55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55"/>
      <c r="B322" s="55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55"/>
      <c r="B323" s="55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55"/>
      <c r="B324" s="55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55"/>
      <c r="B325" s="55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55"/>
      <c r="B326" s="55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55"/>
      <c r="B327" s="55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55"/>
      <c r="B328" s="55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55"/>
      <c r="B329" s="55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55"/>
      <c r="B330" s="55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55"/>
      <c r="B331" s="55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55"/>
      <c r="B332" s="55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55"/>
      <c r="B333" s="55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55"/>
      <c r="B334" s="55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55"/>
      <c r="B335" s="55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55"/>
      <c r="B336" s="55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55"/>
      <c r="B337" s="55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55"/>
      <c r="B338" s="55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55"/>
      <c r="B339" s="55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55"/>
      <c r="B340" s="55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55"/>
      <c r="B341" s="55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55"/>
      <c r="B342" s="55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55"/>
      <c r="B343" s="55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55"/>
      <c r="B344" s="55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55"/>
      <c r="B345" s="55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55"/>
      <c r="B346" s="55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55"/>
      <c r="B347" s="55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55"/>
      <c r="B348" s="55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55"/>
      <c r="B349" s="55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55"/>
      <c r="B350" s="55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55"/>
      <c r="B351" s="55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55"/>
      <c r="B352" s="55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55"/>
      <c r="B353" s="55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55"/>
      <c r="B354" s="55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55"/>
      <c r="B355" s="55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55"/>
      <c r="B356" s="55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55"/>
      <c r="B357" s="55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55"/>
      <c r="B358" s="55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55"/>
      <c r="B359" s="55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55"/>
      <c r="B360" s="55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55"/>
      <c r="B361" s="55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55"/>
      <c r="B362" s="55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55"/>
      <c r="B363" s="55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55"/>
      <c r="B364" s="55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55"/>
      <c r="B365" s="55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55"/>
      <c r="B366" s="55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55"/>
      <c r="B367" s="55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55"/>
      <c r="B368" s="55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55"/>
      <c r="B369" s="55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55"/>
      <c r="B370" s="55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55"/>
      <c r="B371" s="55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55"/>
      <c r="B372" s="55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55"/>
      <c r="B373" s="55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55"/>
      <c r="B374" s="55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55"/>
      <c r="B375" s="55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55"/>
      <c r="B376" s="55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55"/>
      <c r="B377" s="55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55"/>
      <c r="B378" s="55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55"/>
      <c r="B379" s="55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55"/>
      <c r="B380" s="55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55"/>
      <c r="B381" s="55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55"/>
      <c r="B382" s="55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55"/>
      <c r="B383" s="55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55"/>
      <c r="B384" s="55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55"/>
      <c r="B385" s="55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55"/>
      <c r="B386" s="55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55"/>
      <c r="B387" s="55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55"/>
      <c r="B388" s="55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55"/>
      <c r="B389" s="55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55"/>
      <c r="B390" s="55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55"/>
      <c r="B391" s="55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55"/>
      <c r="B392" s="55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55"/>
      <c r="B393" s="55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55"/>
      <c r="B394" s="55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55"/>
      <c r="B395" s="55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55"/>
      <c r="B396" s="55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55"/>
      <c r="B397" s="55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55"/>
      <c r="B398" s="55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55"/>
      <c r="B399" s="55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55"/>
      <c r="B400" s="55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55"/>
      <c r="B401" s="55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55"/>
      <c r="B402" s="55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55"/>
      <c r="B403" s="55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55"/>
      <c r="B404" s="55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55"/>
      <c r="B405" s="55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55"/>
      <c r="B406" s="55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55"/>
      <c r="B407" s="55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55"/>
      <c r="B408" s="55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55"/>
      <c r="B409" s="55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55"/>
      <c r="B410" s="55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55"/>
      <c r="B411" s="55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55"/>
      <c r="B412" s="55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55"/>
      <c r="B413" s="55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55"/>
      <c r="B414" s="55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55"/>
      <c r="B415" s="55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55"/>
      <c r="B416" s="55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55"/>
      <c r="B417" s="55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55"/>
      <c r="B418" s="55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55"/>
      <c r="B419" s="55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55"/>
      <c r="B420" s="55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55"/>
      <c r="B421" s="55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55"/>
      <c r="B422" s="55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55"/>
      <c r="B423" s="55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55"/>
      <c r="B424" s="55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55"/>
      <c r="B425" s="55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55"/>
      <c r="B426" s="55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55"/>
      <c r="B427" s="55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55"/>
      <c r="B428" s="55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55"/>
      <c r="B429" s="55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55"/>
      <c r="B430" s="55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55"/>
      <c r="B431" s="55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55"/>
      <c r="B432" s="55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55"/>
      <c r="B433" s="55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55"/>
      <c r="B434" s="55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55"/>
      <c r="B435" s="55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55"/>
      <c r="B436" s="55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55"/>
      <c r="B437" s="55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55"/>
      <c r="B438" s="55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55"/>
      <c r="B439" s="55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55"/>
      <c r="B440" s="55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55"/>
      <c r="B441" s="55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55"/>
      <c r="B442" s="55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55"/>
      <c r="B443" s="55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55"/>
      <c r="B444" s="55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55"/>
      <c r="B445" s="55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55"/>
      <c r="B446" s="55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55"/>
      <c r="B447" s="55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55"/>
      <c r="B448" s="55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55"/>
      <c r="B449" s="55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55"/>
      <c r="B450" s="55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55"/>
      <c r="B451" s="55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55"/>
      <c r="B452" s="55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55"/>
      <c r="B453" s="55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55"/>
      <c r="B454" s="55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55"/>
      <c r="B455" s="55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55"/>
      <c r="B456" s="55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55"/>
      <c r="B457" s="55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55"/>
      <c r="B458" s="55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55"/>
      <c r="B459" s="55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55"/>
      <c r="B460" s="55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55"/>
      <c r="B461" s="55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55"/>
      <c r="B462" s="55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55"/>
      <c r="B463" s="55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55"/>
      <c r="B464" s="55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55"/>
      <c r="B465" s="55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55"/>
      <c r="B466" s="55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55"/>
      <c r="B467" s="55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55"/>
      <c r="B468" s="55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55"/>
      <c r="B469" s="55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55"/>
      <c r="B470" s="55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55"/>
      <c r="B471" s="55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55"/>
      <c r="B472" s="55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55"/>
      <c r="B473" s="55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55"/>
      <c r="B474" s="55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55"/>
      <c r="B475" s="55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55"/>
      <c r="B476" s="55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55"/>
      <c r="B477" s="55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55"/>
      <c r="B478" s="55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55"/>
      <c r="B479" s="55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55"/>
      <c r="B480" s="55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55"/>
      <c r="B481" s="55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55"/>
      <c r="B482" s="55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55"/>
      <c r="B483" s="55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55"/>
      <c r="B484" s="55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55"/>
      <c r="B485" s="55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55"/>
      <c r="B486" s="55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55"/>
      <c r="B487" s="55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55"/>
      <c r="B488" s="55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55"/>
      <c r="B489" s="55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55"/>
      <c r="B490" s="55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55"/>
      <c r="B491" s="55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55"/>
      <c r="B492" s="55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55"/>
      <c r="B493" s="55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55"/>
      <c r="B494" s="55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55"/>
      <c r="B495" s="55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55"/>
      <c r="B496" s="55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55"/>
      <c r="B497" s="55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55"/>
      <c r="B498" s="55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55"/>
      <c r="B499" s="55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55"/>
      <c r="B500" s="55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55"/>
      <c r="B501" s="55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55"/>
      <c r="B502" s="55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55"/>
      <c r="B503" s="55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55"/>
      <c r="B504" s="55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55"/>
      <c r="B505" s="55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55"/>
      <c r="B506" s="55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55"/>
      <c r="B507" s="55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55"/>
      <c r="B508" s="55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55"/>
      <c r="B509" s="55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55"/>
      <c r="B510" s="55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55"/>
      <c r="B511" s="55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55"/>
      <c r="B512" s="55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55"/>
      <c r="B513" s="55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55"/>
      <c r="B514" s="55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55"/>
      <c r="B515" s="55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55"/>
      <c r="B516" s="55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55"/>
      <c r="B517" s="55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55"/>
      <c r="B518" s="55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55"/>
      <c r="B519" s="55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55"/>
      <c r="B520" s="55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55"/>
      <c r="B521" s="55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55"/>
      <c r="B522" s="55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55"/>
      <c r="B523" s="55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55"/>
      <c r="B524" s="55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55"/>
      <c r="B525" s="55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55"/>
      <c r="B526" s="55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55"/>
      <c r="B527" s="55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55"/>
      <c r="B528" s="55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55"/>
      <c r="B529" s="55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55"/>
      <c r="B530" s="55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55"/>
      <c r="B531" s="55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55"/>
      <c r="B532" s="55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55"/>
      <c r="B533" s="55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55"/>
      <c r="B534" s="55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55"/>
      <c r="B535" s="55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55"/>
      <c r="B536" s="55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55"/>
      <c r="B537" s="55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55"/>
      <c r="B538" s="55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55"/>
      <c r="B539" s="55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55"/>
      <c r="B540" s="55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55"/>
      <c r="B541" s="55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55"/>
      <c r="B542" s="55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55"/>
      <c r="B543" s="55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55"/>
      <c r="B544" s="55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55"/>
      <c r="B545" s="55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55"/>
      <c r="B546" s="55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55"/>
      <c r="B547" s="55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55"/>
      <c r="B548" s="55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55"/>
      <c r="B549" s="55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55"/>
      <c r="B550" s="55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55"/>
      <c r="B551" s="55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55"/>
      <c r="B552" s="55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55"/>
      <c r="B553" s="55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55"/>
      <c r="B554" s="55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55"/>
      <c r="B555" s="55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55"/>
      <c r="B556" s="55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55"/>
      <c r="B557" s="55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55"/>
      <c r="B558" s="55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55"/>
      <c r="B559" s="55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55"/>
      <c r="B560" s="55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55"/>
      <c r="B561" s="55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55"/>
      <c r="B562" s="55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55"/>
      <c r="B563" s="55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55"/>
      <c r="B564" s="55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55"/>
      <c r="B565" s="55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55"/>
      <c r="B566" s="55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55"/>
      <c r="B567" s="55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55"/>
      <c r="B568" s="55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55"/>
      <c r="B569" s="55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55"/>
      <c r="B570" s="55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55"/>
      <c r="B571" s="55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55"/>
      <c r="B572" s="55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55"/>
      <c r="B573" s="55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55"/>
      <c r="B574" s="55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55"/>
      <c r="B575" s="55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55"/>
      <c r="B576" s="55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55"/>
      <c r="B577" s="55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55"/>
      <c r="B578" s="55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55"/>
      <c r="B579" s="55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55"/>
      <c r="B580" s="55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55"/>
      <c r="B581" s="55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55"/>
      <c r="B582" s="55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55"/>
      <c r="B583" s="55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55"/>
      <c r="B584" s="55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55"/>
      <c r="B585" s="55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55"/>
      <c r="B586" s="55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55"/>
      <c r="B587" s="55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55"/>
      <c r="B588" s="55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55"/>
      <c r="B589" s="55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55"/>
      <c r="B590" s="55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55"/>
      <c r="B591" s="55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55"/>
      <c r="B592" s="55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55"/>
      <c r="B593" s="55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55"/>
      <c r="B594" s="55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55"/>
      <c r="B595" s="55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55"/>
      <c r="B596" s="55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55"/>
      <c r="B597" s="55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55"/>
      <c r="B598" s="55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55"/>
      <c r="B599" s="55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55"/>
      <c r="B600" s="55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55"/>
      <c r="B601" s="55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55"/>
      <c r="B602" s="55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55"/>
      <c r="B603" s="55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55"/>
      <c r="B604" s="55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55"/>
      <c r="B605" s="55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55"/>
      <c r="B606" s="55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55"/>
      <c r="B607" s="55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55"/>
      <c r="B608" s="55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55"/>
      <c r="B609" s="55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55"/>
      <c r="B610" s="55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55"/>
      <c r="B611" s="55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55"/>
      <c r="B612" s="55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55"/>
      <c r="B613" s="55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55"/>
      <c r="B614" s="55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55"/>
      <c r="B615" s="55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55"/>
      <c r="B616" s="55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55"/>
      <c r="B617" s="55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55"/>
      <c r="B618" s="55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55"/>
      <c r="B619" s="55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55"/>
      <c r="B620" s="55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55"/>
      <c r="B621" s="55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55"/>
      <c r="B622" s="55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55"/>
      <c r="B623" s="55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55"/>
      <c r="B624" s="55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55"/>
      <c r="B625" s="55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55"/>
      <c r="B626" s="55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55"/>
      <c r="B627" s="55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55"/>
      <c r="B628" s="55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55"/>
      <c r="B629" s="55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55"/>
      <c r="B630" s="55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55"/>
      <c r="B631" s="55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55"/>
      <c r="B632" s="55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55"/>
      <c r="B633" s="55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55"/>
      <c r="B634" s="55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55"/>
      <c r="B635" s="55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55"/>
      <c r="B636" s="55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55"/>
      <c r="B637" s="55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55"/>
      <c r="B638" s="55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55"/>
      <c r="B639" s="55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55"/>
      <c r="B640" s="55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55"/>
      <c r="B641" s="55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55"/>
      <c r="B642" s="55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55"/>
      <c r="B643" s="55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55"/>
      <c r="B644" s="55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55"/>
      <c r="B645" s="55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55"/>
      <c r="B646" s="55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55"/>
      <c r="B647" s="55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55"/>
      <c r="B648" s="55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55"/>
      <c r="B649" s="55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55"/>
      <c r="B650" s="55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55"/>
      <c r="B651" s="55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55"/>
      <c r="B652" s="55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55"/>
      <c r="B653" s="55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55"/>
      <c r="B654" s="55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55"/>
      <c r="B655" s="55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55"/>
      <c r="B656" s="55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55"/>
      <c r="B657" s="55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55"/>
      <c r="B658" s="55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55"/>
      <c r="B659" s="55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55"/>
      <c r="B660" s="55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55"/>
      <c r="B661" s="55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55"/>
      <c r="B662" s="55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55"/>
      <c r="B663" s="55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55"/>
      <c r="B664" s="55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55"/>
      <c r="B665" s="55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55"/>
      <c r="B666" s="55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55"/>
      <c r="B667" s="55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55"/>
      <c r="B668" s="55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55"/>
      <c r="B669" s="55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55"/>
      <c r="B670" s="55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55"/>
      <c r="B671" s="55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55"/>
      <c r="B672" s="55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55"/>
      <c r="B673" s="55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55"/>
      <c r="B674" s="55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55"/>
      <c r="B675" s="55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55"/>
      <c r="B676" s="55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55"/>
      <c r="B677" s="55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55"/>
      <c r="B678" s="55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55"/>
      <c r="B679" s="55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55"/>
      <c r="B680" s="55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55"/>
      <c r="B681" s="55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55"/>
      <c r="B682" s="55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55"/>
      <c r="B683" s="55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55"/>
      <c r="B684" s="55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55"/>
      <c r="B685" s="55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55"/>
      <c r="B686" s="55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55"/>
      <c r="B687" s="55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55"/>
      <c r="B688" s="55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55"/>
      <c r="B689" s="55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55"/>
      <c r="B690" s="55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55"/>
      <c r="B691" s="55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55"/>
      <c r="B692" s="55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55"/>
      <c r="B693" s="55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55"/>
      <c r="B694" s="55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55"/>
      <c r="B695" s="55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55"/>
      <c r="B696" s="55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55"/>
      <c r="B697" s="55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55"/>
      <c r="B698" s="55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55"/>
      <c r="B699" s="55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55"/>
      <c r="B700" s="55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55"/>
      <c r="B701" s="55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55"/>
      <c r="B702" s="55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55"/>
      <c r="B703" s="55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55"/>
      <c r="B704" s="55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55"/>
      <c r="B705" s="55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55"/>
      <c r="B706" s="55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55"/>
      <c r="B707" s="55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55"/>
      <c r="B708" s="55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55"/>
      <c r="B709" s="55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55"/>
      <c r="B710" s="55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55"/>
      <c r="B711" s="55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55"/>
      <c r="B712" s="55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55"/>
      <c r="B713" s="55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55"/>
      <c r="B714" s="55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55"/>
      <c r="B715" s="55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55"/>
      <c r="B716" s="55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55"/>
      <c r="B717" s="55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55"/>
      <c r="B718" s="55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55"/>
      <c r="B719" s="55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55"/>
      <c r="B720" s="55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55"/>
      <c r="B721" s="55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55"/>
      <c r="B722" s="55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55"/>
      <c r="B723" s="55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55"/>
      <c r="B724" s="55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55"/>
      <c r="B725" s="55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55"/>
      <c r="B726" s="55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55"/>
      <c r="B727" s="55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55"/>
      <c r="B728" s="55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55"/>
      <c r="B729" s="55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55"/>
      <c r="B730" s="55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55"/>
      <c r="B731" s="55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55"/>
      <c r="B732" s="55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55"/>
      <c r="B733" s="55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55"/>
      <c r="B734" s="55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55"/>
      <c r="B735" s="55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55"/>
      <c r="B736" s="55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55"/>
      <c r="B737" s="55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55"/>
      <c r="B738" s="55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55"/>
      <c r="B739" s="55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55"/>
      <c r="B740" s="55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55"/>
      <c r="B741" s="55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55"/>
      <c r="B742" s="55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55"/>
      <c r="B743" s="55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55"/>
      <c r="B744" s="55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55"/>
      <c r="B745" s="55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55"/>
      <c r="B746" s="55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55"/>
      <c r="B747" s="55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55"/>
      <c r="B748" s="55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55"/>
      <c r="B749" s="55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55"/>
      <c r="B750" s="55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55"/>
      <c r="B751" s="55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55"/>
      <c r="B752" s="55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55"/>
      <c r="B753" s="55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55"/>
      <c r="B754" s="55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55"/>
      <c r="B755" s="55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55"/>
      <c r="B756" s="55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55"/>
      <c r="B757" s="55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55"/>
      <c r="B758" s="55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55"/>
      <c r="B759" s="55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55"/>
      <c r="B760" s="55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55"/>
      <c r="B761" s="55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55"/>
      <c r="B762" s="55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55"/>
      <c r="B763" s="55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55"/>
      <c r="B764" s="55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55"/>
      <c r="B765" s="55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55"/>
      <c r="B766" s="55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55"/>
      <c r="B767" s="55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55"/>
      <c r="B768" s="55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55"/>
      <c r="B769" s="55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55"/>
      <c r="B770" s="55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55"/>
      <c r="B771" s="55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55"/>
      <c r="B772" s="55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55"/>
      <c r="B773" s="55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55"/>
      <c r="B774" s="55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55"/>
      <c r="B775" s="55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55"/>
      <c r="B776" s="55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55"/>
      <c r="B777" s="55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55"/>
      <c r="B778" s="55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55"/>
      <c r="B779" s="55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55"/>
      <c r="B780" s="55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55"/>
      <c r="B781" s="55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55"/>
      <c r="B782" s="55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55"/>
      <c r="B783" s="55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55"/>
      <c r="B784" s="55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55"/>
      <c r="B785" s="55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55"/>
      <c r="B786" s="55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55"/>
      <c r="B787" s="55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55"/>
      <c r="B788" s="55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55"/>
      <c r="B789" s="55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55"/>
      <c r="B790" s="55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55"/>
      <c r="B791" s="55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55"/>
      <c r="B792" s="55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55"/>
      <c r="B793" s="55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55"/>
      <c r="B794" s="55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55"/>
      <c r="B795" s="55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55"/>
      <c r="B796" s="55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55"/>
      <c r="B797" s="55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55"/>
      <c r="B798" s="55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55"/>
      <c r="B799" s="55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55"/>
      <c r="B800" s="55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55"/>
      <c r="B801" s="55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55"/>
      <c r="B802" s="55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55"/>
      <c r="B803" s="55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55"/>
      <c r="B804" s="55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55"/>
      <c r="B805" s="55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55"/>
      <c r="B806" s="55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55"/>
      <c r="B807" s="55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55"/>
      <c r="B808" s="55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55"/>
      <c r="B809" s="55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55"/>
      <c r="B810" s="55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55"/>
      <c r="B811" s="55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55"/>
      <c r="B812" s="55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55"/>
      <c r="B813" s="55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55"/>
      <c r="B814" s="55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55"/>
      <c r="B815" s="55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55"/>
      <c r="B816" s="55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55"/>
      <c r="B817" s="55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55"/>
      <c r="B818" s="55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55"/>
      <c r="B819" s="55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55"/>
      <c r="B820" s="55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55"/>
      <c r="B821" s="55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55"/>
      <c r="B822" s="55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55"/>
      <c r="B823" s="55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55"/>
      <c r="B824" s="55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55"/>
      <c r="B825" s="55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55"/>
      <c r="B826" s="55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55"/>
      <c r="B827" s="55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55"/>
      <c r="B828" s="55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55"/>
      <c r="B829" s="55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55"/>
      <c r="B830" s="55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55"/>
      <c r="B831" s="55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55"/>
      <c r="B832" s="55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55"/>
      <c r="B833" s="55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55"/>
      <c r="B834" s="55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55"/>
      <c r="B835" s="55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55"/>
      <c r="B836" s="55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55"/>
      <c r="B837" s="55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55"/>
      <c r="B838" s="55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55"/>
      <c r="B839" s="55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55"/>
      <c r="B840" s="55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55"/>
      <c r="B841" s="55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55"/>
      <c r="B842" s="55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55"/>
      <c r="B843" s="55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55"/>
      <c r="B844" s="55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55"/>
      <c r="B845" s="55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55"/>
      <c r="B846" s="55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55"/>
      <c r="B847" s="55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55"/>
      <c r="B848" s="55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55"/>
      <c r="B849" s="55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55"/>
      <c r="B850" s="55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55"/>
      <c r="B851" s="55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55"/>
      <c r="B852" s="55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55"/>
      <c r="B853" s="55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55"/>
      <c r="B854" s="55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55"/>
      <c r="B855" s="55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55"/>
      <c r="B856" s="55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55"/>
      <c r="B857" s="55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55"/>
      <c r="B858" s="55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55"/>
      <c r="B859" s="55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55"/>
      <c r="B860" s="55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55"/>
      <c r="B861" s="55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55"/>
      <c r="B862" s="55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55"/>
      <c r="B863" s="55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55"/>
      <c r="B864" s="55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55"/>
      <c r="B865" s="55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55"/>
      <c r="B866" s="55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55"/>
      <c r="B867" s="55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55"/>
      <c r="B868" s="55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55"/>
      <c r="B869" s="55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55"/>
      <c r="B870" s="55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55"/>
      <c r="B871" s="55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55"/>
      <c r="B872" s="55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55"/>
      <c r="B873" s="55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55"/>
      <c r="B874" s="55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55"/>
      <c r="B875" s="55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55"/>
      <c r="B876" s="55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55"/>
      <c r="B877" s="55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55"/>
      <c r="B878" s="55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55"/>
      <c r="B879" s="55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55"/>
      <c r="B880" s="55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55"/>
      <c r="B881" s="55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55"/>
      <c r="B882" s="55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55"/>
      <c r="B883" s="55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55"/>
      <c r="B884" s="55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55"/>
      <c r="B885" s="55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55"/>
      <c r="B886" s="55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55"/>
      <c r="B887" s="55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55"/>
      <c r="B888" s="55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55"/>
      <c r="B889" s="55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55"/>
      <c r="B890" s="55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55"/>
      <c r="B891" s="55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55"/>
      <c r="B892" s="55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55"/>
      <c r="B893" s="55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55"/>
      <c r="B894" s="55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55"/>
      <c r="B895" s="55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55"/>
      <c r="B896" s="55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55"/>
      <c r="B897" s="55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55"/>
      <c r="B898" s="55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55"/>
      <c r="B899" s="55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55"/>
      <c r="B900" s="55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55"/>
      <c r="B901" s="55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55"/>
      <c r="B902" s="55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55"/>
      <c r="B903" s="55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55"/>
      <c r="B904" s="55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55"/>
      <c r="B905" s="55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55"/>
      <c r="B906" s="55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55"/>
      <c r="B907" s="55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55"/>
      <c r="B908" s="55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55"/>
      <c r="B909" s="55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55"/>
      <c r="B910" s="55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55"/>
      <c r="B911" s="55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55"/>
      <c r="B912" s="55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55"/>
      <c r="B913" s="55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55"/>
      <c r="B914" s="55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55"/>
      <c r="B915" s="55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55"/>
      <c r="B916" s="55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55"/>
      <c r="B917" s="55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55"/>
      <c r="B918" s="55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55"/>
      <c r="B919" s="55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55"/>
      <c r="B920" s="55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55"/>
      <c r="B921" s="55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55"/>
      <c r="B922" s="55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55"/>
      <c r="B923" s="55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55"/>
      <c r="B924" s="55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55"/>
      <c r="B925" s="55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55"/>
      <c r="B926" s="55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55"/>
      <c r="B927" s="55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55"/>
      <c r="B928" s="55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55"/>
      <c r="B929" s="55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55"/>
      <c r="B930" s="55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55"/>
      <c r="B931" s="55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55"/>
      <c r="B932" s="55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55"/>
      <c r="B933" s="55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55"/>
      <c r="B934" s="55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55"/>
      <c r="B935" s="55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55"/>
      <c r="B936" s="55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55"/>
      <c r="B937" s="55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55"/>
      <c r="B938" s="55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55"/>
      <c r="B939" s="55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55"/>
      <c r="B940" s="55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55"/>
      <c r="B941" s="55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55"/>
      <c r="B942" s="55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55"/>
      <c r="B943" s="55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55"/>
      <c r="B944" s="55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55"/>
      <c r="B945" s="55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55"/>
      <c r="B946" s="55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55"/>
      <c r="B947" s="55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55"/>
      <c r="B948" s="55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55"/>
      <c r="B949" s="55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55"/>
      <c r="B950" s="55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55"/>
      <c r="B951" s="55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55"/>
      <c r="B952" s="55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55"/>
      <c r="B953" s="55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55"/>
      <c r="B954" s="55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55"/>
      <c r="B955" s="55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55"/>
      <c r="B956" s="55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55"/>
      <c r="B957" s="55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55"/>
      <c r="B958" s="55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55"/>
      <c r="B959" s="55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55"/>
      <c r="B960" s="55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55"/>
      <c r="B961" s="55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55"/>
      <c r="B962" s="55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55"/>
      <c r="B963" s="55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55"/>
      <c r="B964" s="55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55"/>
      <c r="B965" s="55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55"/>
      <c r="B966" s="55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55"/>
      <c r="B967" s="55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55"/>
      <c r="B968" s="55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55"/>
      <c r="B969" s="55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55"/>
      <c r="B970" s="55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55"/>
      <c r="B971" s="55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55"/>
      <c r="B972" s="55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55"/>
      <c r="B973" s="55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55"/>
      <c r="B974" s="55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55"/>
      <c r="B975" s="55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55"/>
      <c r="B976" s="55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55"/>
      <c r="B977" s="55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55"/>
      <c r="B978" s="55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55"/>
      <c r="B979" s="55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55"/>
      <c r="B980" s="55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55"/>
      <c r="B981" s="55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55"/>
      <c r="B982" s="55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55"/>
      <c r="B983" s="55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55"/>
      <c r="B984" s="55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55"/>
      <c r="B985" s="55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55"/>
      <c r="B986" s="55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55"/>
      <c r="B987" s="55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55"/>
      <c r="B988" s="55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55"/>
      <c r="B989" s="55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55"/>
      <c r="B990" s="55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55"/>
      <c r="B991" s="55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55"/>
      <c r="B992" s="55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55"/>
      <c r="B993" s="55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55"/>
      <c r="B994" s="55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55"/>
      <c r="B995" s="55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55"/>
      <c r="B996" s="55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55"/>
      <c r="B997" s="55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55"/>
      <c r="B998" s="55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55"/>
      <c r="B999" s="55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55"/>
      <c r="B1000" s="55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5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15.75" customHeight="1">
      <c r="A1002" s="103" t="s">
        <v>241</v>
      </c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ht="15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ht="15.75" customHeight="1">
      <c r="A1004" s="104" t="s">
        <v>242</v>
      </c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ht="15.75" customHeight="1">
      <c r="A1005" s="104" t="s">
        <v>243</v>
      </c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ht="15.75" customHeight="1">
      <c r="A1006" s="104" t="s">
        <v>244</v>
      </c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ht="15.75" customHeight="1">
      <c r="A1007" s="104" t="s">
        <v>245</v>
      </c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ht="15.75" customHeight="1">
      <c r="A1008" s="104" t="s">
        <v>246</v>
      </c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ht="15.75" customHeight="1">
      <c r="A1009" s="104" t="s">
        <v>247</v>
      </c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ht="15.75" customHeight="1">
      <c r="A1010" s="104" t="s">
        <v>248</v>
      </c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ht="15.75" customHeight="1">
      <c r="A1011" s="104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ht="15.75" customHeight="1">
      <c r="A1012" s="104" t="s">
        <v>249</v>
      </c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ht="15.75" customHeight="1">
      <c r="A1013" s="105" t="s">
        <v>250</v>
      </c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ht="15.75" customHeight="1">
      <c r="A1014" s="105" t="s">
        <v>251</v>
      </c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ht="15.75" customHeight="1">
      <c r="A1015" s="105" t="s">
        <v>252</v>
      </c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ht="15.75" customHeight="1">
      <c r="A1016" s="105" t="s">
        <v>253</v>
      </c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ht="15.75" customHeight="1">
      <c r="A1017" s="104"/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ht="15.75" customHeight="1">
      <c r="A1018" s="104" t="s">
        <v>254</v>
      </c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</sheetData>
  <printOptions/>
  <pageMargins bottom="0.75" footer="0.0" header="0.0" left="0.7" right="0.7" top="0.75"/>
  <pageSetup orientation="landscape"/>
  <drawing r:id="rId1"/>
</worksheet>
</file>