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sson-database" sheetId="1" state="visible" r:id="rId3"/>
    <sheet name="Dashboard" sheetId="2" state="visible" r:id="rId4"/>
    <sheet name="Weekly" sheetId="3" state="visible" r:id="rId5"/>
    <sheet name="How-T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<sst xmlns="http://schemas.openxmlformats.org/spreadsheetml/2006/main" count="360" uniqueCount="182">
  <si>
    <t xml:space="preserve">🧠 MEDICAL SRS — Only touch columns E (Last Review) and F (Mastery) — everything else auto-calculates</t>
  </si>
  <si>
    <t xml:space="preserve">#</t>
  </si>
  <si>
    <t xml:space="preserve">Module</t>
  </si>
  <si>
    <t xml:space="preserve">Subject</t>
  </si>
  <si>
    <t xml:space="preserve">Topic</t>
  </si>
  <si>
    <t xml:space="preserve">Last Review</t>
  </si>
  <si>
    <t xml:space="preserve">Mastery</t>
  </si>
  <si>
    <t xml:space="preserve">Interval</t>
  </si>
  <si>
    <t xml:space="preserve">Next Review</t>
  </si>
  <si>
    <t xml:space="preserve">Status</t>
  </si>
  <si>
    <t xml:space="preserve">Priority</t>
  </si>
  <si>
    <t xml:space="preserve">Synced</t>
  </si>
  <si>
    <t xml:space="preserve">Traumato</t>
  </si>
  <si>
    <t xml:space="preserve">Tramatologie</t>
  </si>
  <si>
    <t xml:space="preserve">Fractures de l'extrémité supérieur du fémur</t>
  </si>
  <si>
    <t xml:space="preserve">Fractures du genou</t>
  </si>
  <si>
    <t xml:space="preserve">Fc coude + Avant bras</t>
  </si>
  <si>
    <t xml:space="preserve">Fractures de la diaphyse humérale</t>
  </si>
  <si>
    <t xml:space="preserve">Fractures de la palette humérale</t>
  </si>
  <si>
    <t xml:space="preserve">Fractures du poignet (scaphoide)</t>
  </si>
  <si>
    <t xml:space="preserve">Infections de la main</t>
  </si>
  <si>
    <t xml:space="preserve">Traumas du bassin / Luxation de la hanche</t>
  </si>
  <si>
    <t xml:space="preserve">Lésions méniscoligamentaires du genou</t>
  </si>
  <si>
    <t xml:space="preserve">Trauma de la cheville</t>
  </si>
  <si>
    <t xml:space="preserve">Traumatismes vasculaires</t>
  </si>
  <si>
    <t xml:space="preserve">Fracture du fémur</t>
  </si>
  <si>
    <t xml:space="preserve">Fracture de la jambe</t>
  </si>
  <si>
    <t xml:space="preserve">Traumas de l'épaule</t>
  </si>
  <si>
    <t xml:space="preserve">Plaies de la main</t>
  </si>
  <si>
    <t xml:space="preserve">Fractures de la main</t>
  </si>
  <si>
    <t xml:space="preserve">Traumas des nerfs périphériques</t>
  </si>
  <si>
    <t xml:space="preserve">Tumeurs osseuses</t>
  </si>
  <si>
    <t xml:space="preserve">Tumeurs des parties molles</t>
  </si>
  <si>
    <t xml:space="preserve">Rhumato</t>
  </si>
  <si>
    <t xml:space="preserve">Rhumatologie</t>
  </si>
  <si>
    <t xml:space="preserve">Introd à la rhuamato</t>
  </si>
  <si>
    <t xml:space="preserve">Mono-arthrite</t>
  </si>
  <si>
    <t xml:space="preserve">Epaule douloureuse</t>
  </si>
  <si>
    <t xml:space="preserve">Hanche douloureuse</t>
  </si>
  <si>
    <t xml:space="preserve">Radiculalgie des membres</t>
  </si>
  <si>
    <t xml:space="preserve">Ostéoporose</t>
  </si>
  <si>
    <t xml:space="preserve">Ostéomalacie</t>
  </si>
  <si>
    <t xml:space="preserve">Hypercalcémies</t>
  </si>
  <si>
    <t xml:space="preserve">Ab-articulaire</t>
  </si>
  <si>
    <t xml:space="preserve">Algodystrophie</t>
  </si>
  <si>
    <t xml:space="preserve">Sd du canal carpien</t>
  </si>
  <si>
    <t xml:space="preserve">CAT devant rhumatisme inflammatoire débutant</t>
  </si>
  <si>
    <t xml:space="preserve">Polyarthrite rhumatoide</t>
  </si>
  <si>
    <t xml:space="preserve">Goutte</t>
  </si>
  <si>
    <t xml:space="preserve">Arthrose</t>
  </si>
  <si>
    <t xml:space="preserve">Lombalgies</t>
  </si>
  <si>
    <t xml:space="preserve">Tuberculose ostéo-articulaire</t>
  </si>
  <si>
    <t xml:space="preserve">Spondylarthrite ankylosante</t>
  </si>
  <si>
    <t xml:space="preserve">MPR</t>
  </si>
  <si>
    <t xml:space="preserve">Handicap</t>
  </si>
  <si>
    <t xml:space="preserve">Intervenants et thérapies en MPR</t>
  </si>
  <si>
    <t xml:space="preserve">Appareillages et aides techniques</t>
  </si>
  <si>
    <t xml:space="preserve">MPR et domaines d'interventions</t>
  </si>
  <si>
    <t xml:space="preserve">L'activité physique</t>
  </si>
  <si>
    <t xml:space="preserve">Anapath</t>
  </si>
  <si>
    <t xml:space="preserve">Anatomopathologie</t>
  </si>
  <si>
    <t xml:space="preserve">Tumeurs de l'estomac</t>
  </si>
  <si>
    <t xml:space="preserve">Tumeurs du foie</t>
  </si>
  <si>
    <t xml:space="preserve">Polypes et polyposes digestives</t>
  </si>
  <si>
    <t xml:space="preserve">Cancers colo-rectales</t>
  </si>
  <si>
    <t xml:space="preserve">Cancer du sein</t>
  </si>
  <si>
    <t xml:space="preserve">Tumeurs broncho-pulmonaires</t>
  </si>
  <si>
    <t xml:space="preserve">Mastopathies bénignes</t>
  </si>
  <si>
    <t xml:space="preserve">Lymphome d'Hogking</t>
  </si>
  <si>
    <t xml:space="preserve">Tumeur de l'ovaire</t>
  </si>
  <si>
    <t xml:space="preserve">Pathologies de l'oesophage</t>
  </si>
  <si>
    <t xml:space="preserve">Tumeurs de la vessie</t>
  </si>
  <si>
    <t xml:space="preserve">Cancer du prostate</t>
  </si>
  <si>
    <t xml:space="preserve">Cancer du testicule</t>
  </si>
  <si>
    <t xml:space="preserve">Tumerus du rein</t>
  </si>
  <si>
    <t xml:space="preserve">Cancer du col utérin</t>
  </si>
  <si>
    <t xml:space="preserve">Syst</t>
  </si>
  <si>
    <t xml:space="preserve">Maladies de système</t>
  </si>
  <si>
    <t xml:space="preserve">Lupus</t>
  </si>
  <si>
    <t xml:space="preserve">Sclérodermie systémique</t>
  </si>
  <si>
    <t xml:space="preserve">Vascularites systémiques</t>
  </si>
  <si>
    <t xml:space="preserve">Maladie de Behçet</t>
  </si>
  <si>
    <t xml:space="preserve">Sd de Gougerot-sjogren</t>
  </si>
  <si>
    <t xml:space="preserve">Vascularites + Artérite à cellules géantes</t>
  </si>
  <si>
    <t xml:space="preserve">Phénomène de Raynaud</t>
  </si>
  <si>
    <t xml:space="preserve">Maladie de Takayasu</t>
  </si>
  <si>
    <t xml:space="preserve">Myopathies inflammatoires</t>
  </si>
  <si>
    <t xml:space="preserve">SAPL</t>
  </si>
  <si>
    <t xml:space="preserve">Génétique</t>
  </si>
  <si>
    <t xml:space="preserve">Modes de transmission des maladies génétiques</t>
  </si>
  <si>
    <t xml:space="preserve">Introduction à la génétique</t>
  </si>
  <si>
    <t xml:space="preserve">Génétique des populations</t>
  </si>
  <si>
    <t xml:space="preserve">Mutations : classification et nomenclature</t>
  </si>
  <si>
    <t xml:space="preserve">Caryotype</t>
  </si>
  <si>
    <t xml:space="preserve">La pathologie chromosomique</t>
  </si>
  <si>
    <t xml:space="preserve">Exemples de pathologies autosomes / gonosomes</t>
  </si>
  <si>
    <t xml:space="preserve">Conseil génétique</t>
  </si>
  <si>
    <t xml:space="preserve">Diagnostic anténatal</t>
  </si>
  <si>
    <t xml:space="preserve">SMA</t>
  </si>
  <si>
    <t xml:space="preserve">Sd de l'X fragil</t>
  </si>
  <si>
    <t xml:space="preserve">Sd de Prader Willi</t>
  </si>
  <si>
    <t xml:space="preserve">Immuno</t>
  </si>
  <si>
    <t xml:space="preserve">Introduction à l'immuno</t>
  </si>
  <si>
    <t xml:space="preserve">Déficits immunitaires</t>
  </si>
  <si>
    <t xml:space="preserve">Hypersensibilité immédiate et allergie</t>
  </si>
  <si>
    <t xml:space="preserve">Hypersensibilité type 2 et 3</t>
  </si>
  <si>
    <t xml:space="preserve">Hypersensibilité type 4</t>
  </si>
  <si>
    <t xml:space="preserve">Auto-immunité et maladies auto-immunes</t>
  </si>
  <si>
    <t xml:space="preserve">Immunité anti-infectieuse</t>
  </si>
  <si>
    <t xml:space="preserve">Immunité anti-tumorale</t>
  </si>
  <si>
    <t xml:space="preserve">Vaccination</t>
  </si>
  <si>
    <t xml:space="preserve">Anticorps monoclonaux</t>
  </si>
  <si>
    <t xml:space="preserve">Immunosupresseurs</t>
  </si>
  <si>
    <t xml:space="preserve">🧠 STUDY COMMAND CENTER</t>
  </si>
  <si>
    <t xml:space="preserve">📅 TODAY</t>
  </si>
  <si>
    <t xml:space="preserve">🎯 EXAM</t>
  </si>
  <si>
    <t xml:space="preserve">⏳ DAYS LEFT</t>
  </si>
  <si>
    <t xml:space="preserve">🔴 OVERDUE</t>
  </si>
  <si>
    <t xml:space="preserve">🟢 DUE TODAY</t>
  </si>
  <si>
    <t xml:space="preserve">🔵 TOMORROW</t>
  </si>
  <si>
    <t xml:space="preserve">📅 THIS WEEK</t>
  </si>
  <si>
    <t xml:space="preserve">📊 PROGRESS</t>
  </si>
  <si>
    <t xml:space="preserve">🎓 MASTERY LEVELS</t>
  </si>
  <si>
    <t xml:space="preserve">Total Lessons</t>
  </si>
  <si>
    <t xml:space="preserve">Level 0</t>
  </si>
  <si>
    <t xml:space="preserve">🟥</t>
  </si>
  <si>
    <t xml:space="preserve">Started</t>
  </si>
  <si>
    <t xml:space="preserve">Level 1</t>
  </si>
  <si>
    <t xml:space="preserve">🟧</t>
  </si>
  <si>
    <t xml:space="preserve">Not Started</t>
  </si>
  <si>
    <t xml:space="preserve">Level 2</t>
  </si>
  <si>
    <t xml:space="preserve">🟨</t>
  </si>
  <si>
    <t xml:space="preserve">Mastered (≥4)</t>
  </si>
  <si>
    <t xml:space="preserve">Level 3</t>
  </si>
  <si>
    <t xml:space="preserve">🟩</t>
  </si>
  <si>
    <t xml:space="preserve">Completion %</t>
  </si>
  <si>
    <t xml:space="preserve">Level 4</t>
  </si>
  <si>
    <t xml:space="preserve">🟦</t>
  </si>
  <si>
    <t xml:space="preserve">Level 5</t>
  </si>
  <si>
    <t xml:space="preserve">🟪</t>
  </si>
  <si>
    <t xml:space="preserve">📚 BY MODULE</t>
  </si>
  <si>
    <t xml:space="preserve">⏱️ TODAY'S WORKLOAD</t>
  </si>
  <si>
    <t xml:space="preserve">Total</t>
  </si>
  <si>
    <t xml:space="preserve">Avg Mastery</t>
  </si>
  <si>
    <t xml:space="preserve">Reviews due:</t>
  </si>
  <si>
    <t xml:space="preserve">Est. time (min):</t>
  </si>
  <si>
    <t xml:space="preserve">📅 7-DAY FORECAST</t>
  </si>
  <si>
    <t xml:space="preserve">Day</t>
  </si>
  <si>
    <t xml:space="preserve">Date</t>
  </si>
  <si>
    <t xml:space="preserve">Reviews Due</t>
  </si>
  <si>
    <t xml:space="preserve">Load</t>
  </si>
  <si>
    <t xml:space="preserve">New Available</t>
  </si>
  <si>
    <t xml:space="preserve">Total Work</t>
  </si>
  <si>
    <t xml:space="preserve">Cumulative</t>
  </si>
  <si>
    <t xml:space="preserve">TOTAL</t>
  </si>
  <si>
    <t xml:space="preserve">🧠 HOW TO USE THIS SYSTEM</t>
  </si>
  <si>
    <t xml:space="preserve">DAILY ROUTINE — 2 minutes of admin, rest is pure studying:</t>
  </si>
  <si>
    <t xml:space="preserve">1️⃣  Open lesson-database → Filter Status column:</t>
  </si>
  <si>
    <t xml:space="preserve">     • First: do all 🔴 OVERDUE items (highest priority)</t>
  </si>
  <si>
    <t xml:space="preserve">     • Then: do all 🟢 TODAY items</t>
  </si>
  <si>
    <t xml:space="preserve">     • If time left: pick ⚪ NEW items to start</t>
  </si>
  <si>
    <t xml:space="preserve">2️⃣  After studying a lesson, update TWO cells only:</t>
  </si>
  <si>
    <t xml:space="preserve">     • Column E (Last Review) → Press Ctrl+; to insert today's date</t>
  </si>
  <si>
    <t xml:space="preserve">     • Column F (Mastery) → Set your confidence level:</t>
  </si>
  <si>
    <t xml:space="preserve">        0 = Forgot everything → review tomorrow</t>
  </si>
  <si>
    <t xml:space="preserve">        1 = Hard recall → review in 3 days</t>
  </si>
  <si>
    <t xml:space="preserve">        2 = Medium recall → review in 7 days</t>
  </si>
  <si>
    <t xml:space="preserve">        3 = Easy recall → review in 14 days</t>
  </si>
  <si>
    <t xml:space="preserve">        4 = Confident → review in 30 days</t>
  </si>
  <si>
    <t xml:space="preserve">        5 = Mastered → review in 60 days</t>
  </si>
  <si>
    <t xml:space="preserve">3️⃣  Everything else auto-calculates. Calendar syncs automatically.</t>
  </si>
  <si>
    <t xml:space="preserve">═══════════════════════════════════════════════════</t>
  </si>
  <si>
    <t xml:space="preserve">IF YOU MISS DAYS — DON'T PANIC:</t>
  </si>
  <si>
    <t xml:space="preserve">  • Overdue items show as 🔴 OVERDUE automatically</t>
  </si>
  <si>
    <t xml:space="preserve">  • Just review them when you can</t>
  </si>
  <si>
    <t xml:space="preserve">  • When you review, set mastery based on how well you remember</t>
  </si>
  <si>
    <t xml:space="preserve">  • The system recalculates — no need to "fix" anything</t>
  </si>
  <si>
    <t xml:space="preserve">  • Tip: if overwhelmed, reset mastery to 0 for forgotten items</t>
  </si>
  <si>
    <t xml:space="preserve">KEYBOARD SHORTCUTS:</t>
  </si>
  <si>
    <t xml:space="preserve">  Ctrl+; → Insert today's date</t>
  </si>
  <si>
    <t xml:space="preserve">  Ctrl+Shift+L → Toggle filters</t>
  </si>
  <si>
    <t xml:space="preserve">  Alt+↓ → Open filter dropdown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</si>
</sst>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yyyy\-mm\-dd"/>
    <numFmt numFmtId="167" formatCode="dddd&quot;, &quot;mmm\ dd"/>
    <numFmt numFmtId="168" formatCode="mmm\ dd&quot;, &quot;yyyy"/>
    <numFmt numFmtId="169" formatCode="0.0%"/>
    <numFmt numFmtId="170" formatCode="0.0"/>
    <numFmt numFmtId="171" formatCode="mmm\ dd"/>
    <numFmt numFmtId="172" formatCode="0&quot; min&quot;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9"/>
      <color rgb="FF8E8EA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6"/>
      <color rgb="FF2C3E6B"/>
      <name val="Arial"/>
      <family val="0"/>
      <charset val="1"/>
    </font>
    <font>
      <b val="true"/>
      <sz val="10"/>
      <color rgb="FF8E8EA0"/>
      <name val="Arial"/>
      <family val="0"/>
      <charset val="1"/>
    </font>
    <font>
      <b val="true"/>
      <sz val="18"/>
      <color rgb="FF2C3E6B"/>
      <name val="Arial"/>
      <family val="0"/>
      <charset val="1"/>
    </font>
    <font>
      <b val="true"/>
      <sz val="10"/>
      <color rgb="FFE74C3C"/>
      <name val="Arial"/>
      <family val="0"/>
      <charset val="1"/>
    </font>
    <font>
      <b val="true"/>
      <sz val="10"/>
      <color rgb="FF2ECC71"/>
      <name val="Arial"/>
      <family val="0"/>
      <charset val="1"/>
    </font>
    <font>
      <b val="true"/>
      <sz val="10"/>
      <color rgb="FF5B86E5"/>
      <name val="Arial"/>
      <family val="0"/>
      <charset val="1"/>
    </font>
    <font>
      <b val="true"/>
      <sz val="10"/>
      <color rgb="FFE67E22"/>
      <name val="Arial"/>
      <family val="0"/>
      <charset val="1"/>
    </font>
    <font>
      <b val="true"/>
      <sz val="24"/>
      <color rgb="FFE74C3C"/>
      <name val="Arial"/>
      <family val="0"/>
      <charset val="1"/>
    </font>
    <font>
      <b val="true"/>
      <sz val="24"/>
      <color rgb="FF2ECC71"/>
      <name val="Arial"/>
      <family val="0"/>
      <charset val="1"/>
    </font>
    <font>
      <b val="true"/>
      <sz val="24"/>
      <color rgb="FF5B86E5"/>
      <name val="Arial"/>
      <family val="0"/>
      <charset val="1"/>
    </font>
    <font>
      <b val="true"/>
      <sz val="24"/>
      <color rgb="FFE67E22"/>
      <name val="Arial"/>
      <family val="0"/>
      <charset val="1"/>
    </font>
    <font>
      <b val="true"/>
      <sz val="11"/>
      <color rgb="FF5B86E5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4"/>
      <name val="Cambria"/>
      <family val="0"/>
      <charset val="1"/>
    </font>
    <font>
      <b val="true"/>
      <sz val="20"/>
      <color rgb="FF2C3E6B"/>
      <name val="Arial"/>
      <family val="0"/>
      <charset val="1"/>
    </font>
    <font>
      <b val="true"/>
      <sz val="20"/>
      <color rgb="FF5B86E5"/>
      <name val="Arial"/>
      <family val="0"/>
      <charset val="1"/>
    </font>
    <font>
      <b val="true"/>
      <sz val="14"/>
      <color rgb="FF2C3E6B"/>
      <name val="Arial"/>
      <family val="0"/>
      <charset val="1"/>
    </font>
    <font>
      <b val="true"/>
      <sz val="11"/>
      <color rgb="FFE74C3C"/>
      <name val="Arial"/>
      <family val="0"/>
      <charset val="1"/>
    </font>
    <font>
      <b val="true"/>
      <sz val="11"/>
      <color rgb="FFE67E2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A237E"/>
        <bgColor rgb="FF2C3E6B"/>
      </patternFill>
    </fill>
    <fill>
      <patternFill patternType="solid">
        <fgColor rgb="FF2C3E6B"/>
        <bgColor rgb="FF333333"/>
      </patternFill>
    </fill>
    <fill>
      <patternFill patternType="solid">
        <fgColor rgb="FFFFFFFF"/>
        <bgColor rgb="FFF7F8FC"/>
      </patternFill>
    </fill>
    <fill>
      <patternFill patternType="solid">
        <fgColor rgb="FFF7F8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4D6DE"/>
      </left>
      <right style="thin">
        <color rgb="FFD4D6DE"/>
      </right>
      <top style="thin">
        <color rgb="FFD4D6DE"/>
      </top>
      <bottom style="thin">
        <color rgb="FFD4D6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EBEE"/>
        </patternFill>
      </fill>
    </dxf>
    <dxf>
      <fill>
        <patternFill>
          <bgColor rgb="FFFFF8E1"/>
        </patternFill>
      </fill>
    </dxf>
    <dxf>
      <fill>
        <patternFill>
          <bgColor rgb="FFE8F5E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1"/>
      <rgbColor rgb="FFE8F5E9"/>
      <rgbColor rgb="FF660066"/>
      <rgbColor rgb="FFE74C3C"/>
      <rgbColor rgb="FF0066CC"/>
      <rgbColor rgb="FFD4D6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8FC"/>
      <rgbColor rgb="FFCCFFCC"/>
      <rgbColor rgb="FFFFEBEE"/>
      <rgbColor rgb="FF99CCFF"/>
      <rgbColor rgb="FFFF99CC"/>
      <rgbColor rgb="FFCC99FF"/>
      <rgbColor rgb="FFFFCC99"/>
      <rgbColor rgb="FF5B86E5"/>
      <rgbColor rgb="FF36D1DC"/>
      <rgbColor rgb="FF99CC00"/>
      <rgbColor rgb="FFF1C40F"/>
      <rgbColor rgb="FFFF9900"/>
      <rgbColor rgb="FFE67E22"/>
      <rgbColor rgb="FF666699"/>
      <rgbColor rgb="FF8E8EA0"/>
      <rgbColor rgb="FF1A237E"/>
      <rgbColor rgb="FF2ECC71"/>
      <rgbColor rgb="FF003300"/>
      <rgbColor rgb="FF333300"/>
      <rgbColor rgb="FF993300"/>
      <rgbColor rgb="FF993366"/>
      <rgbColor rgb="FF2C3E6B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86E5"/>
    <pageSetUpPr fitToPage="false"/>
  </sheetPr>
  <dimension ref="A1:K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48"/>
    <col collapsed="false" customWidth="true" hidden="false" outlineLevel="0" max="5" min="5" style="1" width="14"/>
    <col collapsed="false" customWidth="true" hidden="false" outlineLevel="0" max="7" min="6" style="1" width="10"/>
    <col collapsed="false" customWidth="true" hidden="false" outlineLevel="0" max="9" min="8" style="1" width="14"/>
    <col collapsed="false" customWidth="true" hidden="false" outlineLevel="0" max="10" min="10" style="1" width="10"/>
    <col collapsed="false" customWidth="true" hidden="false" outlineLevel="0" max="11" min="11" style="1" width="8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tru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</row>
    <row r="3" customFormat="false" ht="15" hidden="false" customHeight="true" outlineLevel="0" collapsed="false">
      <c r="A3" s="4" t="n">
        <f aca="false">ROW()-2</f>
        <v>1</v>
      </c>
      <c r="B3" s="5" t="s">
        <v>12</v>
      </c>
      <c r="C3" s="5" t="s">
        <v>13</v>
      </c>
      <c r="D3" s="6" t="s">
        <v>14</v>
      </c>
      <c r="E3" s="7" t="n">
        <v>46071</v>
      </c>
      <c r="F3" s="8" t="n">
        <v>0</v>
      </c>
      <c r="G3" s="9" t="n">
        <f aca="false">IF(F3=0,1,IF(F3=1,3,IF(F3=2,7,IF(F3=3,14,IF(F3=4,30,60)))))</f>
        <v>1</v>
      </c>
      <c r="H3" s="10" t="n">
        <f aca="false">IF(E3="","",E3+G3)</f>
        <v>46072</v>
      </c>
      <c r="I3" s="11" t="str">
        <f aca="true">IF(E3="","⚪ NEW",IF(F3&gt;=5,"✅ DONE",IF(H3&lt;TODAY(),"🔴 OVERDUE",IF(H3=TODAY(),"🟢 TODAY",IF(H3=TODAY()+1,"🔵 TOMORROW",IF(H3&lt;=TODAY()+7,"📅 THIS WEEK","⏳ SCHEDULED"))))))</f>
        <v>🔴 OVERDUE</v>
      </c>
      <c r="J3" s="4" t="n">
        <f aca="true">IF(E3="",999,IF(F3&gt;=5,9999,IF(H3="",999,H3-TODAY())))</f>
        <v>-37</v>
      </c>
      <c r="K3" s="12"/>
    </row>
    <row r="4" customFormat="false" ht="15" hidden="false" customHeight="true" outlineLevel="0" collapsed="false">
      <c r="A4" s="13" t="n">
        <f aca="false">ROW()-2</f>
        <v>2</v>
      </c>
      <c r="B4" s="14" t="s">
        <v>12</v>
      </c>
      <c r="C4" s="14" t="s">
        <v>13</v>
      </c>
      <c r="D4" s="15" t="s">
        <v>15</v>
      </c>
      <c r="E4" s="7" t="n">
        <v>46071</v>
      </c>
      <c r="F4" s="8" t="n">
        <v>0</v>
      </c>
      <c r="G4" s="16" t="n">
        <f aca="false">IF(F4=0,1,IF(F4=1,3,IF(F4=2,7,IF(F4=3,14,IF(F4=4,30,60)))))</f>
        <v>1</v>
      </c>
      <c r="H4" s="17" t="n">
        <f aca="false">IF(E4="","",E4+G4)</f>
        <v>46072</v>
      </c>
      <c r="I4" s="18" t="str">
        <f aca="true">IF(E4="","⚪ NEW",IF(F4&gt;=5,"✅ DONE",IF(H4&lt;TODAY(),"🔴 OVERDUE",IF(H4=TODAY(),"🟢 TODAY",IF(H4=TODAY()+1,"🔵 TOMORROW",IF(H4&lt;=TODAY()+7,"📅 THIS WEEK","⏳ SCHEDULED"))))))</f>
        <v>🔴 OVERDUE</v>
      </c>
      <c r="J4" s="13" t="n">
        <f aca="true">IF(E4="",999,IF(F4&gt;=5,9999,IF(H4="",999,H4-TODAY())))</f>
        <v>-37</v>
      </c>
      <c r="K4" s="19"/>
    </row>
    <row r="5" customFormat="false" ht="15" hidden="false" customHeight="true" outlineLevel="0" collapsed="false">
      <c r="A5" s="4" t="n">
        <f aca="false">ROW()-2</f>
        <v>3</v>
      </c>
      <c r="B5" s="5" t="s">
        <v>12</v>
      </c>
      <c r="C5" s="5" t="s">
        <v>13</v>
      </c>
      <c r="D5" s="6" t="s">
        <v>16</v>
      </c>
      <c r="E5" s="20"/>
      <c r="F5" s="8" t="n">
        <v>0</v>
      </c>
      <c r="G5" s="9" t="n">
        <f aca="false">IF(F5=0,1,IF(F5=1,3,IF(F5=2,7,IF(F5=3,14,IF(F5=4,30,60)))))</f>
        <v>1</v>
      </c>
      <c r="H5" s="10" t="str">
        <f aca="false">IF(E5="","",E5+G5)</f>
        <v/>
      </c>
      <c r="I5" s="11" t="str">
        <f aca="true">IF(E5="","⚪ NEW",IF(F5&gt;=5,"✅ DONE",IF(H5&lt;TODAY(),"🔴 OVERDUE",IF(H5=TODAY(),"🟢 TODAY",IF(H5=TODAY()+1,"🔵 TOMORROW",IF(H5&lt;=TODAY()+7,"📅 THIS WEEK","⏳ SCHEDULED"))))))</f>
        <v>⚪ NEW</v>
      </c>
      <c r="J5" s="4" t="n">
        <f aca="true">IF(E5="",999,IF(F5&gt;=5,9999,IF(H5="",999,H5-TODAY())))</f>
        <v>999</v>
      </c>
      <c r="K5" s="12"/>
    </row>
    <row r="6" customFormat="false" ht="15" hidden="false" customHeight="true" outlineLevel="0" collapsed="false">
      <c r="A6" s="13" t="n">
        <f aca="false">ROW()-2</f>
        <v>4</v>
      </c>
      <c r="B6" s="14" t="s">
        <v>12</v>
      </c>
      <c r="C6" s="14" t="s">
        <v>13</v>
      </c>
      <c r="D6" s="15" t="s">
        <v>17</v>
      </c>
      <c r="E6" s="20"/>
      <c r="F6" s="8" t="n">
        <v>0</v>
      </c>
      <c r="G6" s="16" t="n">
        <f aca="false">IF(F6=0,1,IF(F6=1,3,IF(F6=2,7,IF(F6=3,14,IF(F6=4,30,60)))))</f>
        <v>1</v>
      </c>
      <c r="H6" s="17" t="str">
        <f aca="false">IF(E6="","",E6+G6)</f>
        <v/>
      </c>
      <c r="I6" s="18" t="str">
        <f aca="true">IF(E6="","⚪ NEW",IF(F6&gt;=5,"✅ DONE",IF(H6&lt;TODAY(),"🔴 OVERDUE",IF(H6=TODAY(),"🟢 TODAY",IF(H6=TODAY()+1,"🔵 TOMORROW",IF(H6&lt;=TODAY()+7,"📅 THIS WEEK","⏳ SCHEDULED"))))))</f>
        <v>⚪ NEW</v>
      </c>
      <c r="J6" s="13" t="n">
        <f aca="true">IF(E6="",999,IF(F6&gt;=5,9999,IF(H6="",999,H6-TODAY())))</f>
        <v>999</v>
      </c>
      <c r="K6" s="19"/>
    </row>
    <row r="7" customFormat="false" ht="15" hidden="false" customHeight="true" outlineLevel="0" collapsed="false">
      <c r="A7" s="4" t="n">
        <f aca="false">ROW()-2</f>
        <v>5</v>
      </c>
      <c r="B7" s="5" t="s">
        <v>12</v>
      </c>
      <c r="C7" s="5" t="s">
        <v>13</v>
      </c>
      <c r="D7" s="6" t="s">
        <v>18</v>
      </c>
      <c r="E7" s="20"/>
      <c r="F7" s="8" t="n">
        <v>0</v>
      </c>
      <c r="G7" s="9" t="n">
        <f aca="false">IF(F7=0,1,IF(F7=1,3,IF(F7=2,7,IF(F7=3,14,IF(F7=4,30,60)))))</f>
        <v>1</v>
      </c>
      <c r="H7" s="10" t="str">
        <f aca="false">IF(E7="","",E7+G7)</f>
        <v/>
      </c>
      <c r="I7" s="11" t="str">
        <f aca="true">IF(E7="","⚪ NEW",IF(F7&gt;=5,"✅ DONE",IF(H7&lt;TODAY(),"🔴 OVERDUE",IF(H7=TODAY(),"🟢 TODAY",IF(H7=TODAY()+1,"🔵 TOMORROW",IF(H7&lt;=TODAY()+7,"📅 THIS WEEK","⏳ SCHEDULED"))))))</f>
        <v>⚪ NEW</v>
      </c>
      <c r="J7" s="4" t="n">
        <f aca="true">IF(E7="",999,IF(F7&gt;=5,9999,IF(H7="",999,H7-TODAY())))</f>
        <v>999</v>
      </c>
      <c r="K7" s="12"/>
    </row>
    <row r="8" customFormat="false" ht="15" hidden="false" customHeight="true" outlineLevel="0" collapsed="false">
      <c r="A8" s="13" t="n">
        <f aca="false">ROW()-2</f>
        <v>6</v>
      </c>
      <c r="B8" s="14" t="s">
        <v>12</v>
      </c>
      <c r="C8" s="14" t="s">
        <v>13</v>
      </c>
      <c r="D8" s="15" t="s">
        <v>19</v>
      </c>
      <c r="E8" s="20"/>
      <c r="F8" s="8" t="n">
        <v>0</v>
      </c>
      <c r="G8" s="16" t="n">
        <f aca="false">IF(F8=0,1,IF(F8=1,3,IF(F8=2,7,IF(F8=3,14,IF(F8=4,30,60)))))</f>
        <v>1</v>
      </c>
      <c r="H8" s="17" t="str">
        <f aca="false">IF(E8="","",E8+G8)</f>
        <v/>
      </c>
      <c r="I8" s="18" t="str">
        <f aca="true">IF(E8="","⚪ NEW",IF(F8&gt;=5,"✅ DONE",IF(H8&lt;TODAY(),"🔴 OVERDUE",IF(H8=TODAY(),"🟢 TODAY",IF(H8=TODAY()+1,"🔵 TOMORROW",IF(H8&lt;=TODAY()+7,"📅 THIS WEEK","⏳ SCHEDULED"))))))</f>
        <v>⚪ NEW</v>
      </c>
      <c r="J8" s="13" t="n">
        <f aca="true">IF(E8="",999,IF(F8&gt;=5,9999,IF(H8="",999,H8-TODAY())))</f>
        <v>999</v>
      </c>
      <c r="K8" s="19"/>
    </row>
    <row r="9" customFormat="false" ht="15" hidden="false" customHeight="true" outlineLevel="0" collapsed="false">
      <c r="A9" s="4" t="n">
        <f aca="false">ROW()-2</f>
        <v>7</v>
      </c>
      <c r="B9" s="5" t="s">
        <v>12</v>
      </c>
      <c r="C9" s="5" t="s">
        <v>13</v>
      </c>
      <c r="D9" s="6" t="s">
        <v>20</v>
      </c>
      <c r="E9" s="20"/>
      <c r="F9" s="8" t="n">
        <v>0</v>
      </c>
      <c r="G9" s="9" t="n">
        <f aca="false">IF(F9=0,1,IF(F9=1,3,IF(F9=2,7,IF(F9=3,14,IF(F9=4,30,60)))))</f>
        <v>1</v>
      </c>
      <c r="H9" s="10" t="str">
        <f aca="false">IF(E9="","",E9+G9)</f>
        <v/>
      </c>
      <c r="I9" s="11" t="str">
        <f aca="true">IF(E9="","⚪ NEW",IF(F9&gt;=5,"✅ DONE",IF(H9&lt;TODAY(),"🔴 OVERDUE",IF(H9=TODAY(),"🟢 TODAY",IF(H9=TODAY()+1,"🔵 TOMORROW",IF(H9&lt;=TODAY()+7,"📅 THIS WEEK","⏳ SCHEDULED"))))))</f>
        <v>⚪ NEW</v>
      </c>
      <c r="J9" s="4" t="n">
        <f aca="true">IF(E9="",999,IF(F9&gt;=5,9999,IF(H9="",999,H9-TODAY())))</f>
        <v>999</v>
      </c>
      <c r="K9" s="12"/>
    </row>
    <row r="10" customFormat="false" ht="15" hidden="false" customHeight="true" outlineLevel="0" collapsed="false">
      <c r="A10" s="13" t="n">
        <f aca="false">ROW()-2</f>
        <v>8</v>
      </c>
      <c r="B10" s="14" t="s">
        <v>12</v>
      </c>
      <c r="C10" s="14" t="s">
        <v>13</v>
      </c>
      <c r="D10" s="15" t="s">
        <v>21</v>
      </c>
      <c r="E10" s="20"/>
      <c r="F10" s="8" t="n">
        <v>0</v>
      </c>
      <c r="G10" s="16" t="n">
        <f aca="false">IF(F10=0,1,IF(F10=1,3,IF(F10=2,7,IF(F10=3,14,IF(F10=4,30,60)))))</f>
        <v>1</v>
      </c>
      <c r="H10" s="17" t="str">
        <f aca="false">IF(E10="","",E10+G10)</f>
        <v/>
      </c>
      <c r="I10" s="18" t="str">
        <f aca="true">IF(E10="","⚪ NEW",IF(F10&gt;=5,"✅ DONE",IF(H10&lt;TODAY(),"🔴 OVERDUE",IF(H10=TODAY(),"🟢 TODAY",IF(H10=TODAY()+1,"🔵 TOMORROW",IF(H10&lt;=TODAY()+7,"📅 THIS WEEK","⏳ SCHEDULED"))))))</f>
        <v>⚪ NEW</v>
      </c>
      <c r="J10" s="13" t="n">
        <f aca="true">IF(E10="",999,IF(F10&gt;=5,9999,IF(H10="",999,H10-TODAY())))</f>
        <v>999</v>
      </c>
      <c r="K10" s="19"/>
    </row>
    <row r="11" customFormat="false" ht="15" hidden="false" customHeight="true" outlineLevel="0" collapsed="false">
      <c r="A11" s="4" t="n">
        <f aca="false">ROW()-2</f>
        <v>9</v>
      </c>
      <c r="B11" s="5" t="s">
        <v>12</v>
      </c>
      <c r="C11" s="5" t="s">
        <v>13</v>
      </c>
      <c r="D11" s="6" t="s">
        <v>22</v>
      </c>
      <c r="E11" s="20"/>
      <c r="F11" s="8" t="n">
        <v>0</v>
      </c>
      <c r="G11" s="9" t="n">
        <f aca="false">IF(F11=0,1,IF(F11=1,3,IF(F11=2,7,IF(F11=3,14,IF(F11=4,30,60)))))</f>
        <v>1</v>
      </c>
      <c r="H11" s="10" t="str">
        <f aca="false">IF(E11="","",E11+G11)</f>
        <v/>
      </c>
      <c r="I11" s="11" t="str">
        <f aca="true">IF(E11="","⚪ NEW",IF(F11&gt;=5,"✅ DONE",IF(H11&lt;TODAY(),"🔴 OVERDUE",IF(H11=TODAY(),"🟢 TODAY",IF(H11=TODAY()+1,"🔵 TOMORROW",IF(H11&lt;=TODAY()+7,"📅 THIS WEEK","⏳ SCHEDULED"))))))</f>
        <v>⚪ NEW</v>
      </c>
      <c r="J11" s="4" t="n">
        <f aca="true">IF(E11="",999,IF(F11&gt;=5,9999,IF(H11="",999,H11-TODAY())))</f>
        <v>999</v>
      </c>
      <c r="K11" s="12"/>
    </row>
    <row r="12" customFormat="false" ht="15" hidden="false" customHeight="true" outlineLevel="0" collapsed="false">
      <c r="A12" s="13" t="n">
        <f aca="false">ROW()-2</f>
        <v>10</v>
      </c>
      <c r="B12" s="14" t="s">
        <v>12</v>
      </c>
      <c r="C12" s="14" t="s">
        <v>13</v>
      </c>
      <c r="D12" s="15" t="s">
        <v>23</v>
      </c>
      <c r="E12" s="20"/>
      <c r="F12" s="8" t="n">
        <v>0</v>
      </c>
      <c r="G12" s="16" t="n">
        <f aca="false">IF(F12=0,1,IF(F12=1,3,IF(F12=2,7,IF(F12=3,14,IF(F12=4,30,60)))))</f>
        <v>1</v>
      </c>
      <c r="H12" s="17" t="str">
        <f aca="false">IF(E12="","",E12+G12)</f>
        <v/>
      </c>
      <c r="I12" s="18" t="str">
        <f aca="true">IF(E12="","⚪ NEW",IF(F12&gt;=5,"✅ DONE",IF(H12&lt;TODAY(),"🔴 OVERDUE",IF(H12=TODAY(),"🟢 TODAY",IF(H12=TODAY()+1,"🔵 TOMORROW",IF(H12&lt;=TODAY()+7,"📅 THIS WEEK","⏳ SCHEDULED"))))))</f>
        <v>⚪ NEW</v>
      </c>
      <c r="J12" s="13" t="n">
        <f aca="true">IF(E12="",999,IF(F12&gt;=5,9999,IF(H12="",999,H12-TODAY())))</f>
        <v>999</v>
      </c>
      <c r="K12" s="19"/>
    </row>
    <row r="13" customFormat="false" ht="15" hidden="false" customHeight="true" outlineLevel="0" collapsed="false">
      <c r="A13" s="4" t="n">
        <f aca="false">ROW()-2</f>
        <v>11</v>
      </c>
      <c r="B13" s="5" t="s">
        <v>12</v>
      </c>
      <c r="C13" s="5" t="s">
        <v>13</v>
      </c>
      <c r="D13" s="6" t="s">
        <v>24</v>
      </c>
      <c r="E13" s="20"/>
      <c r="F13" s="8" t="n">
        <v>0</v>
      </c>
      <c r="G13" s="9" t="n">
        <f aca="false">IF(F13=0,1,IF(F13=1,3,IF(F13=2,7,IF(F13=3,14,IF(F13=4,30,60)))))</f>
        <v>1</v>
      </c>
      <c r="H13" s="10" t="str">
        <f aca="false">IF(E13="","",E13+G13)</f>
        <v/>
      </c>
      <c r="I13" s="11" t="str">
        <f aca="true">IF(E13="","⚪ NEW",IF(F13&gt;=5,"✅ DONE",IF(H13&lt;TODAY(),"🔴 OVERDUE",IF(H13=TODAY(),"🟢 TODAY",IF(H13=TODAY()+1,"🔵 TOMORROW",IF(H13&lt;=TODAY()+7,"📅 THIS WEEK","⏳ SCHEDULED"))))))</f>
        <v>⚪ NEW</v>
      </c>
      <c r="J13" s="4" t="n">
        <f aca="true">IF(E13="",999,IF(F13&gt;=5,9999,IF(H13="",999,H13-TODAY())))</f>
        <v>999</v>
      </c>
      <c r="K13" s="12"/>
    </row>
    <row r="14" customFormat="false" ht="15" hidden="false" customHeight="true" outlineLevel="0" collapsed="false">
      <c r="A14" s="13" t="n">
        <f aca="false">ROW()-2</f>
        <v>12</v>
      </c>
      <c r="B14" s="14" t="s">
        <v>12</v>
      </c>
      <c r="C14" s="14" t="s">
        <v>13</v>
      </c>
      <c r="D14" s="15" t="s">
        <v>25</v>
      </c>
      <c r="E14" s="20"/>
      <c r="F14" s="8" t="n">
        <v>0</v>
      </c>
      <c r="G14" s="16" t="n">
        <f aca="false">IF(F14=0,1,IF(F14=1,3,IF(F14=2,7,IF(F14=3,14,IF(F14=4,30,60)))))</f>
        <v>1</v>
      </c>
      <c r="H14" s="17" t="str">
        <f aca="false">IF(E14="","",E14+G14)</f>
        <v/>
      </c>
      <c r="I14" s="18" t="str">
        <f aca="true">IF(E14="","⚪ NEW",IF(F14&gt;=5,"✅ DONE",IF(H14&lt;TODAY(),"🔴 OVERDUE",IF(H14=TODAY(),"🟢 TODAY",IF(H14=TODAY()+1,"🔵 TOMORROW",IF(H14&lt;=TODAY()+7,"📅 THIS WEEK","⏳ SCHEDULED"))))))</f>
        <v>⚪ NEW</v>
      </c>
      <c r="J14" s="13" t="n">
        <f aca="true">IF(E14="",999,IF(F14&gt;=5,9999,IF(H14="",999,H14-TODAY())))</f>
        <v>999</v>
      </c>
      <c r="K14" s="19"/>
    </row>
    <row r="15" customFormat="false" ht="15" hidden="false" customHeight="true" outlineLevel="0" collapsed="false">
      <c r="A15" s="4" t="n">
        <f aca="false">ROW()-2</f>
        <v>13</v>
      </c>
      <c r="B15" s="5" t="s">
        <v>12</v>
      </c>
      <c r="C15" s="5" t="s">
        <v>13</v>
      </c>
      <c r="D15" s="6" t="s">
        <v>26</v>
      </c>
      <c r="E15" s="20"/>
      <c r="F15" s="8" t="n">
        <v>0</v>
      </c>
      <c r="G15" s="9" t="n">
        <f aca="false">IF(F15=0,1,IF(F15=1,3,IF(F15=2,7,IF(F15=3,14,IF(F15=4,30,60)))))</f>
        <v>1</v>
      </c>
      <c r="H15" s="10" t="str">
        <f aca="false">IF(E15="","",E15+G15)</f>
        <v/>
      </c>
      <c r="I15" s="11" t="str">
        <f aca="true">IF(E15="","⚪ NEW",IF(F15&gt;=5,"✅ DONE",IF(H15&lt;TODAY(),"🔴 OVERDUE",IF(H15=TODAY(),"🟢 TODAY",IF(H15=TODAY()+1,"🔵 TOMORROW",IF(H15&lt;=TODAY()+7,"📅 THIS WEEK","⏳ SCHEDULED"))))))</f>
        <v>⚪ NEW</v>
      </c>
      <c r="J15" s="4" t="n">
        <f aca="true">IF(E15="",999,IF(F15&gt;=5,9999,IF(H15="",999,H15-TODAY())))</f>
        <v>999</v>
      </c>
      <c r="K15" s="12"/>
    </row>
    <row r="16" customFormat="false" ht="15" hidden="false" customHeight="true" outlineLevel="0" collapsed="false">
      <c r="A16" s="13" t="n">
        <f aca="false">ROW()-2</f>
        <v>14</v>
      </c>
      <c r="B16" s="14" t="s">
        <v>12</v>
      </c>
      <c r="C16" s="14" t="s">
        <v>13</v>
      </c>
      <c r="D16" s="15" t="s">
        <v>27</v>
      </c>
      <c r="E16" s="20"/>
      <c r="F16" s="8" t="n">
        <v>0</v>
      </c>
      <c r="G16" s="16" t="n">
        <f aca="false">IF(F16=0,1,IF(F16=1,3,IF(F16=2,7,IF(F16=3,14,IF(F16=4,30,60)))))</f>
        <v>1</v>
      </c>
      <c r="H16" s="17" t="str">
        <f aca="false">IF(E16="","",E16+G16)</f>
        <v/>
      </c>
      <c r="I16" s="18" t="str">
        <f aca="true">IF(E16="","⚪ NEW",IF(F16&gt;=5,"✅ DONE",IF(H16&lt;TODAY(),"🔴 OVERDUE",IF(H16=TODAY(),"🟢 TODAY",IF(H16=TODAY()+1,"🔵 TOMORROW",IF(H16&lt;=TODAY()+7,"📅 THIS WEEK","⏳ SCHEDULED"))))))</f>
        <v>⚪ NEW</v>
      </c>
      <c r="J16" s="13" t="n">
        <f aca="true">IF(E16="",999,IF(F16&gt;=5,9999,IF(H16="",999,H16-TODAY())))</f>
        <v>999</v>
      </c>
      <c r="K16" s="19"/>
    </row>
    <row r="17" customFormat="false" ht="15" hidden="false" customHeight="true" outlineLevel="0" collapsed="false">
      <c r="A17" s="4" t="n">
        <f aca="false">ROW()-2</f>
        <v>15</v>
      </c>
      <c r="B17" s="5" t="s">
        <v>12</v>
      </c>
      <c r="C17" s="5" t="s">
        <v>13</v>
      </c>
      <c r="D17" s="6" t="s">
        <v>28</v>
      </c>
      <c r="E17" s="20"/>
      <c r="F17" s="8" t="n">
        <v>0</v>
      </c>
      <c r="G17" s="9" t="n">
        <f aca="false">IF(F17=0,1,IF(F17=1,3,IF(F17=2,7,IF(F17=3,14,IF(F17=4,30,60)))))</f>
        <v>1</v>
      </c>
      <c r="H17" s="10" t="str">
        <f aca="false">IF(E17="","",E17+G17)</f>
        <v/>
      </c>
      <c r="I17" s="11" t="str">
        <f aca="true">IF(E17="","⚪ NEW",IF(F17&gt;=5,"✅ DONE",IF(H17&lt;TODAY(),"🔴 OVERDUE",IF(H17=TODAY(),"🟢 TODAY",IF(H17=TODAY()+1,"🔵 TOMORROW",IF(H17&lt;=TODAY()+7,"📅 THIS WEEK","⏳ SCHEDULED"))))))</f>
        <v>⚪ NEW</v>
      </c>
      <c r="J17" s="4" t="n">
        <f aca="true">IF(E17="",999,IF(F17&gt;=5,9999,IF(H17="",999,H17-TODAY())))</f>
        <v>999</v>
      </c>
      <c r="K17" s="12"/>
    </row>
    <row r="18" customFormat="false" ht="15" hidden="false" customHeight="true" outlineLevel="0" collapsed="false">
      <c r="A18" s="13" t="n">
        <f aca="false">ROW()-2</f>
        <v>16</v>
      </c>
      <c r="B18" s="14" t="s">
        <v>12</v>
      </c>
      <c r="C18" s="14" t="s">
        <v>13</v>
      </c>
      <c r="D18" s="15" t="s">
        <v>29</v>
      </c>
      <c r="E18" s="20"/>
      <c r="F18" s="8" t="n">
        <v>0</v>
      </c>
      <c r="G18" s="16" t="n">
        <f aca="false">IF(F18=0,1,IF(F18=1,3,IF(F18=2,7,IF(F18=3,14,IF(F18=4,30,60)))))</f>
        <v>1</v>
      </c>
      <c r="H18" s="17" t="str">
        <f aca="false">IF(E18="","",E18+G18)</f>
        <v/>
      </c>
      <c r="I18" s="18" t="str">
        <f aca="true">IF(E18="","⚪ NEW",IF(F18&gt;=5,"✅ DONE",IF(H18&lt;TODAY(),"🔴 OVERDUE",IF(H18=TODAY(),"🟢 TODAY",IF(H18=TODAY()+1,"🔵 TOMORROW",IF(H18&lt;=TODAY()+7,"📅 THIS WEEK","⏳ SCHEDULED"))))))</f>
        <v>⚪ NEW</v>
      </c>
      <c r="J18" s="13" t="n">
        <f aca="true">IF(E18="",999,IF(F18&gt;=5,9999,IF(H18="",999,H18-TODAY())))</f>
        <v>999</v>
      </c>
      <c r="K18" s="19"/>
    </row>
    <row r="19" customFormat="false" ht="15" hidden="false" customHeight="true" outlineLevel="0" collapsed="false">
      <c r="A19" s="4" t="n">
        <f aca="false">ROW()-2</f>
        <v>17</v>
      </c>
      <c r="B19" s="5" t="s">
        <v>12</v>
      </c>
      <c r="C19" s="5" t="s">
        <v>13</v>
      </c>
      <c r="D19" s="6" t="s">
        <v>30</v>
      </c>
      <c r="E19" s="20"/>
      <c r="F19" s="8" t="n">
        <v>0</v>
      </c>
      <c r="G19" s="9" t="n">
        <f aca="false">IF(F19=0,1,IF(F19=1,3,IF(F19=2,7,IF(F19=3,14,IF(F19=4,30,60)))))</f>
        <v>1</v>
      </c>
      <c r="H19" s="10" t="str">
        <f aca="false">IF(E19="","",E19+G19)</f>
        <v/>
      </c>
      <c r="I19" s="11" t="str">
        <f aca="true">IF(E19="","⚪ NEW",IF(F19&gt;=5,"✅ DONE",IF(H19&lt;TODAY(),"🔴 OVERDUE",IF(H19=TODAY(),"🟢 TODAY",IF(H19=TODAY()+1,"🔵 TOMORROW",IF(H19&lt;=TODAY()+7,"📅 THIS WEEK","⏳ SCHEDULED"))))))</f>
        <v>⚪ NEW</v>
      </c>
      <c r="J19" s="4" t="n">
        <f aca="true">IF(E19="",999,IF(F19&gt;=5,9999,IF(H19="",999,H19-TODAY())))</f>
        <v>999</v>
      </c>
      <c r="K19" s="12"/>
    </row>
    <row r="20" customFormat="false" ht="15" hidden="false" customHeight="true" outlineLevel="0" collapsed="false">
      <c r="A20" s="13" t="n">
        <f aca="false">ROW()-2</f>
        <v>18</v>
      </c>
      <c r="B20" s="14" t="s">
        <v>12</v>
      </c>
      <c r="C20" s="14" t="s">
        <v>13</v>
      </c>
      <c r="D20" s="15" t="s">
        <v>31</v>
      </c>
      <c r="E20" s="20"/>
      <c r="F20" s="8" t="n">
        <v>0</v>
      </c>
      <c r="G20" s="16" t="n">
        <f aca="false">IF(F20=0,1,IF(F20=1,3,IF(F20=2,7,IF(F20=3,14,IF(F20=4,30,60)))))</f>
        <v>1</v>
      </c>
      <c r="H20" s="17" t="str">
        <f aca="false">IF(E20="","",E20+G20)</f>
        <v/>
      </c>
      <c r="I20" s="18" t="str">
        <f aca="true">IF(E20="","⚪ NEW",IF(F20&gt;=5,"✅ DONE",IF(H20&lt;TODAY(),"🔴 OVERDUE",IF(H20=TODAY(),"🟢 TODAY",IF(H20=TODAY()+1,"🔵 TOMORROW",IF(H20&lt;=TODAY()+7,"📅 THIS WEEK","⏳ SCHEDULED"))))))</f>
        <v>⚪ NEW</v>
      </c>
      <c r="J20" s="13" t="n">
        <f aca="true">IF(E20="",999,IF(F20&gt;=5,9999,IF(H20="",999,H20-TODAY())))</f>
        <v>999</v>
      </c>
      <c r="K20" s="19"/>
    </row>
    <row r="21" customFormat="false" ht="15" hidden="false" customHeight="true" outlineLevel="0" collapsed="false">
      <c r="A21" s="4" t="n">
        <f aca="false">ROW()-2</f>
        <v>19</v>
      </c>
      <c r="B21" s="5" t="s">
        <v>12</v>
      </c>
      <c r="C21" s="5" t="s">
        <v>13</v>
      </c>
      <c r="D21" s="6" t="s">
        <v>32</v>
      </c>
      <c r="E21" s="20"/>
      <c r="F21" s="8" t="n">
        <v>0</v>
      </c>
      <c r="G21" s="9" t="n">
        <f aca="false">IF(F21=0,1,IF(F21=1,3,IF(F21=2,7,IF(F21=3,14,IF(F21=4,30,60)))))</f>
        <v>1</v>
      </c>
      <c r="H21" s="10" t="str">
        <f aca="false">IF(E21="","",E21+G21)</f>
        <v/>
      </c>
      <c r="I21" s="11" t="str">
        <f aca="true">IF(E21="","⚪ NEW",IF(F21&gt;=5,"✅ DONE",IF(H21&lt;TODAY(),"🔴 OVERDUE",IF(H21=TODAY(),"🟢 TODAY",IF(H21=TODAY()+1,"🔵 TOMORROW",IF(H21&lt;=TODAY()+7,"📅 THIS WEEK","⏳ SCHEDULED"))))))</f>
        <v>⚪ NEW</v>
      </c>
      <c r="J21" s="4" t="n">
        <f aca="true">IF(E21="",999,IF(F21&gt;=5,9999,IF(H21="",999,H21-TODAY())))</f>
        <v>999</v>
      </c>
      <c r="K21" s="12"/>
    </row>
    <row r="22" customFormat="false" ht="15" hidden="false" customHeight="true" outlineLevel="0" collapsed="false">
      <c r="A22" s="13" t="n">
        <f aca="false">ROW()-2</f>
        <v>20</v>
      </c>
      <c r="B22" s="14" t="s">
        <v>33</v>
      </c>
      <c r="C22" s="14" t="s">
        <v>34</v>
      </c>
      <c r="D22" s="15" t="s">
        <v>35</v>
      </c>
      <c r="E22" s="20"/>
      <c r="F22" s="8" t="n">
        <v>0</v>
      </c>
      <c r="G22" s="16" t="n">
        <f aca="false">IF(F22=0,1,IF(F22=1,3,IF(F22=2,7,IF(F22=3,14,IF(F22=4,30,60)))))</f>
        <v>1</v>
      </c>
      <c r="H22" s="17" t="str">
        <f aca="false">IF(E22="","",E22+G22)</f>
        <v/>
      </c>
      <c r="I22" s="18" t="str">
        <f aca="true">IF(E22="","⚪ NEW",IF(F22&gt;=5,"✅ DONE",IF(H22&lt;TODAY(),"🔴 OVERDUE",IF(H22=TODAY(),"🟢 TODAY",IF(H22=TODAY()+1,"🔵 TOMORROW",IF(H22&lt;=TODAY()+7,"📅 THIS WEEK","⏳ SCHEDULED"))))))</f>
        <v>⚪ NEW</v>
      </c>
      <c r="J22" s="13" t="n">
        <f aca="true">IF(E22="",999,IF(F22&gt;=5,9999,IF(H22="",999,H22-TODAY())))</f>
        <v>999</v>
      </c>
      <c r="K22" s="19"/>
    </row>
    <row r="23" customFormat="false" ht="15" hidden="false" customHeight="true" outlineLevel="0" collapsed="false">
      <c r="A23" s="4" t="n">
        <f aca="false">ROW()-2</f>
        <v>21</v>
      </c>
      <c r="B23" s="5" t="s">
        <v>33</v>
      </c>
      <c r="C23" s="5" t="s">
        <v>34</v>
      </c>
      <c r="D23" s="6" t="s">
        <v>36</v>
      </c>
      <c r="E23" s="20"/>
      <c r="F23" s="8" t="n">
        <v>0</v>
      </c>
      <c r="G23" s="9" t="n">
        <f aca="false">IF(F23=0,1,IF(F23=1,3,IF(F23=2,7,IF(F23=3,14,IF(F23=4,30,60)))))</f>
        <v>1</v>
      </c>
      <c r="H23" s="10" t="str">
        <f aca="false">IF(E23="","",E23+G23)</f>
        <v/>
      </c>
      <c r="I23" s="11" t="str">
        <f aca="true">IF(E23="","⚪ NEW",IF(F23&gt;=5,"✅ DONE",IF(H23&lt;TODAY(),"🔴 OVERDUE",IF(H23=TODAY(),"🟢 TODAY",IF(H23=TODAY()+1,"🔵 TOMORROW",IF(H23&lt;=TODAY()+7,"📅 THIS WEEK","⏳ SCHEDULED"))))))</f>
        <v>⚪ NEW</v>
      </c>
      <c r="J23" s="4" t="n">
        <f aca="true">IF(E23="",999,IF(F23&gt;=5,9999,IF(H23="",999,H23-TODAY())))</f>
        <v>999</v>
      </c>
      <c r="K23" s="12"/>
    </row>
    <row r="24" customFormat="false" ht="15" hidden="false" customHeight="true" outlineLevel="0" collapsed="false">
      <c r="A24" s="13" t="n">
        <f aca="false">ROW()-2</f>
        <v>22</v>
      </c>
      <c r="B24" s="14" t="s">
        <v>33</v>
      </c>
      <c r="C24" s="14" t="s">
        <v>34</v>
      </c>
      <c r="D24" s="15" t="s">
        <v>37</v>
      </c>
      <c r="E24" s="20"/>
      <c r="F24" s="8" t="n">
        <v>0</v>
      </c>
      <c r="G24" s="16" t="n">
        <f aca="false">IF(F24=0,1,IF(F24=1,3,IF(F24=2,7,IF(F24=3,14,IF(F24=4,30,60)))))</f>
        <v>1</v>
      </c>
      <c r="H24" s="17" t="str">
        <f aca="false">IF(E24="","",E24+G24)</f>
        <v/>
      </c>
      <c r="I24" s="18" t="str">
        <f aca="true">IF(E24="","⚪ NEW",IF(F24&gt;=5,"✅ DONE",IF(H24&lt;TODAY(),"🔴 OVERDUE",IF(H24=TODAY(),"🟢 TODAY",IF(H24=TODAY()+1,"🔵 TOMORROW",IF(H24&lt;=TODAY()+7,"📅 THIS WEEK","⏳ SCHEDULED"))))))</f>
        <v>⚪ NEW</v>
      </c>
      <c r="J24" s="13" t="n">
        <f aca="true">IF(E24="",999,IF(F24&gt;=5,9999,IF(H24="",999,H24-TODAY())))</f>
        <v>999</v>
      </c>
      <c r="K24" s="19"/>
    </row>
    <row r="25" customFormat="false" ht="15" hidden="false" customHeight="true" outlineLevel="0" collapsed="false">
      <c r="A25" s="4" t="n">
        <f aca="false">ROW()-2</f>
        <v>23</v>
      </c>
      <c r="B25" s="5" t="s">
        <v>33</v>
      </c>
      <c r="C25" s="5" t="s">
        <v>34</v>
      </c>
      <c r="D25" s="6" t="s">
        <v>38</v>
      </c>
      <c r="E25" s="20"/>
      <c r="F25" s="8" t="n">
        <v>0</v>
      </c>
      <c r="G25" s="9" t="n">
        <f aca="false">IF(F25=0,1,IF(F25=1,3,IF(F25=2,7,IF(F25=3,14,IF(F25=4,30,60)))))</f>
        <v>1</v>
      </c>
      <c r="H25" s="10" t="str">
        <f aca="false">IF(E25="","",E25+G25)</f>
        <v/>
      </c>
      <c r="I25" s="11" t="str">
        <f aca="true">IF(E25="","⚪ NEW",IF(F25&gt;=5,"✅ DONE",IF(H25&lt;TODAY(),"🔴 OVERDUE",IF(H25=TODAY(),"🟢 TODAY",IF(H25=TODAY()+1,"🔵 TOMORROW",IF(H25&lt;=TODAY()+7,"📅 THIS WEEK","⏳ SCHEDULED"))))))</f>
        <v>⚪ NEW</v>
      </c>
      <c r="J25" s="4" t="n">
        <f aca="true">IF(E25="",999,IF(F25&gt;=5,9999,IF(H25="",999,H25-TODAY())))</f>
        <v>999</v>
      </c>
      <c r="K25" s="12"/>
    </row>
    <row r="26" customFormat="false" ht="15" hidden="false" customHeight="true" outlineLevel="0" collapsed="false">
      <c r="A26" s="13" t="n">
        <f aca="false">ROW()-2</f>
        <v>24</v>
      </c>
      <c r="B26" s="14" t="s">
        <v>33</v>
      </c>
      <c r="C26" s="14" t="s">
        <v>34</v>
      </c>
      <c r="D26" s="15" t="s">
        <v>39</v>
      </c>
      <c r="E26" s="20"/>
      <c r="F26" s="8" t="n">
        <v>0</v>
      </c>
      <c r="G26" s="16" t="n">
        <f aca="false">IF(F26=0,1,IF(F26=1,3,IF(F26=2,7,IF(F26=3,14,IF(F26=4,30,60)))))</f>
        <v>1</v>
      </c>
      <c r="H26" s="17" t="str">
        <f aca="false">IF(E26="","",E26+G26)</f>
        <v/>
      </c>
      <c r="I26" s="18" t="str">
        <f aca="true">IF(E26="","⚪ NEW",IF(F26&gt;=5,"✅ DONE",IF(H26&lt;TODAY(),"🔴 OVERDUE",IF(H26=TODAY(),"🟢 TODAY",IF(H26=TODAY()+1,"🔵 TOMORROW",IF(H26&lt;=TODAY()+7,"📅 THIS WEEK","⏳ SCHEDULED"))))))</f>
        <v>⚪ NEW</v>
      </c>
      <c r="J26" s="13" t="n">
        <f aca="true">IF(E26="",999,IF(F26&gt;=5,9999,IF(H26="",999,H26-TODAY())))</f>
        <v>999</v>
      </c>
      <c r="K26" s="19"/>
    </row>
    <row r="27" customFormat="false" ht="15" hidden="false" customHeight="true" outlineLevel="0" collapsed="false">
      <c r="A27" s="4" t="n">
        <f aca="false">ROW()-2</f>
        <v>25</v>
      </c>
      <c r="B27" s="5" t="s">
        <v>33</v>
      </c>
      <c r="C27" s="5" t="s">
        <v>34</v>
      </c>
      <c r="D27" s="6" t="s">
        <v>40</v>
      </c>
      <c r="E27" s="20"/>
      <c r="F27" s="8" t="n">
        <v>0</v>
      </c>
      <c r="G27" s="9" t="n">
        <f aca="false">IF(F27=0,1,IF(F27=1,3,IF(F27=2,7,IF(F27=3,14,IF(F27=4,30,60)))))</f>
        <v>1</v>
      </c>
      <c r="H27" s="10" t="str">
        <f aca="false">IF(E27="","",E27+G27)</f>
        <v/>
      </c>
      <c r="I27" s="11" t="str">
        <f aca="true">IF(E27="","⚪ NEW",IF(F27&gt;=5,"✅ DONE",IF(H27&lt;TODAY(),"🔴 OVERDUE",IF(H27=TODAY(),"🟢 TODAY",IF(H27=TODAY()+1,"🔵 TOMORROW",IF(H27&lt;=TODAY()+7,"📅 THIS WEEK","⏳ SCHEDULED"))))))</f>
        <v>⚪ NEW</v>
      </c>
      <c r="J27" s="4" t="n">
        <f aca="true">IF(E27="",999,IF(F27&gt;=5,9999,IF(H27="",999,H27-TODAY())))</f>
        <v>999</v>
      </c>
      <c r="K27" s="12"/>
    </row>
    <row r="28" customFormat="false" ht="15" hidden="false" customHeight="true" outlineLevel="0" collapsed="false">
      <c r="A28" s="13" t="n">
        <f aca="false">ROW()-2</f>
        <v>26</v>
      </c>
      <c r="B28" s="14" t="s">
        <v>33</v>
      </c>
      <c r="C28" s="14" t="s">
        <v>34</v>
      </c>
      <c r="D28" s="15" t="s">
        <v>41</v>
      </c>
      <c r="E28" s="20"/>
      <c r="F28" s="8" t="n">
        <v>0</v>
      </c>
      <c r="G28" s="16" t="n">
        <f aca="false">IF(F28=0,1,IF(F28=1,3,IF(F28=2,7,IF(F28=3,14,IF(F28=4,30,60)))))</f>
        <v>1</v>
      </c>
      <c r="H28" s="17" t="str">
        <f aca="false">IF(E28="","",E28+G28)</f>
        <v/>
      </c>
      <c r="I28" s="18" t="str">
        <f aca="true">IF(E28="","⚪ NEW",IF(F28&gt;=5,"✅ DONE",IF(H28&lt;TODAY(),"🔴 OVERDUE",IF(H28=TODAY(),"🟢 TODAY",IF(H28=TODAY()+1,"🔵 TOMORROW",IF(H28&lt;=TODAY()+7,"📅 THIS WEEK","⏳ SCHEDULED"))))))</f>
        <v>⚪ NEW</v>
      </c>
      <c r="J28" s="13" t="n">
        <f aca="true">IF(E28="",999,IF(F28&gt;=5,9999,IF(H28="",999,H28-TODAY())))</f>
        <v>999</v>
      </c>
      <c r="K28" s="19"/>
    </row>
    <row r="29" customFormat="false" ht="15" hidden="false" customHeight="true" outlineLevel="0" collapsed="false">
      <c r="A29" s="4" t="n">
        <f aca="false">ROW()-2</f>
        <v>27</v>
      </c>
      <c r="B29" s="5" t="s">
        <v>33</v>
      </c>
      <c r="C29" s="5" t="s">
        <v>34</v>
      </c>
      <c r="D29" s="6" t="s">
        <v>42</v>
      </c>
      <c r="E29" s="20"/>
      <c r="F29" s="8" t="n">
        <v>0</v>
      </c>
      <c r="G29" s="9" t="n">
        <f aca="false">IF(F29=0,1,IF(F29=1,3,IF(F29=2,7,IF(F29=3,14,IF(F29=4,30,60)))))</f>
        <v>1</v>
      </c>
      <c r="H29" s="10" t="str">
        <f aca="false">IF(E29="","",E29+G29)</f>
        <v/>
      </c>
      <c r="I29" s="11" t="str">
        <f aca="true">IF(E29="","⚪ NEW",IF(F29&gt;=5,"✅ DONE",IF(H29&lt;TODAY(),"🔴 OVERDUE",IF(H29=TODAY(),"🟢 TODAY",IF(H29=TODAY()+1,"🔵 TOMORROW",IF(H29&lt;=TODAY()+7,"📅 THIS WEEK","⏳ SCHEDULED"))))))</f>
        <v>⚪ NEW</v>
      </c>
      <c r="J29" s="4" t="n">
        <f aca="true">IF(E29="",999,IF(F29&gt;=5,9999,IF(H29="",999,H29-TODAY())))</f>
        <v>999</v>
      </c>
      <c r="K29" s="12"/>
    </row>
    <row r="30" customFormat="false" ht="15" hidden="false" customHeight="true" outlineLevel="0" collapsed="false">
      <c r="A30" s="13" t="n">
        <f aca="false">ROW()-2</f>
        <v>28</v>
      </c>
      <c r="B30" s="14" t="s">
        <v>33</v>
      </c>
      <c r="C30" s="14" t="s">
        <v>34</v>
      </c>
      <c r="D30" s="15" t="s">
        <v>43</v>
      </c>
      <c r="E30" s="20"/>
      <c r="F30" s="8" t="n">
        <v>0</v>
      </c>
      <c r="G30" s="16" t="n">
        <f aca="false">IF(F30=0,1,IF(F30=1,3,IF(F30=2,7,IF(F30=3,14,IF(F30=4,30,60)))))</f>
        <v>1</v>
      </c>
      <c r="H30" s="17" t="str">
        <f aca="false">IF(E30="","",E30+G30)</f>
        <v/>
      </c>
      <c r="I30" s="18" t="str">
        <f aca="true">IF(E30="","⚪ NEW",IF(F30&gt;=5,"✅ DONE",IF(H30&lt;TODAY(),"🔴 OVERDUE",IF(H30=TODAY(),"🟢 TODAY",IF(H30=TODAY()+1,"🔵 TOMORROW",IF(H30&lt;=TODAY()+7,"📅 THIS WEEK","⏳ SCHEDULED"))))))</f>
        <v>⚪ NEW</v>
      </c>
      <c r="J30" s="13" t="n">
        <f aca="true">IF(E30="",999,IF(F30&gt;=5,9999,IF(H30="",999,H30-TODAY())))</f>
        <v>999</v>
      </c>
      <c r="K30" s="19"/>
    </row>
    <row r="31" customFormat="false" ht="15" hidden="false" customHeight="true" outlineLevel="0" collapsed="false">
      <c r="A31" s="4" t="n">
        <f aca="false">ROW()-2</f>
        <v>29</v>
      </c>
      <c r="B31" s="5" t="s">
        <v>33</v>
      </c>
      <c r="C31" s="5" t="s">
        <v>34</v>
      </c>
      <c r="D31" s="6" t="s">
        <v>44</v>
      </c>
      <c r="E31" s="20"/>
      <c r="F31" s="8" t="n">
        <v>0</v>
      </c>
      <c r="G31" s="9" t="n">
        <f aca="false">IF(F31=0,1,IF(F31=1,3,IF(F31=2,7,IF(F31=3,14,IF(F31=4,30,60)))))</f>
        <v>1</v>
      </c>
      <c r="H31" s="10" t="str">
        <f aca="false">IF(E31="","",E31+G31)</f>
        <v/>
      </c>
      <c r="I31" s="11" t="str">
        <f aca="true">IF(E31="","⚪ NEW",IF(F31&gt;=5,"✅ DONE",IF(H31&lt;TODAY(),"🔴 OVERDUE",IF(H31=TODAY(),"🟢 TODAY",IF(H31=TODAY()+1,"🔵 TOMORROW",IF(H31&lt;=TODAY()+7,"📅 THIS WEEK","⏳ SCHEDULED"))))))</f>
        <v>⚪ NEW</v>
      </c>
      <c r="J31" s="4" t="n">
        <f aca="true">IF(E31="",999,IF(F31&gt;=5,9999,IF(H31="",999,H31-TODAY())))</f>
        <v>999</v>
      </c>
      <c r="K31" s="12"/>
    </row>
    <row r="32" customFormat="false" ht="15" hidden="false" customHeight="true" outlineLevel="0" collapsed="false">
      <c r="A32" s="13" t="n">
        <f aca="false">ROW()-2</f>
        <v>30</v>
      </c>
      <c r="B32" s="14" t="s">
        <v>33</v>
      </c>
      <c r="C32" s="14" t="s">
        <v>34</v>
      </c>
      <c r="D32" s="15" t="s">
        <v>45</v>
      </c>
      <c r="E32" s="20"/>
      <c r="F32" s="8" t="n">
        <v>0</v>
      </c>
      <c r="G32" s="16" t="n">
        <f aca="false">IF(F32=0,1,IF(F32=1,3,IF(F32=2,7,IF(F32=3,14,IF(F32=4,30,60)))))</f>
        <v>1</v>
      </c>
      <c r="H32" s="17" t="str">
        <f aca="false">IF(E32="","",E32+G32)</f>
        <v/>
      </c>
      <c r="I32" s="18" t="str">
        <f aca="true">IF(E32="","⚪ NEW",IF(F32&gt;=5,"✅ DONE",IF(H32&lt;TODAY(),"🔴 OVERDUE",IF(H32=TODAY(),"🟢 TODAY",IF(H32=TODAY()+1,"🔵 TOMORROW",IF(H32&lt;=TODAY()+7,"📅 THIS WEEK","⏳ SCHEDULED"))))))</f>
        <v>⚪ NEW</v>
      </c>
      <c r="J32" s="13" t="n">
        <f aca="true">IF(E32="",999,IF(F32&gt;=5,9999,IF(H32="",999,H32-TODAY())))</f>
        <v>999</v>
      </c>
      <c r="K32" s="19"/>
    </row>
    <row r="33" customFormat="false" ht="15" hidden="false" customHeight="true" outlineLevel="0" collapsed="false">
      <c r="A33" s="4" t="n">
        <f aca="false">ROW()-2</f>
        <v>31</v>
      </c>
      <c r="B33" s="5" t="s">
        <v>33</v>
      </c>
      <c r="C33" s="5" t="s">
        <v>34</v>
      </c>
      <c r="D33" s="6" t="s">
        <v>46</v>
      </c>
      <c r="E33" s="20"/>
      <c r="F33" s="8" t="n">
        <v>0</v>
      </c>
      <c r="G33" s="9" t="n">
        <f aca="false">IF(F33=0,1,IF(F33=1,3,IF(F33=2,7,IF(F33=3,14,IF(F33=4,30,60)))))</f>
        <v>1</v>
      </c>
      <c r="H33" s="10" t="str">
        <f aca="false">IF(E33="","",E33+G33)</f>
        <v/>
      </c>
      <c r="I33" s="11" t="str">
        <f aca="true">IF(E33="","⚪ NEW",IF(F33&gt;=5,"✅ DONE",IF(H33&lt;TODAY(),"🔴 OVERDUE",IF(H33=TODAY(),"🟢 TODAY",IF(H33=TODAY()+1,"🔵 TOMORROW",IF(H33&lt;=TODAY()+7,"📅 THIS WEEK","⏳ SCHEDULED"))))))</f>
        <v>⚪ NEW</v>
      </c>
      <c r="J33" s="4" t="n">
        <f aca="true">IF(E33="",999,IF(F33&gt;=5,9999,IF(H33="",999,H33-TODAY())))</f>
        <v>999</v>
      </c>
      <c r="K33" s="12"/>
    </row>
    <row r="34" customFormat="false" ht="15" hidden="false" customHeight="true" outlineLevel="0" collapsed="false">
      <c r="A34" s="13" t="n">
        <f aca="false">ROW()-2</f>
        <v>32</v>
      </c>
      <c r="B34" s="14" t="s">
        <v>33</v>
      </c>
      <c r="C34" s="14" t="s">
        <v>34</v>
      </c>
      <c r="D34" s="15" t="s">
        <v>47</v>
      </c>
      <c r="E34" s="20"/>
      <c r="F34" s="8" t="n">
        <v>0</v>
      </c>
      <c r="G34" s="16" t="n">
        <f aca="false">IF(F34=0,1,IF(F34=1,3,IF(F34=2,7,IF(F34=3,14,IF(F34=4,30,60)))))</f>
        <v>1</v>
      </c>
      <c r="H34" s="17" t="str">
        <f aca="false">IF(E34="","",E34+G34)</f>
        <v/>
      </c>
      <c r="I34" s="18" t="str">
        <f aca="true">IF(E34="","⚪ NEW",IF(F34&gt;=5,"✅ DONE",IF(H34&lt;TODAY(),"🔴 OVERDUE",IF(H34=TODAY(),"🟢 TODAY",IF(H34=TODAY()+1,"🔵 TOMORROW",IF(H34&lt;=TODAY()+7,"📅 THIS WEEK","⏳ SCHEDULED"))))))</f>
        <v>⚪ NEW</v>
      </c>
      <c r="J34" s="13" t="n">
        <f aca="true">IF(E34="",999,IF(F34&gt;=5,9999,IF(H34="",999,H34-TODAY())))</f>
        <v>999</v>
      </c>
      <c r="K34" s="19"/>
    </row>
    <row r="35" customFormat="false" ht="15" hidden="false" customHeight="true" outlineLevel="0" collapsed="false">
      <c r="A35" s="4" t="n">
        <f aca="false">ROW()-2</f>
        <v>33</v>
      </c>
      <c r="B35" s="5" t="s">
        <v>33</v>
      </c>
      <c r="C35" s="5" t="s">
        <v>34</v>
      </c>
      <c r="D35" s="6" t="s">
        <v>48</v>
      </c>
      <c r="E35" s="20"/>
      <c r="F35" s="8" t="n">
        <v>0</v>
      </c>
      <c r="G35" s="9" t="n">
        <f aca="false">IF(F35=0,1,IF(F35=1,3,IF(F35=2,7,IF(F35=3,14,IF(F35=4,30,60)))))</f>
        <v>1</v>
      </c>
      <c r="H35" s="10" t="str">
        <f aca="false">IF(E35="","",E35+G35)</f>
        <v/>
      </c>
      <c r="I35" s="11" t="str">
        <f aca="true">IF(E35="","⚪ NEW",IF(F35&gt;=5,"✅ DONE",IF(H35&lt;TODAY(),"🔴 OVERDUE",IF(H35=TODAY(),"🟢 TODAY",IF(H35=TODAY()+1,"🔵 TOMORROW",IF(H35&lt;=TODAY()+7,"📅 THIS WEEK","⏳ SCHEDULED"))))))</f>
        <v>⚪ NEW</v>
      </c>
      <c r="J35" s="4" t="n">
        <f aca="true">IF(E35="",999,IF(F35&gt;=5,9999,IF(H35="",999,H35-TODAY())))</f>
        <v>999</v>
      </c>
      <c r="K35" s="12"/>
    </row>
    <row r="36" customFormat="false" ht="15" hidden="false" customHeight="true" outlineLevel="0" collapsed="false">
      <c r="A36" s="13" t="n">
        <f aca="false">ROW()-2</f>
        <v>34</v>
      </c>
      <c r="B36" s="14" t="s">
        <v>33</v>
      </c>
      <c r="C36" s="14" t="s">
        <v>34</v>
      </c>
      <c r="D36" s="15" t="s">
        <v>49</v>
      </c>
      <c r="E36" s="20"/>
      <c r="F36" s="8" t="n">
        <v>0</v>
      </c>
      <c r="G36" s="16" t="n">
        <f aca="false">IF(F36=0,1,IF(F36=1,3,IF(F36=2,7,IF(F36=3,14,IF(F36=4,30,60)))))</f>
        <v>1</v>
      </c>
      <c r="H36" s="17" t="str">
        <f aca="false">IF(E36="","",E36+G36)</f>
        <v/>
      </c>
      <c r="I36" s="18" t="str">
        <f aca="true">IF(E36="","⚪ NEW",IF(F36&gt;=5,"✅ DONE",IF(H36&lt;TODAY(),"🔴 OVERDUE",IF(H36=TODAY(),"🟢 TODAY",IF(H36=TODAY()+1,"🔵 TOMORROW",IF(H36&lt;=TODAY()+7,"📅 THIS WEEK","⏳ SCHEDULED"))))))</f>
        <v>⚪ NEW</v>
      </c>
      <c r="J36" s="13" t="n">
        <f aca="true">IF(E36="",999,IF(F36&gt;=5,9999,IF(H36="",999,H36-TODAY())))</f>
        <v>999</v>
      </c>
      <c r="K36" s="19"/>
    </row>
    <row r="37" customFormat="false" ht="15" hidden="false" customHeight="true" outlineLevel="0" collapsed="false">
      <c r="A37" s="4" t="n">
        <f aca="false">ROW()-2</f>
        <v>35</v>
      </c>
      <c r="B37" s="5" t="s">
        <v>33</v>
      </c>
      <c r="C37" s="5" t="s">
        <v>34</v>
      </c>
      <c r="D37" s="6" t="s">
        <v>50</v>
      </c>
      <c r="E37" s="20"/>
      <c r="F37" s="8" t="n">
        <v>0</v>
      </c>
      <c r="G37" s="9" t="n">
        <f aca="false">IF(F37=0,1,IF(F37=1,3,IF(F37=2,7,IF(F37=3,14,IF(F37=4,30,60)))))</f>
        <v>1</v>
      </c>
      <c r="H37" s="10" t="str">
        <f aca="false">IF(E37="","",E37+G37)</f>
        <v/>
      </c>
      <c r="I37" s="11" t="str">
        <f aca="true">IF(E37="","⚪ NEW",IF(F37&gt;=5,"✅ DONE",IF(H37&lt;TODAY(),"🔴 OVERDUE",IF(H37=TODAY(),"🟢 TODAY",IF(H37=TODAY()+1,"🔵 TOMORROW",IF(H37&lt;=TODAY()+7,"📅 THIS WEEK","⏳ SCHEDULED"))))))</f>
        <v>⚪ NEW</v>
      </c>
      <c r="J37" s="4" t="n">
        <f aca="true">IF(E37="",999,IF(F37&gt;=5,9999,IF(H37="",999,H37-TODAY())))</f>
        <v>999</v>
      </c>
      <c r="K37" s="12"/>
    </row>
    <row r="38" customFormat="false" ht="15" hidden="false" customHeight="true" outlineLevel="0" collapsed="false">
      <c r="A38" s="13" t="n">
        <f aca="false">ROW()-2</f>
        <v>36</v>
      </c>
      <c r="B38" s="14" t="s">
        <v>33</v>
      </c>
      <c r="C38" s="14" t="s">
        <v>34</v>
      </c>
      <c r="D38" s="15" t="s">
        <v>51</v>
      </c>
      <c r="E38" s="20"/>
      <c r="F38" s="8" t="n">
        <v>0</v>
      </c>
      <c r="G38" s="16" t="n">
        <f aca="false">IF(F38=0,1,IF(F38=1,3,IF(F38=2,7,IF(F38=3,14,IF(F38=4,30,60)))))</f>
        <v>1</v>
      </c>
      <c r="H38" s="17" t="str">
        <f aca="false">IF(E38="","",E38+G38)</f>
        <v/>
      </c>
      <c r="I38" s="18" t="str">
        <f aca="true">IF(E38="","⚪ NEW",IF(F38&gt;=5,"✅ DONE",IF(H38&lt;TODAY(),"🔴 OVERDUE",IF(H38=TODAY(),"🟢 TODAY",IF(H38=TODAY()+1,"🔵 TOMORROW",IF(H38&lt;=TODAY()+7,"📅 THIS WEEK","⏳ SCHEDULED"))))))</f>
        <v>⚪ NEW</v>
      </c>
      <c r="J38" s="13" t="n">
        <f aca="true">IF(E38="",999,IF(F38&gt;=5,9999,IF(H38="",999,H38-TODAY())))</f>
        <v>999</v>
      </c>
      <c r="K38" s="19"/>
    </row>
    <row r="39" customFormat="false" ht="15" hidden="false" customHeight="true" outlineLevel="0" collapsed="false">
      <c r="A39" s="4" t="n">
        <f aca="false">ROW()-2</f>
        <v>37</v>
      </c>
      <c r="B39" s="5" t="s">
        <v>33</v>
      </c>
      <c r="C39" s="5" t="s">
        <v>34</v>
      </c>
      <c r="D39" s="6" t="s">
        <v>52</v>
      </c>
      <c r="E39" s="20"/>
      <c r="F39" s="8" t="n">
        <v>0</v>
      </c>
      <c r="G39" s="9" t="n">
        <f aca="false">IF(F39=0,1,IF(F39=1,3,IF(F39=2,7,IF(F39=3,14,IF(F39=4,30,60)))))</f>
        <v>1</v>
      </c>
      <c r="H39" s="10" t="str">
        <f aca="false">IF(E39="","",E39+G39)</f>
        <v/>
      </c>
      <c r="I39" s="11" t="str">
        <f aca="true">IF(E39="","⚪ NEW",IF(F39&gt;=5,"✅ DONE",IF(H39&lt;TODAY(),"🔴 OVERDUE",IF(H39=TODAY(),"🟢 TODAY",IF(H39=TODAY()+1,"🔵 TOMORROW",IF(H39&lt;=TODAY()+7,"📅 THIS WEEK","⏳ SCHEDULED"))))))</f>
        <v>⚪ NEW</v>
      </c>
      <c r="J39" s="4" t="n">
        <f aca="true">IF(E39="",999,IF(F39&gt;=5,9999,IF(H39="",999,H39-TODAY())))</f>
        <v>999</v>
      </c>
      <c r="K39" s="12"/>
    </row>
    <row r="40" customFormat="false" ht="15" hidden="false" customHeight="true" outlineLevel="0" collapsed="false">
      <c r="A40" s="13" t="n">
        <f aca="false">ROW()-2</f>
        <v>38</v>
      </c>
      <c r="B40" s="14" t="s">
        <v>53</v>
      </c>
      <c r="C40" s="14" t="s">
        <v>53</v>
      </c>
      <c r="D40" s="15" t="s">
        <v>54</v>
      </c>
      <c r="E40" s="20"/>
      <c r="F40" s="8" t="n">
        <v>0</v>
      </c>
      <c r="G40" s="16" t="n">
        <f aca="false">IF(F40=0,1,IF(F40=1,3,IF(F40=2,7,IF(F40=3,14,IF(F40=4,30,60)))))</f>
        <v>1</v>
      </c>
      <c r="H40" s="17" t="str">
        <f aca="false">IF(E40="","",E40+G40)</f>
        <v/>
      </c>
      <c r="I40" s="18" t="str">
        <f aca="true">IF(E40="","⚪ NEW",IF(F40&gt;=5,"✅ DONE",IF(H40&lt;TODAY(),"🔴 OVERDUE",IF(H40=TODAY(),"🟢 TODAY",IF(H40=TODAY()+1,"🔵 TOMORROW",IF(H40&lt;=TODAY()+7,"📅 THIS WEEK","⏳ SCHEDULED"))))))</f>
        <v>⚪ NEW</v>
      </c>
      <c r="J40" s="13" t="n">
        <f aca="true">IF(E40="",999,IF(F40&gt;=5,9999,IF(H40="",999,H40-TODAY())))</f>
        <v>999</v>
      </c>
      <c r="K40" s="19"/>
    </row>
    <row r="41" customFormat="false" ht="15" hidden="false" customHeight="true" outlineLevel="0" collapsed="false">
      <c r="A41" s="4" t="n">
        <f aca="false">ROW()-2</f>
        <v>39</v>
      </c>
      <c r="B41" s="5" t="s">
        <v>53</v>
      </c>
      <c r="C41" s="5" t="s">
        <v>53</v>
      </c>
      <c r="D41" s="6" t="s">
        <v>55</v>
      </c>
      <c r="E41" s="20"/>
      <c r="F41" s="8" t="n">
        <v>0</v>
      </c>
      <c r="G41" s="9" t="n">
        <f aca="false">IF(F41=0,1,IF(F41=1,3,IF(F41=2,7,IF(F41=3,14,IF(F41=4,30,60)))))</f>
        <v>1</v>
      </c>
      <c r="H41" s="10" t="str">
        <f aca="false">IF(E41="","",E41+G41)</f>
        <v/>
      </c>
      <c r="I41" s="11" t="str">
        <f aca="true">IF(E41="","⚪ NEW",IF(F41&gt;=5,"✅ DONE",IF(H41&lt;TODAY(),"🔴 OVERDUE",IF(H41=TODAY(),"🟢 TODAY",IF(H41=TODAY()+1,"🔵 TOMORROW",IF(H41&lt;=TODAY()+7,"📅 THIS WEEK","⏳ SCHEDULED"))))))</f>
        <v>⚪ NEW</v>
      </c>
      <c r="J41" s="4" t="n">
        <f aca="true">IF(E41="",999,IF(F41&gt;=5,9999,IF(H41="",999,H41-TODAY())))</f>
        <v>999</v>
      </c>
      <c r="K41" s="12"/>
    </row>
    <row r="42" customFormat="false" ht="15" hidden="false" customHeight="true" outlineLevel="0" collapsed="false">
      <c r="A42" s="13" t="n">
        <f aca="false">ROW()-2</f>
        <v>40</v>
      </c>
      <c r="B42" s="14" t="s">
        <v>53</v>
      </c>
      <c r="C42" s="14" t="s">
        <v>53</v>
      </c>
      <c r="D42" s="15" t="s">
        <v>56</v>
      </c>
      <c r="E42" s="20"/>
      <c r="F42" s="8" t="n">
        <v>0</v>
      </c>
      <c r="G42" s="16" t="n">
        <f aca="false">IF(F42=0,1,IF(F42=1,3,IF(F42=2,7,IF(F42=3,14,IF(F42=4,30,60)))))</f>
        <v>1</v>
      </c>
      <c r="H42" s="17" t="str">
        <f aca="false">IF(E42="","",E42+G42)</f>
        <v/>
      </c>
      <c r="I42" s="18" t="str">
        <f aca="true">IF(E42="","⚪ NEW",IF(F42&gt;=5,"✅ DONE",IF(H42&lt;TODAY(),"🔴 OVERDUE",IF(H42=TODAY(),"🟢 TODAY",IF(H42=TODAY()+1,"🔵 TOMORROW",IF(H42&lt;=TODAY()+7,"📅 THIS WEEK","⏳ SCHEDULED"))))))</f>
        <v>⚪ NEW</v>
      </c>
      <c r="J42" s="13" t="n">
        <f aca="true">IF(E42="",999,IF(F42&gt;=5,9999,IF(H42="",999,H42-TODAY())))</f>
        <v>999</v>
      </c>
      <c r="K42" s="19"/>
    </row>
    <row r="43" customFormat="false" ht="15" hidden="false" customHeight="true" outlineLevel="0" collapsed="false">
      <c r="A43" s="4" t="n">
        <f aca="false">ROW()-2</f>
        <v>41</v>
      </c>
      <c r="B43" s="5" t="s">
        <v>53</v>
      </c>
      <c r="C43" s="5" t="s">
        <v>53</v>
      </c>
      <c r="D43" s="6" t="s">
        <v>57</v>
      </c>
      <c r="E43" s="20"/>
      <c r="F43" s="8" t="n">
        <v>0</v>
      </c>
      <c r="G43" s="9" t="n">
        <f aca="false">IF(F43=0,1,IF(F43=1,3,IF(F43=2,7,IF(F43=3,14,IF(F43=4,30,60)))))</f>
        <v>1</v>
      </c>
      <c r="H43" s="10" t="str">
        <f aca="false">IF(E43="","",E43+G43)</f>
        <v/>
      </c>
      <c r="I43" s="11" t="str">
        <f aca="true">IF(E43="","⚪ NEW",IF(F43&gt;=5,"✅ DONE",IF(H43&lt;TODAY(),"🔴 OVERDUE",IF(H43=TODAY(),"🟢 TODAY",IF(H43=TODAY()+1,"🔵 TOMORROW",IF(H43&lt;=TODAY()+7,"📅 THIS WEEK","⏳ SCHEDULED"))))))</f>
        <v>⚪ NEW</v>
      </c>
      <c r="J43" s="4" t="n">
        <f aca="true">IF(E43="",999,IF(F43&gt;=5,9999,IF(H43="",999,H43-TODAY())))</f>
        <v>999</v>
      </c>
      <c r="K43" s="12"/>
    </row>
    <row r="44" customFormat="false" ht="15" hidden="false" customHeight="true" outlineLevel="0" collapsed="false">
      <c r="A44" s="13" t="n">
        <f aca="false">ROW()-2</f>
        <v>42</v>
      </c>
      <c r="B44" s="14" t="s">
        <v>53</v>
      </c>
      <c r="C44" s="14" t="s">
        <v>53</v>
      </c>
      <c r="D44" s="15" t="s">
        <v>58</v>
      </c>
      <c r="E44" s="20"/>
      <c r="F44" s="8" t="n">
        <v>0</v>
      </c>
      <c r="G44" s="16" t="n">
        <f aca="false">IF(F44=0,1,IF(F44=1,3,IF(F44=2,7,IF(F44=3,14,IF(F44=4,30,60)))))</f>
        <v>1</v>
      </c>
      <c r="H44" s="17" t="str">
        <f aca="false">IF(E44="","",E44+G44)</f>
        <v/>
      </c>
      <c r="I44" s="18" t="str">
        <f aca="true">IF(E44="","⚪ NEW",IF(F44&gt;=5,"✅ DONE",IF(H44&lt;TODAY(),"🔴 OVERDUE",IF(H44=TODAY(),"🟢 TODAY",IF(H44=TODAY()+1,"🔵 TOMORROW",IF(H44&lt;=TODAY()+7,"📅 THIS WEEK","⏳ SCHEDULED"))))))</f>
        <v>⚪ NEW</v>
      </c>
      <c r="J44" s="13" t="n">
        <f aca="true">IF(E44="",999,IF(F44&gt;=5,9999,IF(H44="",999,H44-TODAY())))</f>
        <v>999</v>
      </c>
      <c r="K44" s="19"/>
    </row>
    <row r="45" customFormat="false" ht="15" hidden="false" customHeight="true" outlineLevel="0" collapsed="false">
      <c r="A45" s="4" t="n">
        <f aca="false">ROW()-2</f>
        <v>43</v>
      </c>
      <c r="B45" s="5" t="s">
        <v>59</v>
      </c>
      <c r="C45" s="5" t="s">
        <v>60</v>
      </c>
      <c r="D45" s="6" t="s">
        <v>61</v>
      </c>
      <c r="E45" s="7" t="n">
        <v>46076</v>
      </c>
      <c r="F45" s="8" t="n">
        <v>0</v>
      </c>
      <c r="G45" s="9" t="n">
        <f aca="false">IF(F45=0,1,IF(F45=1,3,IF(F45=2,7,IF(F45=3,14,IF(F45=4,30,60)))))</f>
        <v>1</v>
      </c>
      <c r="H45" s="10" t="n">
        <f aca="false">IF(E45="","",E45+G45)</f>
        <v>46077</v>
      </c>
      <c r="I45" s="11" t="str">
        <f aca="true">IF(E45="","⚪ NEW",IF(F45&gt;=5,"✅ DONE",IF(H45&lt;TODAY(),"🔴 OVERDUE",IF(H45=TODAY(),"🟢 TODAY",IF(H45=TODAY()+1,"🔵 TOMORROW",IF(H45&lt;=TODAY()+7,"📅 THIS WEEK","⏳ SCHEDULED"))))))</f>
        <v>🔴 OVERDUE</v>
      </c>
      <c r="J45" s="4" t="n">
        <f aca="true">IF(E45="",999,IF(F45&gt;=5,9999,IF(H45="",999,H45-TODAY())))</f>
        <v>-32</v>
      </c>
      <c r="K45" s="12"/>
    </row>
    <row r="46" customFormat="false" ht="15" hidden="false" customHeight="true" outlineLevel="0" collapsed="false">
      <c r="A46" s="13" t="n">
        <f aca="false">ROW()-2</f>
        <v>44</v>
      </c>
      <c r="B46" s="14" t="s">
        <v>59</v>
      </c>
      <c r="C46" s="14" t="s">
        <v>60</v>
      </c>
      <c r="D46" s="15" t="s">
        <v>62</v>
      </c>
      <c r="E46" s="20"/>
      <c r="F46" s="8" t="n">
        <v>0</v>
      </c>
      <c r="G46" s="16" t="n">
        <f aca="false">IF(F46=0,1,IF(F46=1,3,IF(F46=2,7,IF(F46=3,14,IF(F46=4,30,60)))))</f>
        <v>1</v>
      </c>
      <c r="H46" s="17" t="str">
        <f aca="false">IF(E46="","",E46+G46)</f>
        <v/>
      </c>
      <c r="I46" s="18" t="str">
        <f aca="true">IF(E46="","⚪ NEW",IF(F46&gt;=5,"✅ DONE",IF(H46&lt;TODAY(),"🔴 OVERDUE",IF(H46=TODAY(),"🟢 TODAY",IF(H46=TODAY()+1,"🔵 TOMORROW",IF(H46&lt;=TODAY()+7,"📅 THIS WEEK","⏳ SCHEDULED"))))))</f>
        <v>⚪ NEW</v>
      </c>
      <c r="J46" s="13" t="n">
        <f aca="true">IF(E46="",999,IF(F46&gt;=5,9999,IF(H46="",999,H46-TODAY())))</f>
        <v>999</v>
      </c>
      <c r="K46" s="19"/>
    </row>
    <row r="47" customFormat="false" ht="15" hidden="false" customHeight="true" outlineLevel="0" collapsed="false">
      <c r="A47" s="4" t="n">
        <f aca="false">ROW()-2</f>
        <v>45</v>
      </c>
      <c r="B47" s="5" t="s">
        <v>59</v>
      </c>
      <c r="C47" s="5" t="s">
        <v>60</v>
      </c>
      <c r="D47" s="6" t="s">
        <v>63</v>
      </c>
      <c r="E47" s="20"/>
      <c r="F47" s="8" t="n">
        <v>0</v>
      </c>
      <c r="G47" s="9" t="n">
        <f aca="false">IF(F47=0,1,IF(F47=1,3,IF(F47=2,7,IF(F47=3,14,IF(F47=4,30,60)))))</f>
        <v>1</v>
      </c>
      <c r="H47" s="10" t="str">
        <f aca="false">IF(E47="","",E47+G47)</f>
        <v/>
      </c>
      <c r="I47" s="11" t="str">
        <f aca="true">IF(E47="","⚪ NEW",IF(F47&gt;=5,"✅ DONE",IF(H47&lt;TODAY(),"🔴 OVERDUE",IF(H47=TODAY(),"🟢 TODAY",IF(H47=TODAY()+1,"🔵 TOMORROW",IF(H47&lt;=TODAY()+7,"📅 THIS WEEK","⏳ SCHEDULED"))))))</f>
        <v>⚪ NEW</v>
      </c>
      <c r="J47" s="4" t="n">
        <f aca="true">IF(E47="",999,IF(F47&gt;=5,9999,IF(H47="",999,H47-TODAY())))</f>
        <v>999</v>
      </c>
      <c r="K47" s="12"/>
    </row>
    <row r="48" customFormat="false" ht="15" hidden="false" customHeight="true" outlineLevel="0" collapsed="false">
      <c r="A48" s="13" t="n">
        <f aca="false">ROW()-2</f>
        <v>46</v>
      </c>
      <c r="B48" s="14" t="s">
        <v>59</v>
      </c>
      <c r="C48" s="14" t="s">
        <v>60</v>
      </c>
      <c r="D48" s="15" t="s">
        <v>64</v>
      </c>
      <c r="E48" s="20"/>
      <c r="F48" s="8" t="n">
        <v>0</v>
      </c>
      <c r="G48" s="16" t="n">
        <f aca="false">IF(F48=0,1,IF(F48=1,3,IF(F48=2,7,IF(F48=3,14,IF(F48=4,30,60)))))</f>
        <v>1</v>
      </c>
      <c r="H48" s="17" t="str">
        <f aca="false">IF(E48="","",E48+G48)</f>
        <v/>
      </c>
      <c r="I48" s="18" t="str">
        <f aca="true">IF(E48="","⚪ NEW",IF(F48&gt;=5,"✅ DONE",IF(H48&lt;TODAY(),"🔴 OVERDUE",IF(H48=TODAY(),"🟢 TODAY",IF(H48=TODAY()+1,"🔵 TOMORROW",IF(H48&lt;=TODAY()+7,"📅 THIS WEEK","⏳ SCHEDULED"))))))</f>
        <v>⚪ NEW</v>
      </c>
      <c r="J48" s="13" t="n">
        <f aca="true">IF(E48="",999,IF(F48&gt;=5,9999,IF(H48="",999,H48-TODAY())))</f>
        <v>999</v>
      </c>
      <c r="K48" s="19"/>
    </row>
    <row r="49" customFormat="false" ht="15" hidden="false" customHeight="true" outlineLevel="0" collapsed="false">
      <c r="A49" s="4" t="n">
        <f aca="false">ROW()-2</f>
        <v>47</v>
      </c>
      <c r="B49" s="5" t="s">
        <v>59</v>
      </c>
      <c r="C49" s="5" t="s">
        <v>60</v>
      </c>
      <c r="D49" s="6" t="s">
        <v>65</v>
      </c>
      <c r="E49" s="20"/>
      <c r="F49" s="8" t="n">
        <v>0</v>
      </c>
      <c r="G49" s="9" t="n">
        <f aca="false">IF(F49=0,1,IF(F49=1,3,IF(F49=2,7,IF(F49=3,14,IF(F49=4,30,60)))))</f>
        <v>1</v>
      </c>
      <c r="H49" s="10" t="str">
        <f aca="false">IF(E49="","",E49+G49)</f>
        <v/>
      </c>
      <c r="I49" s="11" t="str">
        <f aca="true">IF(E49="","⚪ NEW",IF(F49&gt;=5,"✅ DONE",IF(H49&lt;TODAY(),"🔴 OVERDUE",IF(H49=TODAY(),"🟢 TODAY",IF(H49=TODAY()+1,"🔵 TOMORROW",IF(H49&lt;=TODAY()+7,"📅 THIS WEEK","⏳ SCHEDULED"))))))</f>
        <v>⚪ NEW</v>
      </c>
      <c r="J49" s="4" t="n">
        <f aca="true">IF(E49="",999,IF(F49&gt;=5,9999,IF(H49="",999,H49-TODAY())))</f>
        <v>999</v>
      </c>
      <c r="K49" s="12"/>
    </row>
    <row r="50" customFormat="false" ht="15" hidden="false" customHeight="true" outlineLevel="0" collapsed="false">
      <c r="A50" s="13" t="n">
        <f aca="false">ROW()-2</f>
        <v>48</v>
      </c>
      <c r="B50" s="14" t="s">
        <v>59</v>
      </c>
      <c r="C50" s="14" t="s">
        <v>60</v>
      </c>
      <c r="D50" s="15" t="s">
        <v>66</v>
      </c>
      <c r="E50" s="20"/>
      <c r="F50" s="8" t="n">
        <v>0</v>
      </c>
      <c r="G50" s="16" t="n">
        <f aca="false">IF(F50=0,1,IF(F50=1,3,IF(F50=2,7,IF(F50=3,14,IF(F50=4,30,60)))))</f>
        <v>1</v>
      </c>
      <c r="H50" s="17" t="str">
        <f aca="false">IF(E50="","",E50+G50)</f>
        <v/>
      </c>
      <c r="I50" s="18" t="str">
        <f aca="true">IF(E50="","⚪ NEW",IF(F50&gt;=5,"✅ DONE",IF(H50&lt;TODAY(),"🔴 OVERDUE",IF(H50=TODAY(),"🟢 TODAY",IF(H50=TODAY()+1,"🔵 TOMORROW",IF(H50&lt;=TODAY()+7,"📅 THIS WEEK","⏳ SCHEDULED"))))))</f>
        <v>⚪ NEW</v>
      </c>
      <c r="J50" s="13" t="n">
        <f aca="true">IF(E50="",999,IF(F50&gt;=5,9999,IF(H50="",999,H50-TODAY())))</f>
        <v>999</v>
      </c>
      <c r="K50" s="19"/>
    </row>
    <row r="51" customFormat="false" ht="15" hidden="false" customHeight="true" outlineLevel="0" collapsed="false">
      <c r="A51" s="4" t="n">
        <f aca="false">ROW()-2</f>
        <v>49</v>
      </c>
      <c r="B51" s="5" t="s">
        <v>59</v>
      </c>
      <c r="C51" s="5" t="s">
        <v>60</v>
      </c>
      <c r="D51" s="6" t="s">
        <v>67</v>
      </c>
      <c r="E51" s="20"/>
      <c r="F51" s="8" t="n">
        <v>0</v>
      </c>
      <c r="G51" s="9" t="n">
        <f aca="false">IF(F51=0,1,IF(F51=1,3,IF(F51=2,7,IF(F51=3,14,IF(F51=4,30,60)))))</f>
        <v>1</v>
      </c>
      <c r="H51" s="10" t="str">
        <f aca="false">IF(E51="","",E51+G51)</f>
        <v/>
      </c>
      <c r="I51" s="11" t="str">
        <f aca="true">IF(E51="","⚪ NEW",IF(F51&gt;=5,"✅ DONE",IF(H51&lt;TODAY(),"🔴 OVERDUE",IF(H51=TODAY(),"🟢 TODAY",IF(H51=TODAY()+1,"🔵 TOMORROW",IF(H51&lt;=TODAY()+7,"📅 THIS WEEK","⏳ SCHEDULED"))))))</f>
        <v>⚪ NEW</v>
      </c>
      <c r="J51" s="4" t="n">
        <f aca="true">IF(E51="",999,IF(F51&gt;=5,9999,IF(H51="",999,H51-TODAY())))</f>
        <v>999</v>
      </c>
      <c r="K51" s="12"/>
    </row>
    <row r="52" customFormat="false" ht="15" hidden="false" customHeight="true" outlineLevel="0" collapsed="false">
      <c r="A52" s="13" t="n">
        <f aca="false">ROW()-2</f>
        <v>50</v>
      </c>
      <c r="B52" s="14" t="s">
        <v>59</v>
      </c>
      <c r="C52" s="14" t="s">
        <v>60</v>
      </c>
      <c r="D52" s="15" t="s">
        <v>68</v>
      </c>
      <c r="E52" s="20"/>
      <c r="F52" s="8" t="n">
        <v>0</v>
      </c>
      <c r="G52" s="16" t="n">
        <f aca="false">IF(F52=0,1,IF(F52=1,3,IF(F52=2,7,IF(F52=3,14,IF(F52=4,30,60)))))</f>
        <v>1</v>
      </c>
      <c r="H52" s="17" t="str">
        <f aca="false">IF(E52="","",E52+G52)</f>
        <v/>
      </c>
      <c r="I52" s="18" t="str">
        <f aca="true">IF(E52="","⚪ NEW",IF(F52&gt;=5,"✅ DONE",IF(H52&lt;TODAY(),"🔴 OVERDUE",IF(H52=TODAY(),"🟢 TODAY",IF(H52=TODAY()+1,"🔵 TOMORROW",IF(H52&lt;=TODAY()+7,"📅 THIS WEEK","⏳ SCHEDULED"))))))</f>
        <v>⚪ NEW</v>
      </c>
      <c r="J52" s="13" t="n">
        <f aca="true">IF(E52="",999,IF(F52&gt;=5,9999,IF(H52="",999,H52-TODAY())))</f>
        <v>999</v>
      </c>
      <c r="K52" s="19"/>
    </row>
    <row r="53" customFormat="false" ht="15" hidden="false" customHeight="true" outlineLevel="0" collapsed="false">
      <c r="A53" s="4" t="n">
        <f aca="false">ROW()-2</f>
        <v>51</v>
      </c>
      <c r="B53" s="5" t="s">
        <v>59</v>
      </c>
      <c r="C53" s="5" t="s">
        <v>60</v>
      </c>
      <c r="D53" s="6" t="s">
        <v>69</v>
      </c>
      <c r="E53" s="20"/>
      <c r="F53" s="8" t="n">
        <v>0</v>
      </c>
      <c r="G53" s="9" t="n">
        <f aca="false">IF(F53=0,1,IF(F53=1,3,IF(F53=2,7,IF(F53=3,14,IF(F53=4,30,60)))))</f>
        <v>1</v>
      </c>
      <c r="H53" s="10" t="str">
        <f aca="false">IF(E53="","",E53+G53)</f>
        <v/>
      </c>
      <c r="I53" s="11" t="str">
        <f aca="true">IF(E53="","⚪ NEW",IF(F53&gt;=5,"✅ DONE",IF(H53&lt;TODAY(),"🔴 OVERDUE",IF(H53=TODAY(),"🟢 TODAY",IF(H53=TODAY()+1,"🔵 TOMORROW",IF(H53&lt;=TODAY()+7,"📅 THIS WEEK","⏳ SCHEDULED"))))))</f>
        <v>⚪ NEW</v>
      </c>
      <c r="J53" s="4" t="n">
        <f aca="true">IF(E53="",999,IF(F53&gt;=5,9999,IF(H53="",999,H53-TODAY())))</f>
        <v>999</v>
      </c>
      <c r="K53" s="12"/>
    </row>
    <row r="54" customFormat="false" ht="15" hidden="false" customHeight="true" outlineLevel="0" collapsed="false">
      <c r="A54" s="13" t="n">
        <f aca="false">ROW()-2</f>
        <v>52</v>
      </c>
      <c r="B54" s="14" t="s">
        <v>59</v>
      </c>
      <c r="C54" s="14" t="s">
        <v>60</v>
      </c>
      <c r="D54" s="15" t="s">
        <v>70</v>
      </c>
      <c r="E54" s="20"/>
      <c r="F54" s="8" t="n">
        <v>0</v>
      </c>
      <c r="G54" s="16" t="n">
        <f aca="false">IF(F54=0,1,IF(F54=1,3,IF(F54=2,7,IF(F54=3,14,IF(F54=4,30,60)))))</f>
        <v>1</v>
      </c>
      <c r="H54" s="17" t="str">
        <f aca="false">IF(E54="","",E54+G54)</f>
        <v/>
      </c>
      <c r="I54" s="18" t="str">
        <f aca="true">IF(E54="","⚪ NEW",IF(F54&gt;=5,"✅ DONE",IF(H54&lt;TODAY(),"🔴 OVERDUE",IF(H54=TODAY(),"🟢 TODAY",IF(H54=TODAY()+1,"🔵 TOMORROW",IF(H54&lt;=TODAY()+7,"📅 THIS WEEK","⏳ SCHEDULED"))))))</f>
        <v>⚪ NEW</v>
      </c>
      <c r="J54" s="13" t="n">
        <f aca="true">IF(E54="",999,IF(F54&gt;=5,9999,IF(H54="",999,H54-TODAY())))</f>
        <v>999</v>
      </c>
      <c r="K54" s="19"/>
    </row>
    <row r="55" customFormat="false" ht="15" hidden="false" customHeight="true" outlineLevel="0" collapsed="false">
      <c r="A55" s="4" t="n">
        <f aca="false">ROW()-2</f>
        <v>53</v>
      </c>
      <c r="B55" s="5" t="s">
        <v>59</v>
      </c>
      <c r="C55" s="5" t="s">
        <v>60</v>
      </c>
      <c r="D55" s="6" t="s">
        <v>71</v>
      </c>
      <c r="E55" s="20"/>
      <c r="F55" s="8" t="n">
        <v>0</v>
      </c>
      <c r="G55" s="9" t="n">
        <f aca="false">IF(F55=0,1,IF(F55=1,3,IF(F55=2,7,IF(F55=3,14,IF(F55=4,30,60)))))</f>
        <v>1</v>
      </c>
      <c r="H55" s="10" t="str">
        <f aca="false">IF(E55="","",E55+G55)</f>
        <v/>
      </c>
      <c r="I55" s="11" t="str">
        <f aca="true">IF(E55="","⚪ NEW",IF(F55&gt;=5,"✅ DONE",IF(H55&lt;TODAY(),"🔴 OVERDUE",IF(H55=TODAY(),"🟢 TODAY",IF(H55=TODAY()+1,"🔵 TOMORROW",IF(H55&lt;=TODAY()+7,"📅 THIS WEEK","⏳ SCHEDULED"))))))</f>
        <v>⚪ NEW</v>
      </c>
      <c r="J55" s="4" t="n">
        <f aca="true">IF(E55="",999,IF(F55&gt;=5,9999,IF(H55="",999,H55-TODAY())))</f>
        <v>999</v>
      </c>
      <c r="K55" s="12"/>
    </row>
    <row r="56" customFormat="false" ht="15" hidden="false" customHeight="true" outlineLevel="0" collapsed="false">
      <c r="A56" s="13" t="n">
        <f aca="false">ROW()-2</f>
        <v>54</v>
      </c>
      <c r="B56" s="14" t="s">
        <v>59</v>
      </c>
      <c r="C56" s="14" t="s">
        <v>60</v>
      </c>
      <c r="D56" s="15" t="s">
        <v>72</v>
      </c>
      <c r="E56" s="20"/>
      <c r="F56" s="8" t="n">
        <v>0</v>
      </c>
      <c r="G56" s="16" t="n">
        <f aca="false">IF(F56=0,1,IF(F56=1,3,IF(F56=2,7,IF(F56=3,14,IF(F56=4,30,60)))))</f>
        <v>1</v>
      </c>
      <c r="H56" s="17" t="str">
        <f aca="false">IF(E56="","",E56+G56)</f>
        <v/>
      </c>
      <c r="I56" s="18" t="str">
        <f aca="true">IF(E56="","⚪ NEW",IF(F56&gt;=5,"✅ DONE",IF(H56&lt;TODAY(),"🔴 OVERDUE",IF(H56=TODAY(),"🟢 TODAY",IF(H56=TODAY()+1,"🔵 TOMORROW",IF(H56&lt;=TODAY()+7,"📅 THIS WEEK","⏳ SCHEDULED"))))))</f>
        <v>⚪ NEW</v>
      </c>
      <c r="J56" s="13" t="n">
        <f aca="true">IF(E56="",999,IF(F56&gt;=5,9999,IF(H56="",999,H56-TODAY())))</f>
        <v>999</v>
      </c>
      <c r="K56" s="19"/>
    </row>
    <row r="57" customFormat="false" ht="15" hidden="false" customHeight="true" outlineLevel="0" collapsed="false">
      <c r="A57" s="4" t="n">
        <f aca="false">ROW()-2</f>
        <v>55</v>
      </c>
      <c r="B57" s="5" t="s">
        <v>59</v>
      </c>
      <c r="C57" s="5" t="s">
        <v>60</v>
      </c>
      <c r="D57" s="6" t="s">
        <v>73</v>
      </c>
      <c r="E57" s="20"/>
      <c r="F57" s="8" t="n">
        <v>0</v>
      </c>
      <c r="G57" s="9" t="n">
        <f aca="false">IF(F57=0,1,IF(F57=1,3,IF(F57=2,7,IF(F57=3,14,IF(F57=4,30,60)))))</f>
        <v>1</v>
      </c>
      <c r="H57" s="10" t="str">
        <f aca="false">IF(E57="","",E57+G57)</f>
        <v/>
      </c>
      <c r="I57" s="11" t="str">
        <f aca="true">IF(E57="","⚪ NEW",IF(F57&gt;=5,"✅ DONE",IF(H57&lt;TODAY(),"🔴 OVERDUE",IF(H57=TODAY(),"🟢 TODAY",IF(H57=TODAY()+1,"🔵 TOMORROW",IF(H57&lt;=TODAY()+7,"📅 THIS WEEK","⏳ SCHEDULED"))))))</f>
        <v>⚪ NEW</v>
      </c>
      <c r="J57" s="4" t="n">
        <f aca="true">IF(E57="",999,IF(F57&gt;=5,9999,IF(H57="",999,H57-TODAY())))</f>
        <v>999</v>
      </c>
      <c r="K57" s="12"/>
    </row>
    <row r="58" customFormat="false" ht="15" hidden="false" customHeight="true" outlineLevel="0" collapsed="false">
      <c r="A58" s="13" t="n">
        <f aca="false">ROW()-2</f>
        <v>56</v>
      </c>
      <c r="B58" s="14" t="s">
        <v>59</v>
      </c>
      <c r="C58" s="14" t="s">
        <v>60</v>
      </c>
      <c r="D58" s="15" t="s">
        <v>74</v>
      </c>
      <c r="E58" s="20"/>
      <c r="F58" s="8" t="n">
        <v>0</v>
      </c>
      <c r="G58" s="16" t="n">
        <f aca="false">IF(F58=0,1,IF(F58=1,3,IF(F58=2,7,IF(F58=3,14,IF(F58=4,30,60)))))</f>
        <v>1</v>
      </c>
      <c r="H58" s="17" t="str">
        <f aca="false">IF(E58="","",E58+G58)</f>
        <v/>
      </c>
      <c r="I58" s="18" t="str">
        <f aca="true">IF(E58="","⚪ NEW",IF(F58&gt;=5,"✅ DONE",IF(H58&lt;TODAY(),"🔴 OVERDUE",IF(H58=TODAY(),"🟢 TODAY",IF(H58=TODAY()+1,"🔵 TOMORROW",IF(H58&lt;=TODAY()+7,"📅 THIS WEEK","⏳ SCHEDULED"))))))</f>
        <v>⚪ NEW</v>
      </c>
      <c r="J58" s="13" t="n">
        <f aca="true">IF(E58="",999,IF(F58&gt;=5,9999,IF(H58="",999,H58-TODAY())))</f>
        <v>999</v>
      </c>
      <c r="K58" s="19"/>
    </row>
    <row r="59" customFormat="false" ht="15" hidden="false" customHeight="true" outlineLevel="0" collapsed="false">
      <c r="A59" s="4" t="n">
        <f aca="false">ROW()-2</f>
        <v>57</v>
      </c>
      <c r="B59" s="5" t="s">
        <v>59</v>
      </c>
      <c r="C59" s="5" t="s">
        <v>60</v>
      </c>
      <c r="D59" s="6" t="s">
        <v>75</v>
      </c>
      <c r="E59" s="20"/>
      <c r="F59" s="8" t="n">
        <v>0</v>
      </c>
      <c r="G59" s="9" t="n">
        <f aca="false">IF(F59=0,1,IF(F59=1,3,IF(F59=2,7,IF(F59=3,14,IF(F59=4,30,60)))))</f>
        <v>1</v>
      </c>
      <c r="H59" s="10" t="str">
        <f aca="false">IF(E59="","",E59+G59)</f>
        <v/>
      </c>
      <c r="I59" s="11" t="str">
        <f aca="true">IF(E59="","⚪ NEW",IF(F59&gt;=5,"✅ DONE",IF(H59&lt;TODAY(),"🔴 OVERDUE",IF(H59=TODAY(),"🟢 TODAY",IF(H59=TODAY()+1,"🔵 TOMORROW",IF(H59&lt;=TODAY()+7,"📅 THIS WEEK","⏳ SCHEDULED"))))))</f>
        <v>⚪ NEW</v>
      </c>
      <c r="J59" s="4" t="n">
        <f aca="true">IF(E59="",999,IF(F59&gt;=5,9999,IF(H59="",999,H59-TODAY())))</f>
        <v>999</v>
      </c>
      <c r="K59" s="12"/>
    </row>
    <row r="60" customFormat="false" ht="15" hidden="false" customHeight="true" outlineLevel="0" collapsed="false">
      <c r="A60" s="13" t="n">
        <f aca="false">ROW()-2</f>
        <v>58</v>
      </c>
      <c r="B60" s="14" t="s">
        <v>76</v>
      </c>
      <c r="C60" s="14" t="s">
        <v>77</v>
      </c>
      <c r="D60" s="15" t="s">
        <v>78</v>
      </c>
      <c r="E60" s="20"/>
      <c r="F60" s="8" t="n">
        <v>0</v>
      </c>
      <c r="G60" s="16" t="n">
        <f aca="false">IF(F60=0,1,IF(F60=1,3,IF(F60=2,7,IF(F60=3,14,IF(F60=4,30,60)))))</f>
        <v>1</v>
      </c>
      <c r="H60" s="17" t="str">
        <f aca="false">IF(E60="","",E60+G60)</f>
        <v/>
      </c>
      <c r="I60" s="18" t="str">
        <f aca="true">IF(E60="","⚪ NEW",IF(F60&gt;=5,"✅ DONE",IF(H60&lt;TODAY(),"🔴 OVERDUE",IF(H60=TODAY(),"🟢 TODAY",IF(H60=TODAY()+1,"🔵 TOMORROW",IF(H60&lt;=TODAY()+7,"📅 THIS WEEK","⏳ SCHEDULED"))))))</f>
        <v>⚪ NEW</v>
      </c>
      <c r="J60" s="13" t="n">
        <f aca="true">IF(E60="",999,IF(F60&gt;=5,9999,IF(H60="",999,H60-TODAY())))</f>
        <v>999</v>
      </c>
      <c r="K60" s="19"/>
    </row>
    <row r="61" customFormat="false" ht="15" hidden="false" customHeight="true" outlineLevel="0" collapsed="false">
      <c r="A61" s="4" t="n">
        <f aca="false">ROW()-2</f>
        <v>59</v>
      </c>
      <c r="B61" s="5" t="s">
        <v>76</v>
      </c>
      <c r="C61" s="5" t="s">
        <v>77</v>
      </c>
      <c r="D61" s="6" t="s">
        <v>79</v>
      </c>
      <c r="E61" s="20"/>
      <c r="F61" s="8" t="n">
        <v>0</v>
      </c>
      <c r="G61" s="9" t="n">
        <f aca="false">IF(F61=0,1,IF(F61=1,3,IF(F61=2,7,IF(F61=3,14,IF(F61=4,30,60)))))</f>
        <v>1</v>
      </c>
      <c r="H61" s="10" t="str">
        <f aca="false">IF(E61="","",E61+G61)</f>
        <v/>
      </c>
      <c r="I61" s="11" t="str">
        <f aca="true">IF(E61="","⚪ NEW",IF(F61&gt;=5,"✅ DONE",IF(H61&lt;TODAY(),"🔴 OVERDUE",IF(H61=TODAY(),"🟢 TODAY",IF(H61=TODAY()+1,"🔵 TOMORROW",IF(H61&lt;=TODAY()+7,"📅 THIS WEEK","⏳ SCHEDULED"))))))</f>
        <v>⚪ NEW</v>
      </c>
      <c r="J61" s="4" t="n">
        <f aca="true">IF(E61="",999,IF(F61&gt;=5,9999,IF(H61="",999,H61-TODAY())))</f>
        <v>999</v>
      </c>
      <c r="K61" s="12"/>
    </row>
    <row r="62" customFormat="false" ht="15" hidden="false" customHeight="true" outlineLevel="0" collapsed="false">
      <c r="A62" s="13" t="n">
        <f aca="false">ROW()-2</f>
        <v>60</v>
      </c>
      <c r="B62" s="14" t="s">
        <v>76</v>
      </c>
      <c r="C62" s="14" t="s">
        <v>77</v>
      </c>
      <c r="D62" s="15" t="s">
        <v>80</v>
      </c>
      <c r="E62" s="20"/>
      <c r="F62" s="8" t="n">
        <v>0</v>
      </c>
      <c r="G62" s="16" t="n">
        <f aca="false">IF(F62=0,1,IF(F62=1,3,IF(F62=2,7,IF(F62=3,14,IF(F62=4,30,60)))))</f>
        <v>1</v>
      </c>
      <c r="H62" s="17" t="str">
        <f aca="false">IF(E62="","",E62+G62)</f>
        <v/>
      </c>
      <c r="I62" s="18" t="str">
        <f aca="true">IF(E62="","⚪ NEW",IF(F62&gt;=5,"✅ DONE",IF(H62&lt;TODAY(),"🔴 OVERDUE",IF(H62=TODAY(),"🟢 TODAY",IF(H62=TODAY()+1,"🔵 TOMORROW",IF(H62&lt;=TODAY()+7,"📅 THIS WEEK","⏳ SCHEDULED"))))))</f>
        <v>⚪ NEW</v>
      </c>
      <c r="J62" s="13" t="n">
        <f aca="true">IF(E62="",999,IF(F62&gt;=5,9999,IF(H62="",999,H62-TODAY())))</f>
        <v>999</v>
      </c>
      <c r="K62" s="19"/>
    </row>
    <row r="63" customFormat="false" ht="15" hidden="false" customHeight="true" outlineLevel="0" collapsed="false">
      <c r="A63" s="4" t="n">
        <f aca="false">ROW()-2</f>
        <v>61</v>
      </c>
      <c r="B63" s="5" t="s">
        <v>76</v>
      </c>
      <c r="C63" s="5" t="s">
        <v>77</v>
      </c>
      <c r="D63" s="6" t="s">
        <v>81</v>
      </c>
      <c r="E63" s="20"/>
      <c r="F63" s="8" t="n">
        <v>0</v>
      </c>
      <c r="G63" s="9" t="n">
        <f aca="false">IF(F63=0,1,IF(F63=1,3,IF(F63=2,7,IF(F63=3,14,IF(F63=4,30,60)))))</f>
        <v>1</v>
      </c>
      <c r="H63" s="10" t="str">
        <f aca="false">IF(E63="","",E63+G63)</f>
        <v/>
      </c>
      <c r="I63" s="11" t="str">
        <f aca="true">IF(E63="","⚪ NEW",IF(F63&gt;=5,"✅ DONE",IF(H63&lt;TODAY(),"🔴 OVERDUE",IF(H63=TODAY(),"🟢 TODAY",IF(H63=TODAY()+1,"🔵 TOMORROW",IF(H63&lt;=TODAY()+7,"📅 THIS WEEK","⏳ SCHEDULED"))))))</f>
        <v>⚪ NEW</v>
      </c>
      <c r="J63" s="4" t="n">
        <f aca="true">IF(E63="",999,IF(F63&gt;=5,9999,IF(H63="",999,H63-TODAY())))</f>
        <v>999</v>
      </c>
      <c r="K63" s="12"/>
    </row>
    <row r="64" customFormat="false" ht="15" hidden="false" customHeight="true" outlineLevel="0" collapsed="false">
      <c r="A64" s="13" t="n">
        <f aca="false">ROW()-2</f>
        <v>62</v>
      </c>
      <c r="B64" s="14" t="s">
        <v>76</v>
      </c>
      <c r="C64" s="14" t="s">
        <v>77</v>
      </c>
      <c r="D64" s="15" t="s">
        <v>82</v>
      </c>
      <c r="E64" s="20"/>
      <c r="F64" s="8" t="n">
        <v>0</v>
      </c>
      <c r="G64" s="16" t="n">
        <f aca="false">IF(F64=0,1,IF(F64=1,3,IF(F64=2,7,IF(F64=3,14,IF(F64=4,30,60)))))</f>
        <v>1</v>
      </c>
      <c r="H64" s="17" t="str">
        <f aca="false">IF(E64="","",E64+G64)</f>
        <v/>
      </c>
      <c r="I64" s="18" t="str">
        <f aca="true">IF(E64="","⚪ NEW",IF(F64&gt;=5,"✅ DONE",IF(H64&lt;TODAY(),"🔴 OVERDUE",IF(H64=TODAY(),"🟢 TODAY",IF(H64=TODAY()+1,"🔵 TOMORROW",IF(H64&lt;=TODAY()+7,"📅 THIS WEEK","⏳ SCHEDULED"))))))</f>
        <v>⚪ NEW</v>
      </c>
      <c r="J64" s="13" t="n">
        <f aca="true">IF(E64="",999,IF(F64&gt;=5,9999,IF(H64="",999,H64-TODAY())))</f>
        <v>999</v>
      </c>
      <c r="K64" s="19"/>
    </row>
    <row r="65" customFormat="false" ht="15" hidden="false" customHeight="true" outlineLevel="0" collapsed="false">
      <c r="A65" s="4" t="n">
        <f aca="false">ROW()-2</f>
        <v>63</v>
      </c>
      <c r="B65" s="5" t="s">
        <v>76</v>
      </c>
      <c r="C65" s="5" t="s">
        <v>77</v>
      </c>
      <c r="D65" s="6" t="s">
        <v>83</v>
      </c>
      <c r="E65" s="20"/>
      <c r="F65" s="8" t="n">
        <v>0</v>
      </c>
      <c r="G65" s="9" t="n">
        <f aca="false">IF(F65=0,1,IF(F65=1,3,IF(F65=2,7,IF(F65=3,14,IF(F65=4,30,60)))))</f>
        <v>1</v>
      </c>
      <c r="H65" s="10" t="str">
        <f aca="false">IF(E65="","",E65+G65)</f>
        <v/>
      </c>
      <c r="I65" s="11" t="str">
        <f aca="true">IF(E65="","⚪ NEW",IF(F65&gt;=5,"✅ DONE",IF(H65&lt;TODAY(),"🔴 OVERDUE",IF(H65=TODAY(),"🟢 TODAY",IF(H65=TODAY()+1,"🔵 TOMORROW",IF(H65&lt;=TODAY()+7,"📅 THIS WEEK","⏳ SCHEDULED"))))))</f>
        <v>⚪ NEW</v>
      </c>
      <c r="J65" s="4" t="n">
        <f aca="true">IF(E65="",999,IF(F65&gt;=5,9999,IF(H65="",999,H65-TODAY())))</f>
        <v>999</v>
      </c>
      <c r="K65" s="12"/>
    </row>
    <row r="66" customFormat="false" ht="15" hidden="false" customHeight="true" outlineLevel="0" collapsed="false">
      <c r="A66" s="13" t="n">
        <f aca="false">ROW()-2</f>
        <v>64</v>
      </c>
      <c r="B66" s="14" t="s">
        <v>76</v>
      </c>
      <c r="C66" s="14" t="s">
        <v>77</v>
      </c>
      <c r="D66" s="15" t="s">
        <v>84</v>
      </c>
      <c r="E66" s="20"/>
      <c r="F66" s="8" t="n">
        <v>0</v>
      </c>
      <c r="G66" s="16" t="n">
        <f aca="false">IF(F66=0,1,IF(F66=1,3,IF(F66=2,7,IF(F66=3,14,IF(F66=4,30,60)))))</f>
        <v>1</v>
      </c>
      <c r="H66" s="17" t="str">
        <f aca="false">IF(E66="","",E66+G66)</f>
        <v/>
      </c>
      <c r="I66" s="18" t="str">
        <f aca="true">IF(E66="","⚪ NEW",IF(F66&gt;=5,"✅ DONE",IF(H66&lt;TODAY(),"🔴 OVERDUE",IF(H66=TODAY(),"🟢 TODAY",IF(H66=TODAY()+1,"🔵 TOMORROW",IF(H66&lt;=TODAY()+7,"📅 THIS WEEK","⏳ SCHEDULED"))))))</f>
        <v>⚪ NEW</v>
      </c>
      <c r="J66" s="13" t="n">
        <f aca="true">IF(E66="",999,IF(F66&gt;=5,9999,IF(H66="",999,H66-TODAY())))</f>
        <v>999</v>
      </c>
      <c r="K66" s="19"/>
    </row>
    <row r="67" customFormat="false" ht="15" hidden="false" customHeight="true" outlineLevel="0" collapsed="false">
      <c r="A67" s="4" t="n">
        <f aca="false">ROW()-2</f>
        <v>65</v>
      </c>
      <c r="B67" s="5" t="s">
        <v>76</v>
      </c>
      <c r="C67" s="5" t="s">
        <v>77</v>
      </c>
      <c r="D67" s="6" t="s">
        <v>85</v>
      </c>
      <c r="E67" s="20"/>
      <c r="F67" s="8" t="n">
        <v>0</v>
      </c>
      <c r="G67" s="9" t="n">
        <f aca="false">IF(F67=0,1,IF(F67=1,3,IF(F67=2,7,IF(F67=3,14,IF(F67=4,30,60)))))</f>
        <v>1</v>
      </c>
      <c r="H67" s="10" t="str">
        <f aca="false">IF(E67="","",E67+G67)</f>
        <v/>
      </c>
      <c r="I67" s="11" t="str">
        <f aca="true">IF(E67="","⚪ NEW",IF(F67&gt;=5,"✅ DONE",IF(H67&lt;TODAY(),"🔴 OVERDUE",IF(H67=TODAY(),"🟢 TODAY",IF(H67=TODAY()+1,"🔵 TOMORROW",IF(H67&lt;=TODAY()+7,"📅 THIS WEEK","⏳ SCHEDULED"))))))</f>
        <v>⚪ NEW</v>
      </c>
      <c r="J67" s="4" t="n">
        <f aca="true">IF(E67="",999,IF(F67&gt;=5,9999,IF(H67="",999,H67-TODAY())))</f>
        <v>999</v>
      </c>
      <c r="K67" s="12"/>
    </row>
    <row r="68" customFormat="false" ht="15" hidden="false" customHeight="true" outlineLevel="0" collapsed="false">
      <c r="A68" s="13" t="n">
        <f aca="false">ROW()-2</f>
        <v>66</v>
      </c>
      <c r="B68" s="14" t="s">
        <v>76</v>
      </c>
      <c r="C68" s="14" t="s">
        <v>77</v>
      </c>
      <c r="D68" s="15" t="s">
        <v>86</v>
      </c>
      <c r="E68" s="20"/>
      <c r="F68" s="8" t="n">
        <v>0</v>
      </c>
      <c r="G68" s="16" t="n">
        <f aca="false">IF(F68=0,1,IF(F68=1,3,IF(F68=2,7,IF(F68=3,14,IF(F68=4,30,60)))))</f>
        <v>1</v>
      </c>
      <c r="H68" s="17" t="str">
        <f aca="false">IF(E68="","",E68+G68)</f>
        <v/>
      </c>
      <c r="I68" s="18" t="str">
        <f aca="true">IF(E68="","⚪ NEW",IF(F68&gt;=5,"✅ DONE",IF(H68&lt;TODAY(),"🔴 OVERDUE",IF(H68=TODAY(),"🟢 TODAY",IF(H68=TODAY()+1,"🔵 TOMORROW",IF(H68&lt;=TODAY()+7,"📅 THIS WEEK","⏳ SCHEDULED"))))))</f>
        <v>⚪ NEW</v>
      </c>
      <c r="J68" s="13" t="n">
        <f aca="true">IF(E68="",999,IF(F68&gt;=5,9999,IF(H68="",999,H68-TODAY())))</f>
        <v>999</v>
      </c>
      <c r="K68" s="19"/>
    </row>
    <row r="69" customFormat="false" ht="15" hidden="false" customHeight="true" outlineLevel="0" collapsed="false">
      <c r="A69" s="4" t="n">
        <f aca="false">ROW()-2</f>
        <v>67</v>
      </c>
      <c r="B69" s="5" t="s">
        <v>76</v>
      </c>
      <c r="C69" s="5" t="s">
        <v>77</v>
      </c>
      <c r="D69" s="6" t="s">
        <v>87</v>
      </c>
      <c r="E69" s="20"/>
      <c r="F69" s="8" t="n">
        <v>0</v>
      </c>
      <c r="G69" s="9" t="n">
        <f aca="false">IF(F69=0,1,IF(F69=1,3,IF(F69=2,7,IF(F69=3,14,IF(F69=4,30,60)))))</f>
        <v>1</v>
      </c>
      <c r="H69" s="10" t="str">
        <f aca="false">IF(E69="","",E69+G69)</f>
        <v/>
      </c>
      <c r="I69" s="11" t="str">
        <f aca="true">IF(E69="","⚪ NEW",IF(F69&gt;=5,"✅ DONE",IF(H69&lt;TODAY(),"🔴 OVERDUE",IF(H69=TODAY(),"🟢 TODAY",IF(H69=TODAY()+1,"🔵 TOMORROW",IF(H69&lt;=TODAY()+7,"📅 THIS WEEK","⏳ SCHEDULED"))))))</f>
        <v>⚪ NEW</v>
      </c>
      <c r="J69" s="4" t="n">
        <f aca="true">IF(E69="",999,IF(F69&gt;=5,9999,IF(H69="",999,H69-TODAY())))</f>
        <v>999</v>
      </c>
      <c r="K69" s="12"/>
    </row>
    <row r="70" customFormat="false" ht="15" hidden="false" customHeight="true" outlineLevel="0" collapsed="false">
      <c r="A70" s="13" t="n">
        <f aca="false">ROW()-2</f>
        <v>68</v>
      </c>
      <c r="B70" s="14" t="s">
        <v>88</v>
      </c>
      <c r="C70" s="14" t="s">
        <v>88</v>
      </c>
      <c r="D70" s="15" t="s">
        <v>89</v>
      </c>
      <c r="E70" s="7" t="n">
        <v>46083</v>
      </c>
      <c r="F70" s="8" t="n">
        <v>2</v>
      </c>
      <c r="G70" s="16" t="n">
        <f aca="false">IF(F70=0,1,IF(F70=1,3,IF(F70=2,7,IF(F70=3,14,IF(F70=4,30,60)))))</f>
        <v>7</v>
      </c>
      <c r="H70" s="17" t="n">
        <f aca="false">IF(E70="","",E70+G70)</f>
        <v>46090</v>
      </c>
      <c r="I70" s="18" t="str">
        <f aca="true">IF(E70="","⚪ NEW",IF(F70&gt;=5,"✅ DONE",IF(H70&lt;TODAY(),"🔴 OVERDUE",IF(H70=TODAY(),"🟢 TODAY",IF(H70=TODAY()+1,"🔵 TOMORROW",IF(H70&lt;=TODAY()+7,"📅 THIS WEEK","⏳ SCHEDULED"))))))</f>
        <v>🔴 OVERDUE</v>
      </c>
      <c r="J70" s="13" t="n">
        <f aca="true">IF(E70="",999,IF(F70&gt;=5,9999,IF(H70="",999,H70-TODAY())))</f>
        <v>-19</v>
      </c>
      <c r="K70" s="19"/>
    </row>
    <row r="71" customFormat="false" ht="15" hidden="false" customHeight="true" outlineLevel="0" collapsed="false">
      <c r="A71" s="4" t="n">
        <f aca="false">ROW()-2</f>
        <v>69</v>
      </c>
      <c r="B71" s="5" t="s">
        <v>88</v>
      </c>
      <c r="C71" s="5" t="s">
        <v>88</v>
      </c>
      <c r="D71" s="6" t="s">
        <v>90</v>
      </c>
      <c r="E71" s="7" t="n">
        <v>46083</v>
      </c>
      <c r="F71" s="8" t="n">
        <v>2</v>
      </c>
      <c r="G71" s="9" t="n">
        <f aca="false">IF(F71=0,1,IF(F71=1,3,IF(F71=2,7,IF(F71=3,14,IF(F71=4,30,60)))))</f>
        <v>7</v>
      </c>
      <c r="H71" s="10" t="n">
        <f aca="false">IF(E71="","",E71+G71)</f>
        <v>46090</v>
      </c>
      <c r="I71" s="11" t="str">
        <f aca="true">IF(E71="","⚪ NEW",IF(F71&gt;=5,"✅ DONE",IF(H71&lt;TODAY(),"🔴 OVERDUE",IF(H71=TODAY(),"🟢 TODAY",IF(H71=TODAY()+1,"🔵 TOMORROW",IF(H71&lt;=TODAY()+7,"📅 THIS WEEK","⏳ SCHEDULED"))))))</f>
        <v>🔴 OVERDUE</v>
      </c>
      <c r="J71" s="4" t="n">
        <f aca="true">IF(E71="",999,IF(F71&gt;=5,9999,IF(H71="",999,H71-TODAY())))</f>
        <v>-19</v>
      </c>
      <c r="K71" s="12"/>
    </row>
    <row r="72" customFormat="false" ht="15" hidden="false" customHeight="true" outlineLevel="0" collapsed="false">
      <c r="A72" s="13" t="n">
        <f aca="false">ROW()-2</f>
        <v>70</v>
      </c>
      <c r="B72" s="14" t="s">
        <v>88</v>
      </c>
      <c r="C72" s="14" t="s">
        <v>88</v>
      </c>
      <c r="D72" s="15" t="s">
        <v>91</v>
      </c>
      <c r="E72" s="7" t="n">
        <v>46085</v>
      </c>
      <c r="F72" s="8" t="n">
        <v>1</v>
      </c>
      <c r="G72" s="16" t="n">
        <f aca="false">IF(F72=0,1,IF(F72=1,3,IF(F72=2,7,IF(F72=3,14,IF(F72=4,30,60)))))</f>
        <v>3</v>
      </c>
      <c r="H72" s="17" t="n">
        <f aca="false">IF(E72="","",E72+G72)</f>
        <v>46088</v>
      </c>
      <c r="I72" s="18" t="str">
        <f aca="true">IF(E72="","⚪ NEW",IF(F72&gt;=5,"✅ DONE",IF(H72&lt;TODAY(),"🔴 OVERDUE",IF(H72=TODAY(),"🟢 TODAY",IF(H72=TODAY()+1,"🔵 TOMORROW",IF(H72&lt;=TODAY()+7,"📅 THIS WEEK","⏳ SCHEDULED"))))))</f>
        <v>🔴 OVERDUE</v>
      </c>
      <c r="J72" s="13" t="n">
        <f aca="true">IF(E72="",999,IF(F72&gt;=5,9999,IF(H72="",999,H72-TODAY())))</f>
        <v>-21</v>
      </c>
      <c r="K72" s="19"/>
    </row>
    <row r="73" customFormat="false" ht="15" hidden="false" customHeight="true" outlineLevel="0" collapsed="false">
      <c r="A73" s="4" t="n">
        <f aca="false">ROW()-2</f>
        <v>71</v>
      </c>
      <c r="B73" s="5" t="s">
        <v>88</v>
      </c>
      <c r="C73" s="5" t="s">
        <v>88</v>
      </c>
      <c r="D73" s="6" t="s">
        <v>92</v>
      </c>
      <c r="E73" s="7" t="n">
        <v>46082</v>
      </c>
      <c r="F73" s="8" t="n">
        <v>0</v>
      </c>
      <c r="G73" s="9" t="n">
        <f aca="false">IF(F73=0,1,IF(F73=1,3,IF(F73=2,7,IF(F73=3,14,IF(F73=4,30,60)))))</f>
        <v>1</v>
      </c>
      <c r="H73" s="10" t="n">
        <f aca="false">IF(E73="","",E73+G73)</f>
        <v>46083</v>
      </c>
      <c r="I73" s="11" t="str">
        <f aca="true">IF(E73="","⚪ NEW",IF(F73&gt;=5,"✅ DONE",IF(H73&lt;TODAY(),"🔴 OVERDUE",IF(H73=TODAY(),"🟢 TODAY",IF(H73=TODAY()+1,"🔵 TOMORROW",IF(H73&lt;=TODAY()+7,"📅 THIS WEEK","⏳ SCHEDULED"))))))</f>
        <v>🔴 OVERDUE</v>
      </c>
      <c r="J73" s="4" t="n">
        <f aca="true">IF(E73="",999,IF(F73&gt;=5,9999,IF(H73="",999,H73-TODAY())))</f>
        <v>-26</v>
      </c>
      <c r="K73" s="12"/>
    </row>
    <row r="74" customFormat="false" ht="15" hidden="false" customHeight="true" outlineLevel="0" collapsed="false">
      <c r="A74" s="13" t="n">
        <f aca="false">ROW()-2</f>
        <v>72</v>
      </c>
      <c r="B74" s="14" t="s">
        <v>88</v>
      </c>
      <c r="C74" s="14" t="s">
        <v>88</v>
      </c>
      <c r="D74" s="15" t="s">
        <v>93</v>
      </c>
      <c r="E74" s="20"/>
      <c r="F74" s="8" t="n">
        <v>0</v>
      </c>
      <c r="G74" s="16" t="n">
        <f aca="false">IF(F74=0,1,IF(F74=1,3,IF(F74=2,7,IF(F74=3,14,IF(F74=4,30,60)))))</f>
        <v>1</v>
      </c>
      <c r="H74" s="17" t="str">
        <f aca="false">IF(E74="","",E74+G74)</f>
        <v/>
      </c>
      <c r="I74" s="18" t="str">
        <f aca="true">IF(E74="","⚪ NEW",IF(F74&gt;=5,"✅ DONE",IF(H74&lt;TODAY(),"🔴 OVERDUE",IF(H74=TODAY(),"🟢 TODAY",IF(H74=TODAY()+1,"🔵 TOMORROW",IF(H74&lt;=TODAY()+7,"📅 THIS WEEK","⏳ SCHEDULED"))))))</f>
        <v>⚪ NEW</v>
      </c>
      <c r="J74" s="13" t="n">
        <f aca="true">IF(E74="",999,IF(F74&gt;=5,9999,IF(H74="",999,H74-TODAY())))</f>
        <v>999</v>
      </c>
      <c r="K74" s="19"/>
    </row>
    <row r="75" customFormat="false" ht="15" hidden="false" customHeight="true" outlineLevel="0" collapsed="false">
      <c r="A75" s="4" t="n">
        <f aca="false">ROW()-2</f>
        <v>73</v>
      </c>
      <c r="B75" s="5" t="s">
        <v>88</v>
      </c>
      <c r="C75" s="5" t="s">
        <v>88</v>
      </c>
      <c r="D75" s="6" t="s">
        <v>94</v>
      </c>
      <c r="E75" s="20"/>
      <c r="F75" s="8" t="n">
        <v>0</v>
      </c>
      <c r="G75" s="9" t="n">
        <f aca="false">IF(F75=0,1,IF(F75=1,3,IF(F75=2,7,IF(F75=3,14,IF(F75=4,30,60)))))</f>
        <v>1</v>
      </c>
      <c r="H75" s="10" t="str">
        <f aca="false">IF(E75="","",E75+G75)</f>
        <v/>
      </c>
      <c r="I75" s="11" t="str">
        <f aca="true">IF(E75="","⚪ NEW",IF(F75&gt;=5,"✅ DONE",IF(H75&lt;TODAY(),"🔴 OVERDUE",IF(H75=TODAY(),"🟢 TODAY",IF(H75=TODAY()+1,"🔵 TOMORROW",IF(H75&lt;=TODAY()+7,"📅 THIS WEEK","⏳ SCHEDULED"))))))</f>
        <v>⚪ NEW</v>
      </c>
      <c r="J75" s="4" t="n">
        <f aca="true">IF(E75="",999,IF(F75&gt;=5,9999,IF(H75="",999,H75-TODAY())))</f>
        <v>999</v>
      </c>
      <c r="K75" s="12"/>
    </row>
    <row r="76" customFormat="false" ht="15" hidden="false" customHeight="true" outlineLevel="0" collapsed="false">
      <c r="A76" s="13" t="n">
        <f aca="false">ROW()-2</f>
        <v>74</v>
      </c>
      <c r="B76" s="14" t="s">
        <v>88</v>
      </c>
      <c r="C76" s="14" t="s">
        <v>88</v>
      </c>
      <c r="D76" s="15" t="s">
        <v>95</v>
      </c>
      <c r="E76" s="20"/>
      <c r="F76" s="8" t="n">
        <v>0</v>
      </c>
      <c r="G76" s="16" t="n">
        <f aca="false">IF(F76=0,1,IF(F76=1,3,IF(F76=2,7,IF(F76=3,14,IF(F76=4,30,60)))))</f>
        <v>1</v>
      </c>
      <c r="H76" s="17" t="str">
        <f aca="false">IF(E76="","",E76+G76)</f>
        <v/>
      </c>
      <c r="I76" s="18" t="str">
        <f aca="true">IF(E76="","⚪ NEW",IF(F76&gt;=5,"✅ DONE",IF(H76&lt;TODAY(),"🔴 OVERDUE",IF(H76=TODAY(),"🟢 TODAY",IF(H76=TODAY()+1,"🔵 TOMORROW",IF(H76&lt;=TODAY()+7,"📅 THIS WEEK","⏳ SCHEDULED"))))))</f>
        <v>⚪ NEW</v>
      </c>
      <c r="J76" s="13" t="n">
        <f aca="true">IF(E76="",999,IF(F76&gt;=5,9999,IF(H76="",999,H76-TODAY())))</f>
        <v>999</v>
      </c>
      <c r="K76" s="19"/>
    </row>
    <row r="77" customFormat="false" ht="15" hidden="false" customHeight="true" outlineLevel="0" collapsed="false">
      <c r="A77" s="4" t="n">
        <f aca="false">ROW()-2</f>
        <v>75</v>
      </c>
      <c r="B77" s="5" t="s">
        <v>88</v>
      </c>
      <c r="C77" s="5" t="s">
        <v>88</v>
      </c>
      <c r="D77" s="6" t="s">
        <v>96</v>
      </c>
      <c r="E77" s="20"/>
      <c r="F77" s="8" t="n">
        <v>0</v>
      </c>
      <c r="G77" s="9" t="n">
        <f aca="false">IF(F77=0,1,IF(F77=1,3,IF(F77=2,7,IF(F77=3,14,IF(F77=4,30,60)))))</f>
        <v>1</v>
      </c>
      <c r="H77" s="10" t="str">
        <f aca="false">IF(E77="","",E77+G77)</f>
        <v/>
      </c>
      <c r="I77" s="11" t="str">
        <f aca="true">IF(E77="","⚪ NEW",IF(F77&gt;=5,"✅ DONE",IF(H77&lt;TODAY(),"🔴 OVERDUE",IF(H77=TODAY(),"🟢 TODAY",IF(H77=TODAY()+1,"🔵 TOMORROW",IF(H77&lt;=TODAY()+7,"📅 THIS WEEK","⏳ SCHEDULED"))))))</f>
        <v>⚪ NEW</v>
      </c>
      <c r="J77" s="4" t="n">
        <f aca="true">IF(E77="",999,IF(F77&gt;=5,9999,IF(H77="",999,H77-TODAY())))</f>
        <v>999</v>
      </c>
      <c r="K77" s="12"/>
    </row>
    <row r="78" customFormat="false" ht="15" hidden="false" customHeight="true" outlineLevel="0" collapsed="false">
      <c r="A78" s="13" t="n">
        <f aca="false">ROW()-2</f>
        <v>76</v>
      </c>
      <c r="B78" s="14" t="s">
        <v>88</v>
      </c>
      <c r="C78" s="14" t="s">
        <v>88</v>
      </c>
      <c r="D78" s="15" t="s">
        <v>97</v>
      </c>
      <c r="E78" s="20"/>
      <c r="F78" s="8" t="n">
        <v>0</v>
      </c>
      <c r="G78" s="16" t="n">
        <f aca="false">IF(F78=0,1,IF(F78=1,3,IF(F78=2,7,IF(F78=3,14,IF(F78=4,30,60)))))</f>
        <v>1</v>
      </c>
      <c r="H78" s="17" t="str">
        <f aca="false">IF(E78="","",E78+G78)</f>
        <v/>
      </c>
      <c r="I78" s="18" t="str">
        <f aca="true">IF(E78="","⚪ NEW",IF(F78&gt;=5,"✅ DONE",IF(H78&lt;TODAY(),"🔴 OVERDUE",IF(H78=TODAY(),"🟢 TODAY",IF(H78=TODAY()+1,"🔵 TOMORROW",IF(H78&lt;=TODAY()+7,"📅 THIS WEEK","⏳ SCHEDULED"))))))</f>
        <v>⚪ NEW</v>
      </c>
      <c r="J78" s="13" t="n">
        <f aca="true">IF(E78="",999,IF(F78&gt;=5,9999,IF(H78="",999,H78-TODAY())))</f>
        <v>999</v>
      </c>
      <c r="K78" s="19"/>
    </row>
    <row r="79" customFormat="false" ht="15" hidden="false" customHeight="true" outlineLevel="0" collapsed="false">
      <c r="A79" s="4" t="n">
        <f aca="false">ROW()-2</f>
        <v>77</v>
      </c>
      <c r="B79" s="5" t="s">
        <v>88</v>
      </c>
      <c r="C79" s="5" t="s">
        <v>88</v>
      </c>
      <c r="D79" s="6" t="s">
        <v>98</v>
      </c>
      <c r="E79" s="20"/>
      <c r="F79" s="8" t="n">
        <v>0</v>
      </c>
      <c r="G79" s="9" t="n">
        <f aca="false">IF(F79=0,1,IF(F79=1,3,IF(F79=2,7,IF(F79=3,14,IF(F79=4,30,60)))))</f>
        <v>1</v>
      </c>
      <c r="H79" s="10" t="str">
        <f aca="false">IF(E79="","",E79+G79)</f>
        <v/>
      </c>
      <c r="I79" s="11" t="str">
        <f aca="true">IF(E79="","⚪ NEW",IF(F79&gt;=5,"✅ DONE",IF(H79&lt;TODAY(),"🔴 OVERDUE",IF(H79=TODAY(),"🟢 TODAY",IF(H79=TODAY()+1,"🔵 TOMORROW",IF(H79&lt;=TODAY()+7,"📅 THIS WEEK","⏳ SCHEDULED"))))))</f>
        <v>⚪ NEW</v>
      </c>
      <c r="J79" s="4" t="n">
        <f aca="true">IF(E79="",999,IF(F79&gt;=5,9999,IF(H79="",999,H79-TODAY())))</f>
        <v>999</v>
      </c>
      <c r="K79" s="12"/>
    </row>
    <row r="80" customFormat="false" ht="15" hidden="false" customHeight="true" outlineLevel="0" collapsed="false">
      <c r="A80" s="13" t="n">
        <f aca="false">ROW()-2</f>
        <v>78</v>
      </c>
      <c r="B80" s="14" t="s">
        <v>88</v>
      </c>
      <c r="C80" s="14" t="s">
        <v>88</v>
      </c>
      <c r="D80" s="15" t="s">
        <v>99</v>
      </c>
      <c r="E80" s="20"/>
      <c r="F80" s="8" t="n">
        <v>0</v>
      </c>
      <c r="G80" s="16" t="n">
        <f aca="false">IF(F80=0,1,IF(F80=1,3,IF(F80=2,7,IF(F80=3,14,IF(F80=4,30,60)))))</f>
        <v>1</v>
      </c>
      <c r="H80" s="17" t="str">
        <f aca="false">IF(E80="","",E80+G80)</f>
        <v/>
      </c>
      <c r="I80" s="18" t="str">
        <f aca="true">IF(E80="","⚪ NEW",IF(F80&gt;=5,"✅ DONE",IF(H80&lt;TODAY(),"🔴 OVERDUE",IF(H80=TODAY(),"🟢 TODAY",IF(H80=TODAY()+1,"🔵 TOMORROW",IF(H80&lt;=TODAY()+7,"📅 THIS WEEK","⏳ SCHEDULED"))))))</f>
        <v>⚪ NEW</v>
      </c>
      <c r="J80" s="13" t="n">
        <f aca="true">IF(E80="",999,IF(F80&gt;=5,9999,IF(H80="",999,H80-TODAY())))</f>
        <v>999</v>
      </c>
      <c r="K80" s="19"/>
    </row>
    <row r="81" customFormat="false" ht="15" hidden="false" customHeight="true" outlineLevel="0" collapsed="false">
      <c r="A81" s="4" t="n">
        <f aca="false">ROW()-2</f>
        <v>79</v>
      </c>
      <c r="B81" s="5" t="s">
        <v>88</v>
      </c>
      <c r="C81" s="5" t="s">
        <v>88</v>
      </c>
      <c r="D81" s="6" t="s">
        <v>100</v>
      </c>
      <c r="E81" s="20"/>
      <c r="F81" s="8" t="n">
        <v>0</v>
      </c>
      <c r="G81" s="9" t="n">
        <f aca="false">IF(F81=0,1,IF(F81=1,3,IF(F81=2,7,IF(F81=3,14,IF(F81=4,30,60)))))</f>
        <v>1</v>
      </c>
      <c r="H81" s="10" t="str">
        <f aca="false">IF(E81="","",E81+G81)</f>
        <v/>
      </c>
      <c r="I81" s="11" t="str">
        <f aca="true">IF(E81="","⚪ NEW",IF(F81&gt;=5,"✅ DONE",IF(H81&lt;TODAY(),"🔴 OVERDUE",IF(H81=TODAY(),"🟢 TODAY",IF(H81=TODAY()+1,"🔵 TOMORROW",IF(H81&lt;=TODAY()+7,"📅 THIS WEEK","⏳ SCHEDULED"))))))</f>
        <v>⚪ NEW</v>
      </c>
      <c r="J81" s="4" t="n">
        <f aca="true">IF(E81="",999,IF(F81&gt;=5,9999,IF(H81="",999,H81-TODAY())))</f>
        <v>999</v>
      </c>
      <c r="K81" s="12"/>
    </row>
    <row r="82" customFormat="false" ht="15" hidden="false" customHeight="true" outlineLevel="0" collapsed="false">
      <c r="A82" s="13" t="n">
        <f aca="false">ROW()-2</f>
        <v>80</v>
      </c>
      <c r="B82" s="14" t="s">
        <v>101</v>
      </c>
      <c r="C82" s="14" t="s">
        <v>101</v>
      </c>
      <c r="D82" s="15" t="s">
        <v>102</v>
      </c>
      <c r="E82" s="20"/>
      <c r="F82" s="8" t="n">
        <v>0</v>
      </c>
      <c r="G82" s="16" t="n">
        <f aca="false">IF(F82=0,1,IF(F82=1,3,IF(F82=2,7,IF(F82=3,14,IF(F82=4,30,60)))))</f>
        <v>1</v>
      </c>
      <c r="H82" s="17" t="str">
        <f aca="false">IF(E82="","",E82+G82)</f>
        <v/>
      </c>
      <c r="I82" s="18" t="str">
        <f aca="true">IF(E82="","⚪ NEW",IF(F82&gt;=5,"✅ DONE",IF(H82&lt;TODAY(),"🔴 OVERDUE",IF(H82=TODAY(),"🟢 TODAY",IF(H82=TODAY()+1,"🔵 TOMORROW",IF(H82&lt;=TODAY()+7,"📅 THIS WEEK","⏳ SCHEDULED"))))))</f>
        <v>⚪ NEW</v>
      </c>
      <c r="J82" s="13" t="n">
        <f aca="true">IF(E82="",999,IF(F82&gt;=5,9999,IF(H82="",999,H82-TODAY())))</f>
        <v>999</v>
      </c>
      <c r="K82" s="19"/>
    </row>
    <row r="83" customFormat="false" ht="15" hidden="false" customHeight="true" outlineLevel="0" collapsed="false">
      <c r="A83" s="4" t="n">
        <f aca="false">ROW()-2</f>
        <v>81</v>
      </c>
      <c r="B83" s="5" t="s">
        <v>101</v>
      </c>
      <c r="C83" s="5" t="s">
        <v>101</v>
      </c>
      <c r="D83" s="6" t="s">
        <v>103</v>
      </c>
      <c r="E83" s="20"/>
      <c r="F83" s="8" t="n">
        <v>0</v>
      </c>
      <c r="G83" s="9" t="n">
        <f aca="false">IF(F83=0,1,IF(F83=1,3,IF(F83=2,7,IF(F83=3,14,IF(F83=4,30,60)))))</f>
        <v>1</v>
      </c>
      <c r="H83" s="10" t="str">
        <f aca="false">IF(E83="","",E83+G83)</f>
        <v/>
      </c>
      <c r="I83" s="11" t="str">
        <f aca="true">IF(E83="","⚪ NEW",IF(F83&gt;=5,"✅ DONE",IF(H83&lt;TODAY(),"🔴 OVERDUE",IF(H83=TODAY(),"🟢 TODAY",IF(H83=TODAY()+1,"🔵 TOMORROW",IF(H83&lt;=TODAY()+7,"📅 THIS WEEK","⏳ SCHEDULED"))))))</f>
        <v>⚪ NEW</v>
      </c>
      <c r="J83" s="4" t="n">
        <f aca="true">IF(E83="",999,IF(F83&gt;=5,9999,IF(H83="",999,H83-TODAY())))</f>
        <v>999</v>
      </c>
      <c r="K83" s="12"/>
    </row>
    <row r="84" customFormat="false" ht="15" hidden="false" customHeight="true" outlineLevel="0" collapsed="false">
      <c r="A84" s="13" t="n">
        <f aca="false">ROW()-2</f>
        <v>82</v>
      </c>
      <c r="B84" s="14" t="s">
        <v>101</v>
      </c>
      <c r="C84" s="14" t="s">
        <v>101</v>
      </c>
      <c r="D84" s="15" t="s">
        <v>104</v>
      </c>
      <c r="E84" s="20"/>
      <c r="F84" s="8" t="n">
        <v>0</v>
      </c>
      <c r="G84" s="16" t="n">
        <f aca="false">IF(F84=0,1,IF(F84=1,3,IF(F84=2,7,IF(F84=3,14,IF(F84=4,30,60)))))</f>
        <v>1</v>
      </c>
      <c r="H84" s="17" t="str">
        <f aca="false">IF(E84="","",E84+G84)</f>
        <v/>
      </c>
      <c r="I84" s="18" t="str">
        <f aca="true">IF(E84="","⚪ NEW",IF(F84&gt;=5,"✅ DONE",IF(H84&lt;TODAY(),"🔴 OVERDUE",IF(H84=TODAY(),"🟢 TODAY",IF(H84=TODAY()+1,"🔵 TOMORROW",IF(H84&lt;=TODAY()+7,"📅 THIS WEEK","⏳ SCHEDULED"))))))</f>
        <v>⚪ NEW</v>
      </c>
      <c r="J84" s="13" t="n">
        <f aca="true">IF(E84="",999,IF(F84&gt;=5,9999,IF(H84="",999,H84-TODAY())))</f>
        <v>999</v>
      </c>
      <c r="K84" s="19"/>
    </row>
    <row r="85" customFormat="false" ht="15" hidden="false" customHeight="true" outlineLevel="0" collapsed="false">
      <c r="A85" s="4" t="n">
        <f aca="false">ROW()-2</f>
        <v>83</v>
      </c>
      <c r="B85" s="5" t="s">
        <v>101</v>
      </c>
      <c r="C85" s="5" t="s">
        <v>101</v>
      </c>
      <c r="D85" s="6" t="s">
        <v>105</v>
      </c>
      <c r="E85" s="20"/>
      <c r="F85" s="8" t="n">
        <v>0</v>
      </c>
      <c r="G85" s="9" t="n">
        <f aca="false">IF(F85=0,1,IF(F85=1,3,IF(F85=2,7,IF(F85=3,14,IF(F85=4,30,60)))))</f>
        <v>1</v>
      </c>
      <c r="H85" s="10" t="str">
        <f aca="false">IF(E85="","",E85+G85)</f>
        <v/>
      </c>
      <c r="I85" s="11" t="str">
        <f aca="true">IF(E85="","⚪ NEW",IF(F85&gt;=5,"✅ DONE",IF(H85&lt;TODAY(),"🔴 OVERDUE",IF(H85=TODAY(),"🟢 TODAY",IF(H85=TODAY()+1,"🔵 TOMORROW",IF(H85&lt;=TODAY()+7,"📅 THIS WEEK","⏳ SCHEDULED"))))))</f>
        <v>⚪ NEW</v>
      </c>
      <c r="J85" s="4" t="n">
        <f aca="true">IF(E85="",999,IF(F85&gt;=5,9999,IF(H85="",999,H85-TODAY())))</f>
        <v>999</v>
      </c>
      <c r="K85" s="12"/>
    </row>
    <row r="86" customFormat="false" ht="15" hidden="false" customHeight="true" outlineLevel="0" collapsed="false">
      <c r="A86" s="13" t="n">
        <f aca="false">ROW()-2</f>
        <v>84</v>
      </c>
      <c r="B86" s="14" t="s">
        <v>101</v>
      </c>
      <c r="C86" s="14" t="s">
        <v>101</v>
      </c>
      <c r="D86" s="15" t="s">
        <v>106</v>
      </c>
      <c r="E86" s="20"/>
      <c r="F86" s="8" t="n">
        <v>0</v>
      </c>
      <c r="G86" s="16" t="n">
        <f aca="false">IF(F86=0,1,IF(F86=1,3,IF(F86=2,7,IF(F86=3,14,IF(F86=4,30,60)))))</f>
        <v>1</v>
      </c>
      <c r="H86" s="17" t="str">
        <f aca="false">IF(E86="","",E86+G86)</f>
        <v/>
      </c>
      <c r="I86" s="18" t="str">
        <f aca="true">IF(E86="","⚪ NEW",IF(F86&gt;=5,"✅ DONE",IF(H86&lt;TODAY(),"🔴 OVERDUE",IF(H86=TODAY(),"🟢 TODAY",IF(H86=TODAY()+1,"🔵 TOMORROW",IF(H86&lt;=TODAY()+7,"📅 THIS WEEK","⏳ SCHEDULED"))))))</f>
        <v>⚪ NEW</v>
      </c>
      <c r="J86" s="13" t="n">
        <f aca="true">IF(E86="",999,IF(F86&gt;=5,9999,IF(H86="",999,H86-TODAY())))</f>
        <v>999</v>
      </c>
      <c r="K86" s="19"/>
    </row>
    <row r="87" customFormat="false" ht="15" hidden="false" customHeight="true" outlineLevel="0" collapsed="false">
      <c r="A87" s="4" t="n">
        <f aca="false">ROW()-2</f>
        <v>85</v>
      </c>
      <c r="B87" s="5" t="s">
        <v>101</v>
      </c>
      <c r="C87" s="5" t="s">
        <v>101</v>
      </c>
      <c r="D87" s="6" t="s">
        <v>107</v>
      </c>
      <c r="E87" s="20"/>
      <c r="F87" s="8" t="n">
        <v>0</v>
      </c>
      <c r="G87" s="9" t="n">
        <f aca="false">IF(F87=0,1,IF(F87=1,3,IF(F87=2,7,IF(F87=3,14,IF(F87=4,30,60)))))</f>
        <v>1</v>
      </c>
      <c r="H87" s="10" t="str">
        <f aca="false">IF(E87="","",E87+G87)</f>
        <v/>
      </c>
      <c r="I87" s="11" t="str">
        <f aca="true">IF(E87="","⚪ NEW",IF(F87&gt;=5,"✅ DONE",IF(H87&lt;TODAY(),"🔴 OVERDUE",IF(H87=TODAY(),"🟢 TODAY",IF(H87=TODAY()+1,"🔵 TOMORROW",IF(H87&lt;=TODAY()+7,"📅 THIS WEEK","⏳ SCHEDULED"))))))</f>
        <v>⚪ NEW</v>
      </c>
      <c r="J87" s="4" t="n">
        <f aca="true">IF(E87="",999,IF(F87&gt;=5,9999,IF(H87="",999,H87-TODAY())))</f>
        <v>999</v>
      </c>
      <c r="K87" s="12"/>
    </row>
    <row r="88" customFormat="false" ht="15" hidden="false" customHeight="true" outlineLevel="0" collapsed="false">
      <c r="A88" s="13" t="n">
        <f aca="false">ROW()-2</f>
        <v>86</v>
      </c>
      <c r="B88" s="14" t="s">
        <v>101</v>
      </c>
      <c r="C88" s="14" t="s">
        <v>101</v>
      </c>
      <c r="D88" s="15" t="s">
        <v>108</v>
      </c>
      <c r="E88" s="20"/>
      <c r="F88" s="8" t="n">
        <v>0</v>
      </c>
      <c r="G88" s="16" t="n">
        <f aca="false">IF(F88=0,1,IF(F88=1,3,IF(F88=2,7,IF(F88=3,14,IF(F88=4,30,60)))))</f>
        <v>1</v>
      </c>
      <c r="H88" s="17" t="str">
        <f aca="false">IF(E88="","",E88+G88)</f>
        <v/>
      </c>
      <c r="I88" s="18" t="str">
        <f aca="true">IF(E88="","⚪ NEW",IF(F88&gt;=5,"✅ DONE",IF(H88&lt;TODAY(),"🔴 OVERDUE",IF(H88=TODAY(),"🟢 TODAY",IF(H88=TODAY()+1,"🔵 TOMORROW",IF(H88&lt;=TODAY()+7,"📅 THIS WEEK","⏳ SCHEDULED"))))))</f>
        <v>⚪ NEW</v>
      </c>
      <c r="J88" s="13" t="n">
        <f aca="true">IF(E88="",999,IF(F88&gt;=5,9999,IF(H88="",999,H88-TODAY())))</f>
        <v>999</v>
      </c>
      <c r="K88" s="19"/>
    </row>
    <row r="89" customFormat="false" ht="15" hidden="false" customHeight="true" outlineLevel="0" collapsed="false">
      <c r="A89" s="4" t="n">
        <f aca="false">ROW()-2</f>
        <v>87</v>
      </c>
      <c r="B89" s="5" t="s">
        <v>101</v>
      </c>
      <c r="C89" s="5" t="s">
        <v>101</v>
      </c>
      <c r="D89" s="6" t="s">
        <v>109</v>
      </c>
      <c r="E89" s="20"/>
      <c r="F89" s="8" t="n">
        <v>0</v>
      </c>
      <c r="G89" s="9" t="n">
        <f aca="false">IF(F89=0,1,IF(F89=1,3,IF(F89=2,7,IF(F89=3,14,IF(F89=4,30,60)))))</f>
        <v>1</v>
      </c>
      <c r="H89" s="10" t="str">
        <f aca="false">IF(E89="","",E89+G89)</f>
        <v/>
      </c>
      <c r="I89" s="11" t="str">
        <f aca="true">IF(E89="","⚪ NEW",IF(F89&gt;=5,"✅ DONE",IF(H89&lt;TODAY(),"🔴 OVERDUE",IF(H89=TODAY(),"🟢 TODAY",IF(H89=TODAY()+1,"🔵 TOMORROW",IF(H89&lt;=TODAY()+7,"📅 THIS WEEK","⏳ SCHEDULED"))))))</f>
        <v>⚪ NEW</v>
      </c>
      <c r="J89" s="4" t="n">
        <f aca="true">IF(E89="",999,IF(F89&gt;=5,9999,IF(H89="",999,H89-TODAY())))</f>
        <v>999</v>
      </c>
      <c r="K89" s="12"/>
    </row>
    <row r="90" customFormat="false" ht="15" hidden="false" customHeight="true" outlineLevel="0" collapsed="false">
      <c r="A90" s="13" t="n">
        <f aca="false">ROW()-2</f>
        <v>88</v>
      </c>
      <c r="B90" s="14" t="s">
        <v>101</v>
      </c>
      <c r="C90" s="14" t="s">
        <v>101</v>
      </c>
      <c r="D90" s="15" t="s">
        <v>110</v>
      </c>
      <c r="E90" s="20"/>
      <c r="F90" s="8" t="n">
        <v>0</v>
      </c>
      <c r="G90" s="16" t="n">
        <f aca="false">IF(F90=0,1,IF(F90=1,3,IF(F90=2,7,IF(F90=3,14,IF(F90=4,30,60)))))</f>
        <v>1</v>
      </c>
      <c r="H90" s="17" t="str">
        <f aca="false">IF(E90="","",E90+G90)</f>
        <v/>
      </c>
      <c r="I90" s="18" t="str">
        <f aca="true">IF(E90="","⚪ NEW",IF(F90&gt;=5,"✅ DONE",IF(H90&lt;TODAY(),"🔴 OVERDUE",IF(H90=TODAY(),"🟢 TODAY",IF(H90=TODAY()+1,"🔵 TOMORROW",IF(H90&lt;=TODAY()+7,"📅 THIS WEEK","⏳ SCHEDULED"))))))</f>
        <v>⚪ NEW</v>
      </c>
      <c r="J90" s="13" t="n">
        <f aca="true">IF(E90="",999,IF(F90&gt;=5,9999,IF(H90="",999,H90-TODAY())))</f>
        <v>999</v>
      </c>
      <c r="K90" s="19"/>
    </row>
    <row r="91" customFormat="false" ht="15" hidden="false" customHeight="true" outlineLevel="0" collapsed="false">
      <c r="A91" s="4" t="n">
        <f aca="false">ROW()-2</f>
        <v>89</v>
      </c>
      <c r="B91" s="5" t="s">
        <v>101</v>
      </c>
      <c r="C91" s="5" t="s">
        <v>101</v>
      </c>
      <c r="D91" s="6" t="s">
        <v>111</v>
      </c>
      <c r="E91" s="20"/>
      <c r="F91" s="8" t="n">
        <v>0</v>
      </c>
      <c r="G91" s="9" t="n">
        <f aca="false">IF(F91=0,1,IF(F91=1,3,IF(F91=2,7,IF(F91=3,14,IF(F91=4,30,60)))))</f>
        <v>1</v>
      </c>
      <c r="H91" s="10" t="str">
        <f aca="false">IF(E91="","",E91+G91)</f>
        <v/>
      </c>
      <c r="I91" s="11" t="str">
        <f aca="true">IF(E91="","⚪ NEW",IF(F91&gt;=5,"✅ DONE",IF(H91&lt;TODAY(),"🔴 OVERDUE",IF(H91=TODAY(),"🟢 TODAY",IF(H91=TODAY()+1,"🔵 TOMORROW",IF(H91&lt;=TODAY()+7,"📅 THIS WEEK","⏳ SCHEDULED"))))))</f>
        <v>⚪ NEW</v>
      </c>
      <c r="J91" s="4" t="n">
        <f aca="true">IF(E91="",999,IF(F91&gt;=5,9999,IF(H91="",999,H91-TODAY())))</f>
        <v>999</v>
      </c>
      <c r="K91" s="12"/>
    </row>
    <row r="92" customFormat="false" ht="15" hidden="false" customHeight="true" outlineLevel="0" collapsed="false">
      <c r="A92" s="13" t="n">
        <f aca="false">ROW()-2</f>
        <v>90</v>
      </c>
      <c r="B92" s="14" t="s">
        <v>101</v>
      </c>
      <c r="C92" s="14" t="s">
        <v>101</v>
      </c>
      <c r="D92" s="15" t="s">
        <v>112</v>
      </c>
      <c r="E92" s="20"/>
      <c r="F92" s="8" t="n">
        <v>0</v>
      </c>
      <c r="G92" s="16" t="n">
        <f aca="false">IF(F92=0,1,IF(F92=1,3,IF(F92=2,7,IF(F92=3,14,IF(F92=4,30,60)))))</f>
        <v>1</v>
      </c>
      <c r="H92" s="17" t="str">
        <f aca="false">IF(E92="","",E92+G92)</f>
        <v/>
      </c>
      <c r="I92" s="18" t="str">
        <f aca="true">IF(E92="","⚪ NEW",IF(F92&gt;=5,"✅ DONE",IF(H92&lt;TODAY(),"🔴 OVERDUE",IF(H92=TODAY(),"🟢 TODAY",IF(H92=TODAY()+1,"🔵 TOMORROW",IF(H92&lt;=TODAY()+7,"📅 THIS WEEK","⏳ SCHEDULED"))))))</f>
        <v>⚪ NEW</v>
      </c>
      <c r="J92" s="13" t="n">
        <f aca="true">IF(E92="",999,IF(F92&gt;=5,9999,IF(H92="",999,H92-TODAY())))</f>
        <v>999</v>
      </c>
      <c r="K92" s="19"/>
    </row>
  </sheetData>
  <mergeCells count="1">
    <mergeCell ref="A1:K1"/>
  </mergeCells>
  <conditionalFormatting sqref="I3:I92">
    <cfRule type="expression" priority="2" aboveAverage="0" equalAverage="0" bottom="0" percent="0" rank="0" text="" dxfId="0">
      <formula>SEARCH("OVERDUE",I3)&gt;0</formula>
    </cfRule>
    <cfRule type="expression" priority="3" aboveAverage="0" equalAverage="0" bottom="0" percent="0" rank="0" text="" dxfId="1">
      <formula>SEARCH("TODAY",I3)&gt;0</formula>
    </cfRule>
    <cfRule type="expression" priority="4" aboveAverage="0" equalAverage="0" bottom="0" percent="0" rank="0" text="" dxfId="2">
      <formula>SEARCH("NEW",I3)&gt;0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CC71"/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6"/>
    <col collapsed="false" customWidth="true" hidden="false" outlineLevel="0" max="8" min="8" style="1" width="14"/>
  </cols>
  <sheetData>
    <row r="1" customFormat="false" ht="19.5" hidden="false" customHeight="true" outlineLevel="0" collapsed="false">
      <c r="A1" s="21" t="s">
        <v>113</v>
      </c>
      <c r="B1" s="21"/>
      <c r="C1" s="21"/>
      <c r="D1" s="21"/>
      <c r="E1" s="21"/>
      <c r="F1" s="21"/>
      <c r="G1" s="21"/>
      <c r="H1" s="21"/>
    </row>
    <row r="3" customFormat="false" ht="15" hidden="false" customHeight="true" outlineLevel="0" collapsed="false">
      <c r="A3" s="22" t="s">
        <v>114</v>
      </c>
      <c r="C3" s="22" t="s">
        <v>115</v>
      </c>
      <c r="E3" s="22" t="s">
        <v>116</v>
      </c>
    </row>
    <row r="4" customFormat="false" ht="21.75" hidden="false" customHeight="true" outlineLevel="0" collapsed="false">
      <c r="A4" s="23" t="n">
        <f aca="true">TODAY()</f>
        <v>46109</v>
      </c>
      <c r="C4" s="24" t="n">
        <v>46154</v>
      </c>
      <c r="E4" s="25" t="n">
        <f aca="false">C4-A4</f>
        <v>45</v>
      </c>
    </row>
    <row r="6" customFormat="false" ht="15" hidden="false" customHeight="true" outlineLevel="0" collapsed="false">
      <c r="A6" s="26" t="s">
        <v>117</v>
      </c>
      <c r="C6" s="27" t="s">
        <v>118</v>
      </c>
      <c r="E6" s="28" t="s">
        <v>119</v>
      </c>
      <c r="G6" s="29" t="s">
        <v>120</v>
      </c>
    </row>
    <row r="7" customFormat="false" ht="28.5" hidden="false" customHeight="true" outlineLevel="0" collapsed="false">
      <c r="A7" s="30" t="n">
        <f aca="false">COUNTIF('lesson-database'!I3:I92,"*OVERDUE*")</f>
        <v>7</v>
      </c>
      <c r="C7" s="31" t="n">
        <f aca="false">COUNTIF('lesson-database'!I3:I92,"*TODAY*")</f>
        <v>0</v>
      </c>
      <c r="E7" s="32" t="n">
        <f aca="false">COUNTIF('lesson-database'!I3:I92,"*TOMORROW*")</f>
        <v>0</v>
      </c>
      <c r="G7" s="33" t="n">
        <f aca="false">COUNTIF('lesson-database'!I3:I92,"*WEEK*")</f>
        <v>0</v>
      </c>
    </row>
    <row r="9" customFormat="false" ht="15" hidden="false" customHeight="true" outlineLevel="0" collapsed="false">
      <c r="A9" s="34" t="s">
        <v>121</v>
      </c>
      <c r="E9" s="34" t="s">
        <v>122</v>
      </c>
    </row>
    <row r="10" customFormat="false" ht="17.25" hidden="false" customHeight="true" outlineLevel="0" collapsed="false">
      <c r="A10" s="35" t="n">
        <f aca="false">COUNTA('lesson-database'!D3:D92)</f>
        <v>90</v>
      </c>
      <c r="B10" s="36" t="s">
        <v>123</v>
      </c>
      <c r="E10" s="36" t="s">
        <v>124</v>
      </c>
      <c r="F10" s="37" t="n">
        <f aca="false">COUNTIF('lesson-database'!F3:F92,0)</f>
        <v>87</v>
      </c>
      <c r="G10" s="38" t="s">
        <v>125</v>
      </c>
    </row>
    <row r="11" customFormat="false" ht="17.25" hidden="false" customHeight="true" outlineLevel="0" collapsed="false">
      <c r="A11" s="35" t="n">
        <f aca="false">COUNTIF('lesson-database'!E3:E92,"&lt;&gt;")</f>
        <v>7</v>
      </c>
      <c r="B11" s="36" t="s">
        <v>126</v>
      </c>
      <c r="E11" s="36" t="s">
        <v>127</v>
      </c>
      <c r="F11" s="37" t="n">
        <f aca="false">COUNTIF('lesson-database'!F3:F92,1)</f>
        <v>1</v>
      </c>
      <c r="G11" s="38" t="s">
        <v>128</v>
      </c>
    </row>
    <row r="12" customFormat="false" ht="17.25" hidden="false" customHeight="true" outlineLevel="0" collapsed="false">
      <c r="A12" s="35" t="n">
        <f aca="false">COUNTIF('lesson-database'!E3:E92,"")</f>
        <v>83</v>
      </c>
      <c r="B12" s="36" t="s">
        <v>129</v>
      </c>
      <c r="E12" s="36" t="s">
        <v>130</v>
      </c>
      <c r="F12" s="37" t="n">
        <f aca="false">COUNTIF('lesson-database'!F3:F92,2)</f>
        <v>2</v>
      </c>
      <c r="G12" s="38" t="s">
        <v>131</v>
      </c>
    </row>
    <row r="13" customFormat="false" ht="17.25" hidden="false" customHeight="true" outlineLevel="0" collapsed="false">
      <c r="A13" s="35" t="n">
        <f aca="false">COUNTIF('lesson-database'!F3:F92,"&gt;=4")</f>
        <v>0</v>
      </c>
      <c r="B13" s="36" t="s">
        <v>132</v>
      </c>
      <c r="E13" s="36" t="s">
        <v>133</v>
      </c>
      <c r="F13" s="37" t="n">
        <f aca="false">COUNTIF('lesson-database'!F3:F92,3)</f>
        <v>0</v>
      </c>
      <c r="G13" s="38" t="s">
        <v>134</v>
      </c>
    </row>
    <row r="14" customFormat="false" ht="17.25" hidden="false" customHeight="true" outlineLevel="0" collapsed="false">
      <c r="A14" s="39" t="n">
        <f aca="false">IF(A10=0,0,A13/A10)</f>
        <v>0</v>
      </c>
      <c r="B14" s="36" t="s">
        <v>135</v>
      </c>
      <c r="E14" s="36" t="s">
        <v>136</v>
      </c>
      <c r="F14" s="37" t="n">
        <f aca="false">COUNTIF('lesson-database'!F3:F92,4)</f>
        <v>0</v>
      </c>
      <c r="G14" s="38" t="s">
        <v>137</v>
      </c>
    </row>
    <row r="15" customFormat="false" ht="17.25" hidden="false" customHeight="true" outlineLevel="0" collapsed="false">
      <c r="E15" s="36" t="s">
        <v>138</v>
      </c>
      <c r="F15" s="37" t="n">
        <f aca="false">COUNTIF('lesson-database'!F3:F92,5)</f>
        <v>0</v>
      </c>
      <c r="G15" s="38" t="s">
        <v>139</v>
      </c>
    </row>
    <row r="17" customFormat="false" ht="15" hidden="false" customHeight="true" outlineLevel="0" collapsed="false">
      <c r="A17" s="34" t="s">
        <v>140</v>
      </c>
      <c r="F17" s="34" t="s">
        <v>141</v>
      </c>
    </row>
    <row r="18" customFormat="false" ht="15" hidden="false" customHeight="true" outlineLevel="0" collapsed="false">
      <c r="A18" s="3" t="s">
        <v>2</v>
      </c>
      <c r="B18" s="3" t="s">
        <v>142</v>
      </c>
      <c r="C18" s="3" t="s">
        <v>126</v>
      </c>
      <c r="D18" s="3" t="s">
        <v>143</v>
      </c>
      <c r="F18" s="1" t="s">
        <v>144</v>
      </c>
    </row>
    <row r="19" customFormat="false" ht="24" hidden="false" customHeight="true" outlineLevel="0" collapsed="false">
      <c r="A19" s="40" t="s">
        <v>12</v>
      </c>
      <c r="B19" s="41" t="n">
        <f aca="false">COUNTIF('lesson-database'!B3:B92,"Traumato")</f>
        <v>19</v>
      </c>
      <c r="C19" s="41" t="n">
        <f aca="false">COUNTIFS('lesson-database'!B3:B92,"Traumato",'lesson-database'!E3:E92,"&lt;&gt;")</f>
        <v>2</v>
      </c>
      <c r="D19" s="42" t="n">
        <f aca="false">IFERROR(AVERAGEIF('lesson-database'!B3:B92,"Traumato",'lesson-database'!F3:F92),0)</f>
        <v>0</v>
      </c>
      <c r="F19" s="43" t="n">
        <f aca="false">A7+C7</f>
        <v>7</v>
      </c>
    </row>
    <row r="20" customFormat="false" ht="15" hidden="false" customHeight="true" outlineLevel="0" collapsed="false">
      <c r="A20" s="40" t="s">
        <v>33</v>
      </c>
      <c r="B20" s="41" t="n">
        <f aca="false">COUNTIF('lesson-database'!B3:B92,"Rhumato")</f>
        <v>18</v>
      </c>
      <c r="C20" s="41" t="n">
        <f aca="false">COUNTIFS('lesson-database'!B3:B92,"Rhumato",'lesson-database'!E3:E92,"&lt;&gt;")</f>
        <v>0</v>
      </c>
      <c r="D20" s="42" t="n">
        <f aca="false">IFERROR(AVERAGEIF('lesson-database'!B3:B92,"Rhumato",'lesson-database'!F3:F92),0)</f>
        <v>0</v>
      </c>
      <c r="F20" s="1" t="s">
        <v>145</v>
      </c>
    </row>
    <row r="21" customFormat="false" ht="24" hidden="false" customHeight="true" outlineLevel="0" collapsed="false">
      <c r="A21" s="40" t="s">
        <v>53</v>
      </c>
      <c r="B21" s="41" t="n">
        <f aca="false">COUNTIF('lesson-database'!B3:B92,"MPR")</f>
        <v>5</v>
      </c>
      <c r="C21" s="41" t="n">
        <f aca="false">COUNTIFS('lesson-database'!B3:B92,"MPR",'lesson-database'!E3:E92,"&lt;&gt;")</f>
        <v>0</v>
      </c>
      <c r="D21" s="42" t="n">
        <f aca="false">IFERROR(AVERAGEIF('lesson-database'!B3:B92,"MPR",'lesson-database'!F3:F92),0)</f>
        <v>0</v>
      </c>
      <c r="F21" s="44" t="n">
        <f aca="false">F19*10</f>
        <v>70</v>
      </c>
    </row>
    <row r="22" customFormat="false" ht="15" hidden="false" customHeight="true" outlineLevel="0" collapsed="false">
      <c r="A22" s="40" t="s">
        <v>59</v>
      </c>
      <c r="B22" s="41" t="n">
        <f aca="false">COUNTIF('lesson-database'!B3:B92,"Anapath")</f>
        <v>15</v>
      </c>
      <c r="C22" s="41" t="n">
        <f aca="false">COUNTIFS('lesson-database'!B3:B92,"Anapath",'lesson-database'!E3:E92,"&lt;&gt;")</f>
        <v>1</v>
      </c>
      <c r="D22" s="42" t="n">
        <f aca="false">IFERROR(AVERAGEIF('lesson-database'!B3:B92,"Anapath",'lesson-database'!F3:F92),0)</f>
        <v>0</v>
      </c>
    </row>
    <row r="23" customFormat="false" ht="15" hidden="false" customHeight="true" outlineLevel="0" collapsed="false">
      <c r="A23" s="40" t="s">
        <v>76</v>
      </c>
      <c r="B23" s="41" t="n">
        <f aca="false">COUNTIF('lesson-database'!B3:B92,"Syst")</f>
        <v>10</v>
      </c>
      <c r="C23" s="41" t="n">
        <f aca="false">COUNTIFS('lesson-database'!B3:B92,"Syst",'lesson-database'!E3:E92,"&lt;&gt;")</f>
        <v>0</v>
      </c>
      <c r="D23" s="42" t="n">
        <f aca="false">IFERROR(AVERAGEIF('lesson-database'!B3:B92,"Syst",'lesson-database'!F3:F92),0)</f>
        <v>0</v>
      </c>
    </row>
    <row r="24" customFormat="false" ht="15" hidden="false" customHeight="true" outlineLevel="0" collapsed="false">
      <c r="A24" s="40" t="s">
        <v>88</v>
      </c>
      <c r="B24" s="41" t="n">
        <f aca="false">COUNTIF('lesson-database'!B3:B92,"Génétique")</f>
        <v>12</v>
      </c>
      <c r="C24" s="41" t="n">
        <f aca="false">COUNTIFS('lesson-database'!B3:B92,"Génétique",'lesson-database'!E3:E92,"&lt;&gt;")</f>
        <v>4</v>
      </c>
      <c r="D24" s="42" t="n">
        <f aca="false">IFERROR(AVERAGEIF('lesson-database'!B3:B92,"Génétique",'lesson-database'!F3:F92),0)</f>
        <v>0.416666666666667</v>
      </c>
    </row>
    <row r="25" customFormat="false" ht="15" hidden="false" customHeight="true" outlineLevel="0" collapsed="false">
      <c r="A25" s="40" t="s">
        <v>101</v>
      </c>
      <c r="B25" s="41" t="n">
        <f aca="false">COUNTIF('lesson-database'!B3:B92,"Immuno")</f>
        <v>11</v>
      </c>
      <c r="C25" s="41" t="n">
        <f aca="false">COUNTIFS('lesson-database'!B3:B92,"Immuno",'lesson-database'!E3:E92,"&lt;&gt;")</f>
        <v>0</v>
      </c>
      <c r="D25" s="42" t="n">
        <f aca="false">IFERROR(AVERAGEIF('lesson-database'!B3:B92,"Immuno",'lesson-database'!F3:F92),0)</f>
        <v>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6D1DC"/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1" width="14"/>
  </cols>
  <sheetData>
    <row r="1" customFormat="false" ht="17.25" hidden="false" customHeight="true" outlineLevel="0" collapsed="false">
      <c r="A1" s="45" t="s">
        <v>146</v>
      </c>
      <c r="B1" s="45"/>
      <c r="C1" s="45"/>
      <c r="D1" s="45"/>
      <c r="E1" s="45"/>
      <c r="F1" s="45"/>
      <c r="G1" s="45"/>
      <c r="H1" s="45"/>
    </row>
    <row r="2" customFormat="false" ht="26.25" hidden="false" customHeight="true" outlineLevel="0" collapsed="false">
      <c r="A2" s="3" t="s">
        <v>147</v>
      </c>
      <c r="B2" s="3" t="s">
        <v>148</v>
      </c>
      <c r="C2" s="3" t="s">
        <v>149</v>
      </c>
      <c r="D2" s="3" t="s">
        <v>150</v>
      </c>
      <c r="E2" s="3" t="s">
        <v>151</v>
      </c>
      <c r="F2" s="3" t="s">
        <v>152</v>
      </c>
      <c r="G2" s="3" t="s">
        <v>153</v>
      </c>
    </row>
    <row r="3" customFormat="false" ht="15" hidden="false" customHeight="true" outlineLevel="0" collapsed="false">
      <c r="A3" s="40" t="str">
        <f aca="true">TEXT(TODAY()+0,"DDD")</f>
        <v>Sat</v>
      </c>
      <c r="B3" s="46" t="n">
        <f aca="true">TODAY()+0</f>
        <v>46109</v>
      </c>
      <c r="C3" s="47" t="n">
        <f aca="true">COUNTIFS('lesson-database'!H3:H92,"&lt;="&amp;B3,'lesson-database'!H3:H92,"&lt;&gt;")+COUNTIFS('lesson-database'!I3:I92,"*OVERDUE*")*(B3=TODAY())</f>
        <v>14</v>
      </c>
      <c r="D3" s="48" t="str">
        <f aca="false">IF(C3=0,"🟢 Free",IF(C3&lt;=5,"🟢 Light",IF(C3&lt;=10,"🟡 Medium",IF(C3&lt;=15,"🟠 Heavy","🔴 Overload"))))</f>
        <v>🟠 Heavy</v>
      </c>
      <c r="E3" s="41"/>
      <c r="F3" s="49" t="n">
        <f aca="false">C3*10</f>
        <v>140</v>
      </c>
      <c r="G3" s="41"/>
    </row>
    <row r="4" customFormat="false" ht="15" hidden="false" customHeight="true" outlineLevel="0" collapsed="false">
      <c r="A4" s="40" t="str">
        <f aca="true">TEXT(TODAY()+1,"DDD")</f>
        <v>Sun</v>
      </c>
      <c r="B4" s="46" t="n">
        <f aca="true">TODAY()+1</f>
        <v>46110</v>
      </c>
      <c r="C4" s="47" t="n">
        <f aca="false">COUNTIF('lesson-database'!H3:H92,B4)</f>
        <v>0</v>
      </c>
      <c r="D4" s="48" t="str">
        <f aca="false">IF(C4=0,"🟢 Free",IF(C4&lt;=5,"🟢 Light",IF(C4&lt;=10,"🟡 Medium",IF(C4&lt;=15,"🟠 Heavy","🔴 Overload"))))</f>
        <v>🟢 Free</v>
      </c>
      <c r="E4" s="41"/>
      <c r="F4" s="49" t="n">
        <f aca="false">C4*10</f>
        <v>0</v>
      </c>
      <c r="G4" s="41"/>
    </row>
    <row r="5" customFormat="false" ht="15" hidden="false" customHeight="true" outlineLevel="0" collapsed="false">
      <c r="A5" s="40" t="str">
        <f aca="true">TEXT(TODAY()+2,"DDD")</f>
        <v>Mon</v>
      </c>
      <c r="B5" s="46" t="n">
        <f aca="true">TODAY()+2</f>
        <v>46111</v>
      </c>
      <c r="C5" s="47" t="n">
        <f aca="false">COUNTIF('lesson-database'!H3:H92,B5)</f>
        <v>0</v>
      </c>
      <c r="D5" s="48" t="str">
        <f aca="false">IF(C5=0,"🟢 Free",IF(C5&lt;=5,"🟢 Light",IF(C5&lt;=10,"🟡 Medium",IF(C5&lt;=15,"🟠 Heavy","🔴 Overload"))))</f>
        <v>🟢 Free</v>
      </c>
      <c r="E5" s="41"/>
      <c r="F5" s="49" t="n">
        <f aca="false">C5*10</f>
        <v>0</v>
      </c>
      <c r="G5" s="41"/>
    </row>
    <row r="6" customFormat="false" ht="15" hidden="false" customHeight="true" outlineLevel="0" collapsed="false">
      <c r="A6" s="40" t="str">
        <f aca="true">TEXT(TODAY()+3,"DDD")</f>
        <v>Tue</v>
      </c>
      <c r="B6" s="46" t="n">
        <f aca="true">TODAY()+3</f>
        <v>46112</v>
      </c>
      <c r="C6" s="47" t="n">
        <f aca="false">COUNTIF('lesson-database'!H3:H92,B6)</f>
        <v>0</v>
      </c>
      <c r="D6" s="48" t="str">
        <f aca="false">IF(C6=0,"🟢 Free",IF(C6&lt;=5,"🟢 Light",IF(C6&lt;=10,"🟡 Medium",IF(C6&lt;=15,"🟠 Heavy","🔴 Overload"))))</f>
        <v>🟢 Free</v>
      </c>
      <c r="E6" s="41"/>
      <c r="F6" s="49" t="n">
        <f aca="false">C6*10</f>
        <v>0</v>
      </c>
      <c r="G6" s="41"/>
    </row>
    <row r="7" customFormat="false" ht="15" hidden="false" customHeight="true" outlineLevel="0" collapsed="false">
      <c r="A7" s="40" t="str">
        <f aca="true">TEXT(TODAY()+4,"DDD")</f>
        <v>Wed</v>
      </c>
      <c r="B7" s="46" t="n">
        <f aca="true">TODAY()+4</f>
        <v>46113</v>
      </c>
      <c r="C7" s="47" t="n">
        <f aca="false">COUNTIF('lesson-database'!H3:H92,B7)</f>
        <v>0</v>
      </c>
      <c r="D7" s="48" t="str">
        <f aca="false">IF(C7=0,"🟢 Free",IF(C7&lt;=5,"🟢 Light",IF(C7&lt;=10,"🟡 Medium",IF(C7&lt;=15,"🟠 Heavy","🔴 Overload"))))</f>
        <v>🟢 Free</v>
      </c>
      <c r="E7" s="41"/>
      <c r="F7" s="49" t="n">
        <f aca="false">C7*10</f>
        <v>0</v>
      </c>
      <c r="G7" s="41"/>
    </row>
    <row r="8" customFormat="false" ht="15" hidden="false" customHeight="true" outlineLevel="0" collapsed="false">
      <c r="A8" s="40" t="str">
        <f aca="true">TEXT(TODAY()+5,"DDD")</f>
        <v>Thu</v>
      </c>
      <c r="B8" s="46" t="n">
        <f aca="true">TODAY()+5</f>
        <v>46114</v>
      </c>
      <c r="C8" s="47" t="n">
        <f aca="false">COUNTIF('lesson-database'!H3:H92,B8)</f>
        <v>0</v>
      </c>
      <c r="D8" s="48" t="str">
        <f aca="false">IF(C8=0,"🟢 Free",IF(C8&lt;=5,"🟢 Light",IF(C8&lt;=10,"🟡 Medium",IF(C8&lt;=15,"🟠 Heavy","🔴 Overload"))))</f>
        <v>🟢 Free</v>
      </c>
      <c r="E8" s="41"/>
      <c r="F8" s="49" t="n">
        <f aca="false">C8*10</f>
        <v>0</v>
      </c>
      <c r="G8" s="41"/>
    </row>
    <row r="9" customFormat="false" ht="15" hidden="false" customHeight="true" outlineLevel="0" collapsed="false">
      <c r="A9" s="40" t="str">
        <f aca="true">TEXT(TODAY()+6,"DDD")</f>
        <v>Fri</v>
      </c>
      <c r="B9" s="46" t="n">
        <f aca="true">TODAY()+6</f>
        <v>46115</v>
      </c>
      <c r="C9" s="47" t="n">
        <f aca="false">COUNTIF('lesson-database'!H3:H92,B9)</f>
        <v>0</v>
      </c>
      <c r="D9" s="48" t="str">
        <f aca="false">IF(C9=0,"🟢 Free",IF(C9&lt;=5,"🟢 Light",IF(C9&lt;=10,"🟡 Medium",IF(C9&lt;=15,"🟠 Heavy","🔴 Overload"))))</f>
        <v>🟢 Free</v>
      </c>
      <c r="E9" s="41"/>
      <c r="F9" s="49" t="n">
        <f aca="false">C9*10</f>
        <v>0</v>
      </c>
      <c r="G9" s="41"/>
    </row>
    <row r="11" customFormat="false" ht="15" hidden="false" customHeight="true" outlineLevel="0" collapsed="false">
      <c r="B11" s="37" t="s">
        <v>154</v>
      </c>
      <c r="C11" s="35" t="n">
        <f aca="false">SUM(C3:C9)</f>
        <v>14</v>
      </c>
      <c r="F11" s="50" t="n">
        <f aca="false">SUM(F3:F9)</f>
        <v>140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1C40F"/>
    <pageSetUpPr fitToPage="false"/>
  </sheetPr>
  <dimension ref="A1:A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0"/>
  </cols>
  <sheetData>
    <row r="1" customFormat="false" ht="17.25" hidden="false" customHeight="true" outlineLevel="0" collapsed="false">
      <c r="A1" s="51" t="s">
        <v>155</v>
      </c>
    </row>
    <row r="2" customFormat="false" ht="15" hidden="false" customHeight="true" outlineLevel="0" collapsed="false">
      <c r="A2" s="36"/>
    </row>
    <row r="3" customFormat="false" ht="15" hidden="false" customHeight="true" outlineLevel="0" collapsed="false">
      <c r="A3" s="34" t="s">
        <v>156</v>
      </c>
    </row>
    <row r="4" customFormat="false" ht="15" hidden="false" customHeight="true" outlineLevel="0" collapsed="false">
      <c r="A4" s="36"/>
    </row>
    <row r="5" customFormat="false" ht="15" hidden="false" customHeight="true" outlineLevel="0" collapsed="false">
      <c r="A5" s="36" t="s">
        <v>157</v>
      </c>
    </row>
    <row r="6" customFormat="false" ht="15" hidden="false" customHeight="true" outlineLevel="0" collapsed="false">
      <c r="A6" s="36" t="s">
        <v>158</v>
      </c>
    </row>
    <row r="7" customFormat="false" ht="15" hidden="false" customHeight="true" outlineLevel="0" collapsed="false">
      <c r="A7" s="36" t="s">
        <v>159</v>
      </c>
    </row>
    <row r="8" customFormat="false" ht="15" hidden="false" customHeight="true" outlineLevel="0" collapsed="false">
      <c r="A8" s="36" t="s">
        <v>160</v>
      </c>
    </row>
    <row r="9" customFormat="false" ht="15" hidden="false" customHeight="true" outlineLevel="0" collapsed="false">
      <c r="A9" s="36"/>
    </row>
    <row r="10" customFormat="false" ht="15" hidden="false" customHeight="true" outlineLevel="0" collapsed="false">
      <c r="A10" s="52" t="s">
        <v>161</v>
      </c>
    </row>
    <row r="11" customFormat="false" ht="15" hidden="false" customHeight="true" outlineLevel="0" collapsed="false">
      <c r="A11" s="36" t="s">
        <v>162</v>
      </c>
    </row>
    <row r="12" customFormat="false" ht="15" hidden="false" customHeight="true" outlineLevel="0" collapsed="false">
      <c r="A12" s="36" t="s">
        <v>163</v>
      </c>
    </row>
    <row r="13" customFormat="false" ht="15" hidden="false" customHeight="true" outlineLevel="0" collapsed="false">
      <c r="A13" s="36" t="s">
        <v>164</v>
      </c>
    </row>
    <row r="14" customFormat="false" ht="15" hidden="false" customHeight="true" outlineLevel="0" collapsed="false">
      <c r="A14" s="36" t="s">
        <v>165</v>
      </c>
    </row>
    <row r="15" customFormat="false" ht="15" hidden="false" customHeight="true" outlineLevel="0" collapsed="false">
      <c r="A15" s="36" t="s">
        <v>166</v>
      </c>
    </row>
    <row r="16" customFormat="false" ht="15" hidden="false" customHeight="true" outlineLevel="0" collapsed="false">
      <c r="A16" s="36" t="s">
        <v>167</v>
      </c>
    </row>
    <row r="17" customFormat="false" ht="15" hidden="false" customHeight="true" outlineLevel="0" collapsed="false">
      <c r="A17" s="36" t="s">
        <v>168</v>
      </c>
    </row>
    <row r="18" customFormat="false" ht="15" hidden="false" customHeight="true" outlineLevel="0" collapsed="false">
      <c r="A18" s="36" t="s">
        <v>169</v>
      </c>
    </row>
    <row r="19" customFormat="false" ht="15" hidden="false" customHeight="true" outlineLevel="0" collapsed="false">
      <c r="A19" s="36"/>
    </row>
    <row r="20" customFormat="false" ht="15" hidden="false" customHeight="true" outlineLevel="0" collapsed="false">
      <c r="A20" s="36" t="s">
        <v>170</v>
      </c>
    </row>
    <row r="21" customFormat="false" ht="15" hidden="false" customHeight="true" outlineLevel="0" collapsed="false">
      <c r="A21" s="36"/>
    </row>
    <row r="22" customFormat="false" ht="15" hidden="false" customHeight="true" outlineLevel="0" collapsed="false">
      <c r="A22" s="36" t="s">
        <v>171</v>
      </c>
    </row>
    <row r="23" customFormat="false" ht="15" hidden="false" customHeight="true" outlineLevel="0" collapsed="false">
      <c r="A23" s="36"/>
    </row>
    <row r="24" customFormat="false" ht="15" hidden="false" customHeight="true" outlineLevel="0" collapsed="false">
      <c r="A24" s="53" t="s">
        <v>172</v>
      </c>
    </row>
    <row r="25" customFormat="false" ht="15" hidden="false" customHeight="true" outlineLevel="0" collapsed="false">
      <c r="A25" s="36" t="s">
        <v>173</v>
      </c>
    </row>
    <row r="26" customFormat="false" ht="15" hidden="false" customHeight="true" outlineLevel="0" collapsed="false">
      <c r="A26" s="36" t="s">
        <v>174</v>
      </c>
    </row>
    <row r="27" customFormat="false" ht="15" hidden="false" customHeight="true" outlineLevel="0" collapsed="false">
      <c r="A27" s="36" t="s">
        <v>175</v>
      </c>
    </row>
    <row r="28" customFormat="false" ht="15" hidden="false" customHeight="true" outlineLevel="0" collapsed="false">
      <c r="A28" s="36" t="s">
        <v>176</v>
      </c>
    </row>
    <row r="29" customFormat="false" ht="15" hidden="false" customHeight="true" outlineLevel="0" collapsed="false">
      <c r="A29" s="36" t="s">
        <v>177</v>
      </c>
    </row>
    <row r="30" customFormat="false" ht="15" hidden="false" customHeight="true" outlineLevel="0" collapsed="false">
      <c r="A30" s="36"/>
    </row>
    <row r="31" customFormat="false" ht="15" hidden="false" customHeight="true" outlineLevel="0" collapsed="false">
      <c r="A31" s="34" t="s">
        <v>178</v>
      </c>
    </row>
    <row r="32" customFormat="false" ht="15" hidden="false" customHeight="true" outlineLevel="0" collapsed="false">
      <c r="A32" s="36" t="s">
        <v>179</v>
      </c>
    </row>
    <row r="33" customFormat="false" ht="15" hidden="false" customHeight="true" outlineLevel="0" collapsed="false">
      <c r="A33" s="36" t="s">
        <v>180</v>
      </c>
    </row>
    <row r="34" customFormat="false" ht="15" hidden="false" customHeight="true" outlineLevel="0" collapsed="false">
      <c r="A34" s="36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2026-03-28T18:20:50Z</dcterms:created>
  <dc:creator>openpyxl</dc:creator>
  <dc:description/>
  <dc:language>en-US</dc:language>
  <cp:lastModifiedBy/>
  <dcterms:modified xsi:type="dcterms:W3CDTF">2026-03-28T18:21:07Z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