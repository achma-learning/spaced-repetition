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esson-database" sheetId="2" state="visible" r:id="rId2"/>
    <sheet name="Module View" sheetId="3" state="visible" r:id="rId3"/>
    <sheet name="Weekly" sheetId="4" state="visible" r:id="rId4"/>
    <sheet name="How-To" sheetId="5" state="visible" r:id="rId5"/>
  </sheets>
  <definedNames>
    <definedName name="ModuleList">Dashboard!$A$46:$A$89</definedName>
    <definedName name="_xlnm._FilterDatabase" localSheetId="1" hidden="1">'lesson-database'!$A$2:$K$1312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📅 Today:  &quot;dddd&quot;, &quot;mmmm dd&quot;, &quot;yyyy"/>
    <numFmt numFmtId="165" formatCode="&quot;⏳ Days left: &quot;0&quot; days available&quot;"/>
    <numFmt numFmtId="166" formatCode="yyyy-mm-dd h:mm:ss"/>
    <numFmt numFmtId="167" formatCode="dd/mm/yyyy"/>
    <numFmt numFmtId="168" formatCode="yyyy-mm-dd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  <font>
      <b val="1"/>
      <color rgb="00FFFFFF"/>
      <sz val="13"/>
    </font>
    <font>
      <b val="1"/>
    </font>
    <font>
      <b val="1"/>
      <sz val="12"/>
    </font>
    <font>
      <b val="1"/>
      <color rgb="00FFFFFF"/>
      <sz val="12"/>
    </font>
    <font>
      <b val="1"/>
      <sz val="13"/>
    </font>
    <font>
      <sz val="11"/>
    </font>
    <font>
      <b val="1"/>
      <sz val="11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5496"/>
      </patternFill>
    </fill>
    <fill>
      <patternFill patternType="solid">
        <fgColor rgb="00FDE9D9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F2DCDB"/>
      </patternFill>
    </fill>
    <fill>
      <patternFill patternType="solid">
        <fgColor rgb="00EBF1DE"/>
      </patternFill>
    </fill>
    <fill>
      <patternFill patternType="solid">
        <fgColor rgb="00F2F2F2"/>
      </patternFill>
    </fill>
    <fill>
      <patternFill patternType="solid">
        <fgColor rgb="00EAF1FB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15" borderId="1" pivotButton="0" quotePrefix="0" xfId="0"/>
    <xf numFmtId="0" fontId="5" fillId="15" borderId="1" applyAlignment="1" pivotButton="0" quotePrefix="0" xfId="0">
      <alignment horizontal="center" vertical="center"/>
    </xf>
    <xf numFmtId="9" fontId="5" fillId="15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167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168" fontId="0" fillId="3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8" fontId="0" fillId="0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10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0" borderId="1" applyAlignment="1" pivotButton="0" quotePrefix="0" xfId="0">
      <alignment horizontal="center" vertical="center"/>
    </xf>
    <xf numFmtId="168" fontId="0" fillId="0" borderId="1" pivotButton="0" quotePrefix="0" xfId="0"/>
    <xf numFmtId="0" fontId="3" fillId="2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Lessons per semester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ln>
              <a:prstDash val="solid"/>
            </a:ln>
          </spPr>
          <cat>
            <numRef>
              <f>'Dashboard'!$A$14:$A$23</f>
            </numRef>
          </cat>
          <val>
            <numRef>
              <f>'Dashboard'!$B$14:$B$23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Progress per semester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'Dashboard'!C13</f>
            </strRef>
          </tx>
          <spPr>
            <a:ln>
              <a:prstDash val="solid"/>
            </a:ln>
          </spPr>
          <cat>
            <numRef>
              <f>'Dashboard'!$A$14:$A$23</f>
            </numRef>
          </cat>
          <val>
            <numRef>
              <f>'Dashboard'!$C$14:$C$23</f>
            </numRef>
          </val>
        </ser>
        <ser>
          <idx val="1"/>
          <order val="1"/>
          <tx>
            <strRef>
              <f>'Dashboard'!D13</f>
            </strRef>
          </tx>
          <spPr>
            <a:ln>
              <a:prstDash val="solid"/>
            </a:ln>
          </spPr>
          <cat>
            <numRef>
              <f>'Dashboard'!$A$14:$A$23</f>
            </numRef>
          </cat>
          <val>
            <numRef>
              <f>'Dashboard'!$D$14:$D$23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Mastery distribution (0=forgot → 5=mastered)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'Dashboard'!I13</f>
            </strRef>
          </tx>
          <spPr>
            <a:ln>
              <a:prstDash val="solid"/>
            </a:ln>
          </spPr>
          <cat>
            <numRef>
              <f>'Dashboard'!$H$14:$H$19</f>
            </numRef>
          </cat>
          <val>
            <numRef>
              <f>'Dashboard'!$I$14:$I$19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Lessons per module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'Dashboard'!D45</f>
            </strRef>
          </tx>
          <spPr>
            <a:ln>
              <a:prstDash val="solid"/>
            </a:ln>
          </spPr>
          <cat>
            <numRef>
              <f>'Dashboard'!$A$46:$A$89</f>
            </numRef>
          </cat>
          <val>
            <numRef>
              <f>'Dashboard'!$D$46:$D$89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Mastery in this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 View'!I5</f>
            </strRef>
          </tx>
          <spPr>
            <a:ln>
              <a:prstDash val="solid"/>
            </a:ln>
          </spPr>
          <cat>
            <numRef>
              <f>'Module View'!$H$6:$H$11</f>
            </numRef>
          </cat>
          <val>
            <numRef>
              <f>'Module View'!$I$6:$I$11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Reviews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'Weekly'!C3</f>
            </strRef>
          </tx>
          <spPr>
            <a:ln>
              <a:prstDash val="solid"/>
            </a:ln>
          </spPr>
          <cat>
            <numRef>
              <f>'Weekly'!$B$4:$B$10</f>
            </numRef>
          </cat>
          <val>
            <numRef>
              <f>'Weekly'!$C$4:$C$10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44</row>
      <rowOff>0</rowOff>
    </from>
    <ext cx="5760000" cy="100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R8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0" customWidth="1" min="4" max="4"/>
    <col width="9" customWidth="1" min="5" max="5"/>
    <col width="9" customWidth="1" min="6" max="6"/>
    <col width="3" customWidth="1" min="7" max="7"/>
    <col width="9" customWidth="1" min="8" max="8"/>
    <col width="9" customWidth="1" min="9" max="9"/>
  </cols>
  <sheetData>
    <row r="1" ht="30" customHeight="1">
      <c r="A1" s="1" t="inlineStr">
        <is>
          <t>📊 MEDICAL SRS — DASHBOARD  ·  bird's-eye view of every semester &amp; module</t>
        </is>
      </c>
    </row>
    <row r="2">
      <c r="A2" s="2" t="inlineStr">
        <is>
          <t>AT A GLANCE</t>
        </is>
      </c>
    </row>
    <row r="3">
      <c r="A3" s="3" t="inlineStr">
        <is>
          <t>📚 Total lessons</t>
        </is>
      </c>
      <c r="B3" s="4">
        <f>COUNTA('lesson-database'!$E$3:$E$2000)</f>
        <v/>
      </c>
    </row>
    <row r="4">
      <c r="A4" s="3" t="inlineStr">
        <is>
          <t>✏️ Started</t>
        </is>
      </c>
      <c r="B4" s="4">
        <f>COUNTA('lesson-database'!$F$3:$F$2000)</f>
        <v/>
      </c>
    </row>
    <row r="5">
      <c r="A5" s="3" t="inlineStr">
        <is>
          <t>✅ Mastered</t>
        </is>
      </c>
      <c r="B5" s="4">
        <f>COUNTIF('lesson-database'!$G$3:$G$2000,5)</f>
        <v/>
      </c>
    </row>
    <row r="6">
      <c r="A6" s="3" t="inlineStr">
        <is>
          <t>⏳ In progress</t>
        </is>
      </c>
      <c r="B6" s="4">
        <f>B4-B5</f>
        <v/>
      </c>
    </row>
    <row r="7">
      <c r="A7" s="3" t="inlineStr">
        <is>
          <t>🔴 Overdue</t>
        </is>
      </c>
      <c r="B7" s="4">
        <f>COUNTIF('lesson-database'!$J$3:$J$2000,"*OVERDUE*")</f>
        <v/>
      </c>
    </row>
    <row r="8">
      <c r="A8" s="3" t="inlineStr">
        <is>
          <t>🟢 Due today</t>
        </is>
      </c>
      <c r="B8" s="4">
        <f>COUNTIF('lesson-database'!$J$3:$J$2000,"*TODAY*")</f>
        <v/>
      </c>
    </row>
    <row r="9">
      <c r="A9" s="3" t="inlineStr">
        <is>
          <t>📅 Due this week</t>
        </is>
      </c>
      <c r="B9" s="4">
        <f>COUNTIF('lesson-database'!$J$3:$J$2000,"*THIS WEEK*")</f>
        <v/>
      </c>
    </row>
    <row r="10">
      <c r="A10" s="3" t="inlineStr">
        <is>
          <t>📈 % Complete</t>
        </is>
      </c>
      <c r="B10" s="5">
        <f>IF(B3=0,0,B5/B3)</f>
        <v/>
      </c>
    </row>
    <row r="12">
      <c r="A12" s="2" t="inlineStr">
        <is>
          <t>BY SEMESTER</t>
        </is>
      </c>
      <c r="H12" s="2" t="inlineStr">
        <is>
          <t>MASTERY MIX</t>
        </is>
      </c>
    </row>
    <row r="13">
      <c r="A13" s="6" t="inlineStr">
        <is>
          <t>Semester</t>
        </is>
      </c>
      <c r="B13" s="6" t="inlineStr">
        <is>
          <t>Total</t>
        </is>
      </c>
      <c r="C13" s="6" t="inlineStr">
        <is>
          <t>Started</t>
        </is>
      </c>
      <c r="D13" s="6" t="inlineStr">
        <is>
          <t>Mastered</t>
        </is>
      </c>
      <c r="E13" s="6" t="inlineStr">
        <is>
          <t>Overdue</t>
        </is>
      </c>
      <c r="F13" s="6" t="inlineStr">
        <is>
          <t>% Done</t>
        </is>
      </c>
      <c r="G13" s="6" t="n"/>
      <c r="H13" s="6" t="inlineStr">
        <is>
          <t>Mastery</t>
        </is>
      </c>
      <c r="I13" s="6" t="inlineStr">
        <is>
          <t>Lessons</t>
        </is>
      </c>
    </row>
    <row r="14">
      <c r="A14" s="7" t="inlineStr">
        <is>
          <t>S1</t>
        </is>
      </c>
      <c r="B14" s="8">
        <f>COUNTIF('lesson-database'!$B$3:$B$2000,$A14)</f>
        <v/>
      </c>
      <c r="C14" s="8">
        <f>COUNTIFS('lesson-database'!$B$3:$B$2000,$A14,'lesson-database'!$F$3:$F$2000,"&lt;&gt;")</f>
        <v/>
      </c>
      <c r="D14" s="8">
        <f>COUNTIFS('lesson-database'!$B$3:$B$2000,$A14,'lesson-database'!$G$3:$G$2000,5)</f>
        <v/>
      </c>
      <c r="E14" s="8">
        <f>COUNTIFS('lesson-database'!$B$3:$B$2000,$A14,'lesson-database'!$J$3:$J$2000,"*OVERDUE*")</f>
        <v/>
      </c>
      <c r="F14" s="9">
        <f>IF($B14=0,0,$D14/$B14)</f>
        <v/>
      </c>
      <c r="H14" s="7" t="n">
        <v>0</v>
      </c>
      <c r="I14" s="8">
        <f>COUNTIF('lesson-database'!$G$3:$G$2000,$H14)</f>
        <v/>
      </c>
    </row>
    <row r="15">
      <c r="A15" s="7" t="inlineStr">
        <is>
          <t>S2</t>
        </is>
      </c>
      <c r="B15" s="8">
        <f>COUNTIF('lesson-database'!$B$3:$B$2000,$A15)</f>
        <v/>
      </c>
      <c r="C15" s="8">
        <f>COUNTIFS('lesson-database'!$B$3:$B$2000,$A15,'lesson-database'!$F$3:$F$2000,"&lt;&gt;")</f>
        <v/>
      </c>
      <c r="D15" s="8">
        <f>COUNTIFS('lesson-database'!$B$3:$B$2000,$A15,'lesson-database'!$G$3:$G$2000,5)</f>
        <v/>
      </c>
      <c r="E15" s="8">
        <f>COUNTIFS('lesson-database'!$B$3:$B$2000,$A15,'lesson-database'!$J$3:$J$2000,"*OVERDUE*")</f>
        <v/>
      </c>
      <c r="F15" s="9">
        <f>IF($B15=0,0,$D15/$B15)</f>
        <v/>
      </c>
      <c r="H15" s="7" t="n">
        <v>1</v>
      </c>
      <c r="I15" s="8">
        <f>COUNTIF('lesson-database'!$G$3:$G$2000,$H15)</f>
        <v/>
      </c>
    </row>
    <row r="16">
      <c r="A16" s="7" t="inlineStr">
        <is>
          <t>S3</t>
        </is>
      </c>
      <c r="B16" s="8">
        <f>COUNTIF('lesson-database'!$B$3:$B$2000,$A16)</f>
        <v/>
      </c>
      <c r="C16" s="8">
        <f>COUNTIFS('lesson-database'!$B$3:$B$2000,$A16,'lesson-database'!$F$3:$F$2000,"&lt;&gt;")</f>
        <v/>
      </c>
      <c r="D16" s="8">
        <f>COUNTIFS('lesson-database'!$B$3:$B$2000,$A16,'lesson-database'!$G$3:$G$2000,5)</f>
        <v/>
      </c>
      <c r="E16" s="8">
        <f>COUNTIFS('lesson-database'!$B$3:$B$2000,$A16,'lesson-database'!$J$3:$J$2000,"*OVERDUE*")</f>
        <v/>
      </c>
      <c r="F16" s="9">
        <f>IF($B16=0,0,$D16/$B16)</f>
        <v/>
      </c>
      <c r="H16" s="7" t="n">
        <v>2</v>
      </c>
      <c r="I16" s="8">
        <f>COUNTIF('lesson-database'!$G$3:$G$2000,$H16)</f>
        <v/>
      </c>
    </row>
    <row r="17">
      <c r="A17" s="7" t="inlineStr">
        <is>
          <t>S4</t>
        </is>
      </c>
      <c r="B17" s="8">
        <f>COUNTIF('lesson-database'!$B$3:$B$2000,$A17)</f>
        <v/>
      </c>
      <c r="C17" s="8">
        <f>COUNTIFS('lesson-database'!$B$3:$B$2000,$A17,'lesson-database'!$F$3:$F$2000,"&lt;&gt;")</f>
        <v/>
      </c>
      <c r="D17" s="8">
        <f>COUNTIFS('lesson-database'!$B$3:$B$2000,$A17,'lesson-database'!$G$3:$G$2000,5)</f>
        <v/>
      </c>
      <c r="E17" s="8">
        <f>COUNTIFS('lesson-database'!$B$3:$B$2000,$A17,'lesson-database'!$J$3:$J$2000,"*OVERDUE*")</f>
        <v/>
      </c>
      <c r="F17" s="9">
        <f>IF($B17=0,0,$D17/$B17)</f>
        <v/>
      </c>
      <c r="H17" s="7" t="n">
        <v>3</v>
      </c>
      <c r="I17" s="8">
        <f>COUNTIF('lesson-database'!$G$3:$G$2000,$H17)</f>
        <v/>
      </c>
    </row>
    <row r="18">
      <c r="A18" s="7" t="inlineStr">
        <is>
          <t>S5</t>
        </is>
      </c>
      <c r="B18" s="8">
        <f>COUNTIF('lesson-database'!$B$3:$B$2000,$A18)</f>
        <v/>
      </c>
      <c r="C18" s="8">
        <f>COUNTIFS('lesson-database'!$B$3:$B$2000,$A18,'lesson-database'!$F$3:$F$2000,"&lt;&gt;")</f>
        <v/>
      </c>
      <c r="D18" s="8">
        <f>COUNTIFS('lesson-database'!$B$3:$B$2000,$A18,'lesson-database'!$G$3:$G$2000,5)</f>
        <v/>
      </c>
      <c r="E18" s="8">
        <f>COUNTIFS('lesson-database'!$B$3:$B$2000,$A18,'lesson-database'!$J$3:$J$2000,"*OVERDUE*")</f>
        <v/>
      </c>
      <c r="F18" s="9">
        <f>IF($B18=0,0,$D18/$B18)</f>
        <v/>
      </c>
      <c r="H18" s="7" t="n">
        <v>4</v>
      </c>
      <c r="I18" s="8">
        <f>COUNTIF('lesson-database'!$G$3:$G$2000,$H18)</f>
        <v/>
      </c>
    </row>
    <row r="19">
      <c r="A19" s="7" t="inlineStr">
        <is>
          <t>S6</t>
        </is>
      </c>
      <c r="B19" s="8">
        <f>COUNTIF('lesson-database'!$B$3:$B$2000,$A19)</f>
        <v/>
      </c>
      <c r="C19" s="8">
        <f>COUNTIFS('lesson-database'!$B$3:$B$2000,$A19,'lesson-database'!$F$3:$F$2000,"&lt;&gt;")</f>
        <v/>
      </c>
      <c r="D19" s="8">
        <f>COUNTIFS('lesson-database'!$B$3:$B$2000,$A19,'lesson-database'!$G$3:$G$2000,5)</f>
        <v/>
      </c>
      <c r="E19" s="8">
        <f>COUNTIFS('lesson-database'!$B$3:$B$2000,$A19,'lesson-database'!$J$3:$J$2000,"*OVERDUE*")</f>
        <v/>
      </c>
      <c r="F19" s="9">
        <f>IF($B19=0,0,$D19/$B19)</f>
        <v/>
      </c>
      <c r="H19" s="7" t="n">
        <v>5</v>
      </c>
      <c r="I19" s="8">
        <f>COUNTIF('lesson-database'!$G$3:$G$2000,$H19)</f>
        <v/>
      </c>
    </row>
    <row r="20">
      <c r="A20" s="7" t="inlineStr">
        <is>
          <t>S7</t>
        </is>
      </c>
      <c r="B20" s="8">
        <f>COUNTIF('lesson-database'!$B$3:$B$2000,$A20)</f>
        <v/>
      </c>
      <c r="C20" s="8">
        <f>COUNTIFS('lesson-database'!$B$3:$B$2000,$A20,'lesson-database'!$F$3:$F$2000,"&lt;&gt;")</f>
        <v/>
      </c>
      <c r="D20" s="8">
        <f>COUNTIFS('lesson-database'!$B$3:$B$2000,$A20,'lesson-database'!$G$3:$G$2000,5)</f>
        <v/>
      </c>
      <c r="E20" s="8">
        <f>COUNTIFS('lesson-database'!$B$3:$B$2000,$A20,'lesson-database'!$J$3:$J$2000,"*OVERDUE*")</f>
        <v/>
      </c>
      <c r="F20" s="9">
        <f>IF($B20=0,0,$D20/$B20)</f>
        <v/>
      </c>
    </row>
    <row r="21">
      <c r="A21" s="7" t="inlineStr">
        <is>
          <t>S8</t>
        </is>
      </c>
      <c r="B21" s="8">
        <f>COUNTIF('lesson-database'!$B$3:$B$2000,$A21)</f>
        <v/>
      </c>
      <c r="C21" s="8">
        <f>COUNTIFS('lesson-database'!$B$3:$B$2000,$A21,'lesson-database'!$F$3:$F$2000,"&lt;&gt;")</f>
        <v/>
      </c>
      <c r="D21" s="8">
        <f>COUNTIFS('lesson-database'!$B$3:$B$2000,$A21,'lesson-database'!$G$3:$G$2000,5)</f>
        <v/>
      </c>
      <c r="E21" s="8">
        <f>COUNTIFS('lesson-database'!$B$3:$B$2000,$A21,'lesson-database'!$J$3:$J$2000,"*OVERDUE*")</f>
        <v/>
      </c>
      <c r="F21" s="9">
        <f>IF($B21=0,0,$D21/$B21)</f>
        <v/>
      </c>
    </row>
    <row r="22">
      <c r="A22" s="7" t="inlineStr">
        <is>
          <t>S9</t>
        </is>
      </c>
      <c r="B22" s="8">
        <f>COUNTIF('lesson-database'!$B$3:$B$2000,$A22)</f>
        <v/>
      </c>
      <c r="C22" s="8">
        <f>COUNTIFS('lesson-database'!$B$3:$B$2000,$A22,'lesson-database'!$F$3:$F$2000,"&lt;&gt;")</f>
        <v/>
      </c>
      <c r="D22" s="8">
        <f>COUNTIFS('lesson-database'!$B$3:$B$2000,$A22,'lesson-database'!$G$3:$G$2000,5)</f>
        <v/>
      </c>
      <c r="E22" s="8">
        <f>COUNTIFS('lesson-database'!$B$3:$B$2000,$A22,'lesson-database'!$J$3:$J$2000,"*OVERDUE*")</f>
        <v/>
      </c>
      <c r="F22" s="9">
        <f>IF($B22=0,0,$D22/$B22)</f>
        <v/>
      </c>
    </row>
    <row r="23">
      <c r="A23" s="7" t="inlineStr">
        <is>
          <t>S10</t>
        </is>
      </c>
      <c r="B23" s="8">
        <f>COUNTIF('lesson-database'!$B$3:$B$2000,$A23)</f>
        <v/>
      </c>
      <c r="C23" s="8">
        <f>COUNTIFS('lesson-database'!$B$3:$B$2000,$A23,'lesson-database'!$F$3:$F$2000,"&lt;&gt;")</f>
        <v/>
      </c>
      <c r="D23" s="8">
        <f>COUNTIFS('lesson-database'!$B$3:$B$2000,$A23,'lesson-database'!$G$3:$G$2000,5)</f>
        <v/>
      </c>
      <c r="E23" s="8">
        <f>COUNTIFS('lesson-database'!$B$3:$B$2000,$A23,'lesson-database'!$J$3:$J$2000,"*OVERDUE*")</f>
        <v/>
      </c>
      <c r="F23" s="9">
        <f>IF($B23=0,0,$D23/$B23)</f>
        <v/>
      </c>
    </row>
    <row r="44">
      <c r="A44" s="2" t="inlineStr">
        <is>
          <t>BY MODULE  (filter the lesson-database tab, or use the Module View tab for a detailed view)</t>
        </is>
      </c>
    </row>
    <row r="45">
      <c r="A45" s="6" t="inlineStr">
        <is>
          <t>Module (pick this in Module View)</t>
        </is>
      </c>
      <c r="B45" s="6" t="inlineStr">
        <is>
          <t>Sem</t>
        </is>
      </c>
      <c r="C45" s="6" t="inlineStr">
        <is>
          <t>Module name</t>
        </is>
      </c>
      <c r="D45" s="6" t="inlineStr">
        <is>
          <t>Total</t>
        </is>
      </c>
      <c r="E45" s="6" t="inlineStr">
        <is>
          <t>Started</t>
        </is>
      </c>
      <c r="F45" s="6" t="inlineStr">
        <is>
          <t>Mastered</t>
        </is>
      </c>
      <c r="G45" s="6" t="inlineStr">
        <is>
          <t>Overdue</t>
        </is>
      </c>
      <c r="H45" s="6" t="inlineStr">
        <is>
          <t>% Done</t>
        </is>
      </c>
    </row>
    <row r="46">
      <c r="A46" s="8" t="inlineStr">
        <is>
          <t>S1 — Anatomie I</t>
        </is>
      </c>
      <c r="B46" s="7" t="inlineStr">
        <is>
          <t>S1</t>
        </is>
      </c>
      <c r="C46" s="8" t="inlineStr">
        <is>
          <t>Anatomie I</t>
        </is>
      </c>
      <c r="D46" s="8">
        <f>COUNTIFS('lesson-database'!$B$3:$B$2000,$B46,'lesson-database'!$C$3:$C$2000,$C46)</f>
        <v/>
      </c>
      <c r="E46" s="8">
        <f>COUNTIFS('lesson-database'!$B$3:$B$2000,$B46,'lesson-database'!$C$3:$C$2000,$C46,'lesson-database'!$F$3:$F$2000,"&lt;&gt;")</f>
        <v/>
      </c>
      <c r="F46" s="8">
        <f>COUNTIFS('lesson-database'!$B$3:$B$2000,$B46,'lesson-database'!$C$3:$C$2000,$C46,'lesson-database'!$G$3:$G$2000,5)</f>
        <v/>
      </c>
      <c r="G46" s="8">
        <f>COUNTIFS('lesson-database'!$B$3:$B$2000,$B46,'lesson-database'!$C$3:$C$2000,$C46,'lesson-database'!$J$3:$J$2000,"*OVERDUE*")</f>
        <v/>
      </c>
      <c r="H46" s="9">
        <f>IF($D46=0,0,$F46/$D46)</f>
        <v/>
      </c>
    </row>
    <row r="47">
      <c r="A47" s="8" t="inlineStr">
        <is>
          <t>S1 — Santé publique</t>
        </is>
      </c>
      <c r="B47" s="7" t="inlineStr">
        <is>
          <t>S1</t>
        </is>
      </c>
      <c r="C47" s="8" t="inlineStr">
        <is>
          <t>Santé publique</t>
        </is>
      </c>
      <c r="D47" s="8">
        <f>COUNTIFS('lesson-database'!$B$3:$B$2000,$B47,'lesson-database'!$C$3:$C$2000,$C47)</f>
        <v/>
      </c>
      <c r="E47" s="8">
        <f>COUNTIFS('lesson-database'!$B$3:$B$2000,$B47,'lesson-database'!$C$3:$C$2000,$C47,'lesson-database'!$F$3:$F$2000,"&lt;&gt;")</f>
        <v/>
      </c>
      <c r="F47" s="8">
        <f>COUNTIFS('lesson-database'!$B$3:$B$2000,$B47,'lesson-database'!$C$3:$C$2000,$C47,'lesson-database'!$G$3:$G$2000,5)</f>
        <v/>
      </c>
      <c r="G47" s="8">
        <f>COUNTIFS('lesson-database'!$B$3:$B$2000,$B47,'lesson-database'!$C$3:$C$2000,$C47,'lesson-database'!$J$3:$J$2000,"*OVERDUE*")</f>
        <v/>
      </c>
      <c r="H47" s="9">
        <f>IF($D47=0,0,$F47/$D47)</f>
        <v/>
      </c>
    </row>
    <row r="48">
      <c r="A48" s="8" t="inlineStr">
        <is>
          <t>S1 — Biochimie</t>
        </is>
      </c>
      <c r="B48" s="7" t="inlineStr">
        <is>
          <t>S1</t>
        </is>
      </c>
      <c r="C48" s="8" t="inlineStr">
        <is>
          <t>Biochimie</t>
        </is>
      </c>
      <c r="D48" s="8">
        <f>COUNTIFS('lesson-database'!$B$3:$B$2000,$B48,'lesson-database'!$C$3:$C$2000,$C48)</f>
        <v/>
      </c>
      <c r="E48" s="8">
        <f>COUNTIFS('lesson-database'!$B$3:$B$2000,$B48,'lesson-database'!$C$3:$C$2000,$C48,'lesson-database'!$F$3:$F$2000,"&lt;&gt;")</f>
        <v/>
      </c>
      <c r="F48" s="8">
        <f>COUNTIFS('lesson-database'!$B$3:$B$2000,$B48,'lesson-database'!$C$3:$C$2000,$C48,'lesson-database'!$G$3:$G$2000,5)</f>
        <v/>
      </c>
      <c r="G48" s="8">
        <f>COUNTIFS('lesson-database'!$B$3:$B$2000,$B48,'lesson-database'!$C$3:$C$2000,$C48,'lesson-database'!$J$3:$J$2000,"*OVERDUE*")</f>
        <v/>
      </c>
      <c r="H48" s="9">
        <f>IF($D48=0,0,$F48/$D48)</f>
        <v/>
      </c>
    </row>
    <row r="49">
      <c r="A49" s="8" t="inlineStr">
        <is>
          <t>S1 — Biologie</t>
        </is>
      </c>
      <c r="B49" s="7" t="inlineStr">
        <is>
          <t>S1</t>
        </is>
      </c>
      <c r="C49" s="8" t="inlineStr">
        <is>
          <t>Biologie</t>
        </is>
      </c>
      <c r="D49" s="8">
        <f>COUNTIFS('lesson-database'!$B$3:$B$2000,$B49,'lesson-database'!$C$3:$C$2000,$C49)</f>
        <v/>
      </c>
      <c r="E49" s="8">
        <f>COUNTIFS('lesson-database'!$B$3:$B$2000,$B49,'lesson-database'!$C$3:$C$2000,$C49,'lesson-database'!$F$3:$F$2000,"&lt;&gt;")</f>
        <v/>
      </c>
      <c r="F49" s="8">
        <f>COUNTIFS('lesson-database'!$B$3:$B$2000,$B49,'lesson-database'!$C$3:$C$2000,$C49,'lesson-database'!$G$3:$G$2000,5)</f>
        <v/>
      </c>
      <c r="G49" s="8">
        <f>COUNTIFS('lesson-database'!$B$3:$B$2000,$B49,'lesson-database'!$C$3:$C$2000,$C49,'lesson-database'!$J$3:$J$2000,"*OVERDUE*")</f>
        <v/>
      </c>
      <c r="H49" s="9">
        <f>IF($D49=0,0,$F49/$D49)</f>
        <v/>
      </c>
    </row>
    <row r="50">
      <c r="A50" s="8" t="inlineStr">
        <is>
          <t>S1 — TICE - Recherche médicale et anglais médical</t>
        </is>
      </c>
      <c r="B50" s="7" t="inlineStr">
        <is>
          <t>S1</t>
        </is>
      </c>
      <c r="C50" s="8" t="inlineStr">
        <is>
          <t>TICE - Recherche médicale et anglais médical</t>
        </is>
      </c>
      <c r="D50" s="8">
        <f>COUNTIFS('lesson-database'!$B$3:$B$2000,$B50,'lesson-database'!$C$3:$C$2000,$C50)</f>
        <v/>
      </c>
      <c r="E50" s="8">
        <f>COUNTIFS('lesson-database'!$B$3:$B$2000,$B50,'lesson-database'!$C$3:$C$2000,$C50,'lesson-database'!$F$3:$F$2000,"&lt;&gt;")</f>
        <v/>
      </c>
      <c r="F50" s="8">
        <f>COUNTIFS('lesson-database'!$B$3:$B$2000,$B50,'lesson-database'!$C$3:$C$2000,$C50,'lesson-database'!$G$3:$G$2000,5)</f>
        <v/>
      </c>
      <c r="G50" s="8">
        <f>COUNTIFS('lesson-database'!$B$3:$B$2000,$B50,'lesson-database'!$C$3:$C$2000,$C50,'lesson-database'!$J$3:$J$2000,"*OVERDUE*")</f>
        <v/>
      </c>
      <c r="H50" s="9">
        <f>IF($D50=0,0,$F50/$D50)</f>
        <v/>
      </c>
    </row>
    <row r="51">
      <c r="A51" s="8" t="inlineStr">
        <is>
          <t>S1 — Méthodologie d'apprentissage - Terminologie</t>
        </is>
      </c>
      <c r="B51" s="7" t="inlineStr">
        <is>
          <t>S1</t>
        </is>
      </c>
      <c r="C51" s="8" t="inlineStr">
        <is>
          <t>Méthodologie d'apprentissage - Terminologie</t>
        </is>
      </c>
      <c r="D51" s="8">
        <f>COUNTIFS('lesson-database'!$B$3:$B$2000,$B51,'lesson-database'!$C$3:$C$2000,$C51)</f>
        <v/>
      </c>
      <c r="E51" s="8">
        <f>COUNTIFS('lesson-database'!$B$3:$B$2000,$B51,'lesson-database'!$C$3:$C$2000,$C51,'lesson-database'!$F$3:$F$2000,"&lt;&gt;")</f>
        <v/>
      </c>
      <c r="F51" s="8">
        <f>COUNTIFS('lesson-database'!$B$3:$B$2000,$B51,'lesson-database'!$C$3:$C$2000,$C51,'lesson-database'!$G$3:$G$2000,5)</f>
        <v/>
      </c>
      <c r="G51" s="8">
        <f>COUNTIFS('lesson-database'!$B$3:$B$2000,$B51,'lesson-database'!$C$3:$C$2000,$C51,'lesson-database'!$J$3:$J$2000,"*OVERDUE*")</f>
        <v/>
      </c>
      <c r="H51" s="9">
        <f>IF($D51=0,0,$F51/$D51)</f>
        <v/>
      </c>
    </row>
    <row r="52">
      <c r="A52" s="8" t="inlineStr">
        <is>
          <t>S2 — Anatomie II</t>
        </is>
      </c>
      <c r="B52" s="7" t="inlineStr">
        <is>
          <t>S2</t>
        </is>
      </c>
      <c r="C52" s="8" t="inlineStr">
        <is>
          <t>Anatomie II</t>
        </is>
      </c>
      <c r="D52" s="8">
        <f>COUNTIFS('lesson-database'!$B$3:$B$2000,$B52,'lesson-database'!$C$3:$C$2000,$C52)</f>
        <v/>
      </c>
      <c r="E52" s="8">
        <f>COUNTIFS('lesson-database'!$B$3:$B$2000,$B52,'lesson-database'!$C$3:$C$2000,$C52,'lesson-database'!$F$3:$F$2000,"&lt;&gt;")</f>
        <v/>
      </c>
      <c r="F52" s="8">
        <f>COUNTIFS('lesson-database'!$B$3:$B$2000,$B52,'lesson-database'!$C$3:$C$2000,$C52,'lesson-database'!$G$3:$G$2000,5)</f>
        <v/>
      </c>
      <c r="G52" s="8">
        <f>COUNTIFS('lesson-database'!$B$3:$B$2000,$B52,'lesson-database'!$C$3:$C$2000,$C52,'lesson-database'!$J$3:$J$2000,"*OVERDUE*")</f>
        <v/>
      </c>
      <c r="H52" s="9">
        <f>IF($D52=0,0,$F52/$D52)</f>
        <v/>
      </c>
    </row>
    <row r="53">
      <c r="A53" s="8" t="inlineStr">
        <is>
          <t>S2 — Histologie-Embryologie I</t>
        </is>
      </c>
      <c r="B53" s="7" t="inlineStr">
        <is>
          <t>S2</t>
        </is>
      </c>
      <c r="C53" s="8" t="inlineStr">
        <is>
          <t>Histologie-Embryologie I</t>
        </is>
      </c>
      <c r="D53" s="8">
        <f>COUNTIFS('lesson-database'!$B$3:$B$2000,$B53,'lesson-database'!$C$3:$C$2000,$C53)</f>
        <v/>
      </c>
      <c r="E53" s="8">
        <f>COUNTIFS('lesson-database'!$B$3:$B$2000,$B53,'lesson-database'!$C$3:$C$2000,$C53,'lesson-database'!$F$3:$F$2000,"&lt;&gt;")</f>
        <v/>
      </c>
      <c r="F53" s="8">
        <f>COUNTIFS('lesson-database'!$B$3:$B$2000,$B53,'lesson-database'!$C$3:$C$2000,$C53,'lesson-database'!$G$3:$G$2000,5)</f>
        <v/>
      </c>
      <c r="G53" s="8">
        <f>COUNTIFS('lesson-database'!$B$3:$B$2000,$B53,'lesson-database'!$C$3:$C$2000,$C53,'lesson-database'!$J$3:$J$2000,"*OVERDUE*")</f>
        <v/>
      </c>
      <c r="H53" s="9">
        <f>IF($D53=0,0,$F53/$D53)</f>
        <v/>
      </c>
    </row>
    <row r="54">
      <c r="A54" s="8" t="inlineStr">
        <is>
          <t>S2 — Biophysique</t>
        </is>
      </c>
      <c r="B54" s="7" t="inlineStr">
        <is>
          <t>S2</t>
        </is>
      </c>
      <c r="C54" s="8" t="inlineStr">
        <is>
          <t>Biophysique</t>
        </is>
      </c>
      <c r="D54" s="8">
        <f>COUNTIFS('lesson-database'!$B$3:$B$2000,$B54,'lesson-database'!$C$3:$C$2000,$C54)</f>
        <v/>
      </c>
      <c r="E54" s="8">
        <f>COUNTIFS('lesson-database'!$B$3:$B$2000,$B54,'lesson-database'!$C$3:$C$2000,$C54,'lesson-database'!$F$3:$F$2000,"&lt;&gt;")</f>
        <v/>
      </c>
      <c r="F54" s="8">
        <f>COUNTIFS('lesson-database'!$B$3:$B$2000,$B54,'lesson-database'!$C$3:$C$2000,$C54,'lesson-database'!$G$3:$G$2000,5)</f>
        <v/>
      </c>
      <c r="G54" s="8">
        <f>COUNTIFS('lesson-database'!$B$3:$B$2000,$B54,'lesson-database'!$C$3:$C$2000,$C54,'lesson-database'!$J$3:$J$2000,"*OVERDUE*")</f>
        <v/>
      </c>
      <c r="H54" s="9">
        <f>IF($D54=0,0,$F54/$D54)</f>
        <v/>
      </c>
    </row>
    <row r="55">
      <c r="A55" s="8" t="inlineStr">
        <is>
          <t>S2 — Histoire et psycho-social</t>
        </is>
      </c>
      <c r="B55" s="7" t="inlineStr">
        <is>
          <t>S2</t>
        </is>
      </c>
      <c r="C55" s="8" t="inlineStr">
        <is>
          <t>Histoire et psycho-social</t>
        </is>
      </c>
      <c r="D55" s="8">
        <f>COUNTIFS('lesson-database'!$B$3:$B$2000,$B55,'lesson-database'!$C$3:$C$2000,$C55)</f>
        <v/>
      </c>
      <c r="E55" s="8">
        <f>COUNTIFS('lesson-database'!$B$3:$B$2000,$B55,'lesson-database'!$C$3:$C$2000,$C55,'lesson-database'!$F$3:$F$2000,"&lt;&gt;")</f>
        <v/>
      </c>
      <c r="F55" s="8">
        <f>COUNTIFS('lesson-database'!$B$3:$B$2000,$B55,'lesson-database'!$C$3:$C$2000,$C55,'lesson-database'!$G$3:$G$2000,5)</f>
        <v/>
      </c>
      <c r="G55" s="8">
        <f>COUNTIFS('lesson-database'!$B$3:$B$2000,$B55,'lesson-database'!$C$3:$C$2000,$C55,'lesson-database'!$J$3:$J$2000,"*OVERDUE*")</f>
        <v/>
      </c>
      <c r="H55" s="9">
        <f>IF($D55=0,0,$F55/$D55)</f>
        <v/>
      </c>
    </row>
    <row r="56">
      <c r="A56" s="8" t="inlineStr">
        <is>
          <t>S3 — Sémiologie I</t>
        </is>
      </c>
      <c r="B56" s="7" t="inlineStr">
        <is>
          <t>S3</t>
        </is>
      </c>
      <c r="C56" s="8" t="inlineStr">
        <is>
          <t>Sémiologie I</t>
        </is>
      </c>
      <c r="D56" s="8">
        <f>COUNTIFS('lesson-database'!$B$3:$B$2000,$B56,'lesson-database'!$C$3:$C$2000,$C56)</f>
        <v/>
      </c>
      <c r="E56" s="8">
        <f>COUNTIFS('lesson-database'!$B$3:$B$2000,$B56,'lesson-database'!$C$3:$C$2000,$C56,'lesson-database'!$F$3:$F$2000,"&lt;&gt;")</f>
        <v/>
      </c>
      <c r="F56" s="8">
        <f>COUNTIFS('lesson-database'!$B$3:$B$2000,$B56,'lesson-database'!$C$3:$C$2000,$C56,'lesson-database'!$G$3:$G$2000,5)</f>
        <v/>
      </c>
      <c r="G56" s="8">
        <f>COUNTIFS('lesson-database'!$B$3:$B$2000,$B56,'lesson-database'!$C$3:$C$2000,$C56,'lesson-database'!$J$3:$J$2000,"*OVERDUE*")</f>
        <v/>
      </c>
      <c r="H56" s="9">
        <f>IF($D56=0,0,$F56/$D56)</f>
        <v/>
      </c>
    </row>
    <row r="57">
      <c r="A57" s="8" t="inlineStr">
        <is>
          <t>S3 — Anatomie III</t>
        </is>
      </c>
      <c r="B57" s="7" t="inlineStr">
        <is>
          <t>S3</t>
        </is>
      </c>
      <c r="C57" s="8" t="inlineStr">
        <is>
          <t>Anatomie III</t>
        </is>
      </c>
      <c r="D57" s="8">
        <f>COUNTIFS('lesson-database'!$B$3:$B$2000,$B57,'lesson-database'!$C$3:$C$2000,$C57)</f>
        <v/>
      </c>
      <c r="E57" s="8">
        <f>COUNTIFS('lesson-database'!$B$3:$B$2000,$B57,'lesson-database'!$C$3:$C$2000,$C57,'lesson-database'!$F$3:$F$2000,"&lt;&gt;")</f>
        <v/>
      </c>
      <c r="F57" s="8">
        <f>COUNTIFS('lesson-database'!$B$3:$B$2000,$B57,'lesson-database'!$C$3:$C$2000,$C57,'lesson-database'!$G$3:$G$2000,5)</f>
        <v/>
      </c>
      <c r="G57" s="8">
        <f>COUNTIFS('lesson-database'!$B$3:$B$2000,$B57,'lesson-database'!$C$3:$C$2000,$C57,'lesson-database'!$J$3:$J$2000,"*OVERDUE*")</f>
        <v/>
      </c>
      <c r="H57" s="9">
        <f>IF($D57=0,0,$F57/$D57)</f>
        <v/>
      </c>
    </row>
    <row r="58">
      <c r="A58" s="8" t="inlineStr">
        <is>
          <t>S3 — Histologie-Embryologie II</t>
        </is>
      </c>
      <c r="B58" s="7" t="inlineStr">
        <is>
          <t>S3</t>
        </is>
      </c>
      <c r="C58" s="8" t="inlineStr">
        <is>
          <t>Histologie-Embryologie II</t>
        </is>
      </c>
      <c r="D58" s="8">
        <f>COUNTIFS('lesson-database'!$B$3:$B$2000,$B58,'lesson-database'!$C$3:$C$2000,$C58)</f>
        <v/>
      </c>
      <c r="E58" s="8">
        <f>COUNTIFS('lesson-database'!$B$3:$B$2000,$B58,'lesson-database'!$C$3:$C$2000,$C58,'lesson-database'!$F$3:$F$2000,"&lt;&gt;")</f>
        <v/>
      </c>
      <c r="F58" s="8">
        <f>COUNTIFS('lesson-database'!$B$3:$B$2000,$B58,'lesson-database'!$C$3:$C$2000,$C58,'lesson-database'!$G$3:$G$2000,5)</f>
        <v/>
      </c>
      <c r="G58" s="8">
        <f>COUNTIFS('lesson-database'!$B$3:$B$2000,$B58,'lesson-database'!$C$3:$C$2000,$C58,'lesson-database'!$J$3:$J$2000,"*OVERDUE*")</f>
        <v/>
      </c>
      <c r="H58" s="9">
        <f>IF($D58=0,0,$F58/$D58)</f>
        <v/>
      </c>
    </row>
    <row r="59">
      <c r="A59" s="8" t="inlineStr">
        <is>
          <t>S3 — Physiologie I</t>
        </is>
      </c>
      <c r="B59" s="7" t="inlineStr">
        <is>
          <t>S3</t>
        </is>
      </c>
      <c r="C59" s="8" t="inlineStr">
        <is>
          <t>Physiologie I</t>
        </is>
      </c>
      <c r="D59" s="8">
        <f>COUNTIFS('lesson-database'!$B$3:$B$2000,$B59,'lesson-database'!$C$3:$C$2000,$C59)</f>
        <v/>
      </c>
      <c r="E59" s="8">
        <f>COUNTIFS('lesson-database'!$B$3:$B$2000,$B59,'lesson-database'!$C$3:$C$2000,$C59,'lesson-database'!$F$3:$F$2000,"&lt;&gt;")</f>
        <v/>
      </c>
      <c r="F59" s="8">
        <f>COUNTIFS('lesson-database'!$B$3:$B$2000,$B59,'lesson-database'!$C$3:$C$2000,$C59,'lesson-database'!$G$3:$G$2000,5)</f>
        <v/>
      </c>
      <c r="G59" s="8">
        <f>COUNTIFS('lesson-database'!$B$3:$B$2000,$B59,'lesson-database'!$C$3:$C$2000,$C59,'lesson-database'!$J$3:$J$2000,"*OVERDUE*")</f>
        <v/>
      </c>
      <c r="H59" s="9">
        <f>IF($D59=0,0,$F59/$D59)</f>
        <v/>
      </c>
    </row>
    <row r="60">
      <c r="A60" s="8" t="inlineStr">
        <is>
          <t>S3 — Microbiologie</t>
        </is>
      </c>
      <c r="B60" s="7" t="inlineStr">
        <is>
          <t>S3</t>
        </is>
      </c>
      <c r="C60" s="8" t="inlineStr">
        <is>
          <t>Microbiologie</t>
        </is>
      </c>
      <c r="D60" s="8">
        <f>COUNTIFS('lesson-database'!$B$3:$B$2000,$B60,'lesson-database'!$C$3:$C$2000,$C60)</f>
        <v/>
      </c>
      <c r="E60" s="8">
        <f>COUNTIFS('lesson-database'!$B$3:$B$2000,$B60,'lesson-database'!$C$3:$C$2000,$C60,'lesson-database'!$F$3:$F$2000,"&lt;&gt;")</f>
        <v/>
      </c>
      <c r="F60" s="8">
        <f>COUNTIFS('lesson-database'!$B$3:$B$2000,$B60,'lesson-database'!$C$3:$C$2000,$C60,'lesson-database'!$G$3:$G$2000,5)</f>
        <v/>
      </c>
      <c r="G60" s="8">
        <f>COUNTIFS('lesson-database'!$B$3:$B$2000,$B60,'lesson-database'!$C$3:$C$2000,$C60,'lesson-database'!$J$3:$J$2000,"*OVERDUE*")</f>
        <v/>
      </c>
      <c r="H60" s="9">
        <f>IF($D60=0,0,$F60/$D60)</f>
        <v/>
      </c>
    </row>
    <row r="61">
      <c r="A61" s="8" t="inlineStr">
        <is>
          <t>S3 — Médecine expérimentale - Secourisme</t>
        </is>
      </c>
      <c r="B61" s="7" t="inlineStr">
        <is>
          <t>S3</t>
        </is>
      </c>
      <c r="C61" s="8" t="inlineStr">
        <is>
          <t>Médecine expérimentale - Secourisme</t>
        </is>
      </c>
      <c r="D61" s="8">
        <f>COUNTIFS('lesson-database'!$B$3:$B$2000,$B61,'lesson-database'!$C$3:$C$2000,$C61)</f>
        <v/>
      </c>
      <c r="E61" s="8">
        <f>COUNTIFS('lesson-database'!$B$3:$B$2000,$B61,'lesson-database'!$C$3:$C$2000,$C61,'lesson-database'!$F$3:$F$2000,"&lt;&gt;")</f>
        <v/>
      </c>
      <c r="F61" s="8">
        <f>COUNTIFS('lesson-database'!$B$3:$B$2000,$B61,'lesson-database'!$C$3:$C$2000,$C61,'lesson-database'!$G$3:$G$2000,5)</f>
        <v/>
      </c>
      <c r="G61" s="8">
        <f>COUNTIFS('lesson-database'!$B$3:$B$2000,$B61,'lesson-database'!$C$3:$C$2000,$C61,'lesson-database'!$J$3:$J$2000,"*OVERDUE*")</f>
        <v/>
      </c>
      <c r="H61" s="9">
        <f>IF($D61=0,0,$F61/$D61)</f>
        <v/>
      </c>
    </row>
    <row r="62">
      <c r="A62" s="8" t="inlineStr">
        <is>
          <t>S4 — Sémiologie II</t>
        </is>
      </c>
      <c r="B62" s="7" t="inlineStr">
        <is>
          <t>S4</t>
        </is>
      </c>
      <c r="C62" s="8" t="inlineStr">
        <is>
          <t>Sémiologie II</t>
        </is>
      </c>
      <c r="D62" s="8">
        <f>COUNTIFS('lesson-database'!$B$3:$B$2000,$B62,'lesson-database'!$C$3:$C$2000,$C62)</f>
        <v/>
      </c>
      <c r="E62" s="8">
        <f>COUNTIFS('lesson-database'!$B$3:$B$2000,$B62,'lesson-database'!$C$3:$C$2000,$C62,'lesson-database'!$F$3:$F$2000,"&lt;&gt;")</f>
        <v/>
      </c>
      <c r="F62" s="8">
        <f>COUNTIFS('lesson-database'!$B$3:$B$2000,$B62,'lesson-database'!$C$3:$C$2000,$C62,'lesson-database'!$G$3:$G$2000,5)</f>
        <v/>
      </c>
      <c r="G62" s="8">
        <f>COUNTIFS('lesson-database'!$B$3:$B$2000,$B62,'lesson-database'!$C$3:$C$2000,$C62,'lesson-database'!$J$3:$J$2000,"*OVERDUE*")</f>
        <v/>
      </c>
      <c r="H62" s="9">
        <f>IF($D62=0,0,$F62/$D62)</f>
        <v/>
      </c>
    </row>
    <row r="63">
      <c r="A63" s="8" t="inlineStr">
        <is>
          <t>S4 — Anatomie IV</t>
        </is>
      </c>
      <c r="B63" s="7" t="inlineStr">
        <is>
          <t>S4</t>
        </is>
      </c>
      <c r="C63" s="8" t="inlineStr">
        <is>
          <t>Anatomie IV</t>
        </is>
      </c>
      <c r="D63" s="8">
        <f>COUNTIFS('lesson-database'!$B$3:$B$2000,$B63,'lesson-database'!$C$3:$C$2000,$C63)</f>
        <v/>
      </c>
      <c r="E63" s="8">
        <f>COUNTIFS('lesson-database'!$B$3:$B$2000,$B63,'lesson-database'!$C$3:$C$2000,$C63,'lesson-database'!$F$3:$F$2000,"&lt;&gt;")</f>
        <v/>
      </c>
      <c r="F63" s="8">
        <f>COUNTIFS('lesson-database'!$B$3:$B$2000,$B63,'lesson-database'!$C$3:$C$2000,$C63,'lesson-database'!$G$3:$G$2000,5)</f>
        <v/>
      </c>
      <c r="G63" s="8">
        <f>COUNTIFS('lesson-database'!$B$3:$B$2000,$B63,'lesson-database'!$C$3:$C$2000,$C63,'lesson-database'!$J$3:$J$2000,"*OVERDUE*")</f>
        <v/>
      </c>
      <c r="H63" s="9">
        <f>IF($D63=0,0,$F63/$D63)</f>
        <v/>
      </c>
    </row>
    <row r="64">
      <c r="A64" s="8" t="inlineStr">
        <is>
          <t>S4 — Biochimie clinique</t>
        </is>
      </c>
      <c r="B64" s="7" t="inlineStr">
        <is>
          <t>S4</t>
        </is>
      </c>
      <c r="C64" s="8" t="inlineStr">
        <is>
          <t>Biochimie clinique</t>
        </is>
      </c>
      <c r="D64" s="8">
        <f>COUNTIFS('lesson-database'!$B$3:$B$2000,$B64,'lesson-database'!$C$3:$C$2000,$C64)</f>
        <v/>
      </c>
      <c r="E64" s="8">
        <f>COUNTIFS('lesson-database'!$B$3:$B$2000,$B64,'lesson-database'!$C$3:$C$2000,$C64,'lesson-database'!$F$3:$F$2000,"&lt;&gt;")</f>
        <v/>
      </c>
      <c r="F64" s="8">
        <f>COUNTIFS('lesson-database'!$B$3:$B$2000,$B64,'lesson-database'!$C$3:$C$2000,$C64,'lesson-database'!$G$3:$G$2000,5)</f>
        <v/>
      </c>
      <c r="G64" s="8">
        <f>COUNTIFS('lesson-database'!$B$3:$B$2000,$B64,'lesson-database'!$C$3:$C$2000,$C64,'lesson-database'!$J$3:$J$2000,"*OVERDUE*")</f>
        <v/>
      </c>
      <c r="H64" s="9">
        <f>IF($D64=0,0,$F64/$D64)</f>
        <v/>
      </c>
    </row>
    <row r="65">
      <c r="A65" s="8" t="inlineStr">
        <is>
          <t>S4 — Physiologie II</t>
        </is>
      </c>
      <c r="B65" s="7" t="inlineStr">
        <is>
          <t>S4</t>
        </is>
      </c>
      <c r="C65" s="8" t="inlineStr">
        <is>
          <t>Physiologie II</t>
        </is>
      </c>
      <c r="D65" s="8">
        <f>COUNTIFS('lesson-database'!$B$3:$B$2000,$B65,'lesson-database'!$C$3:$C$2000,$C65)</f>
        <v/>
      </c>
      <c r="E65" s="8">
        <f>COUNTIFS('lesson-database'!$B$3:$B$2000,$B65,'lesson-database'!$C$3:$C$2000,$C65,'lesson-database'!$F$3:$F$2000,"&lt;&gt;")</f>
        <v/>
      </c>
      <c r="F65" s="8">
        <f>COUNTIFS('lesson-database'!$B$3:$B$2000,$B65,'lesson-database'!$C$3:$C$2000,$C65,'lesson-database'!$G$3:$G$2000,5)</f>
        <v/>
      </c>
      <c r="G65" s="8">
        <f>COUNTIFS('lesson-database'!$B$3:$B$2000,$B65,'lesson-database'!$C$3:$C$2000,$C65,'lesson-database'!$J$3:$J$2000,"*OVERDUE*")</f>
        <v/>
      </c>
      <c r="H65" s="9">
        <f>IF($D65=0,0,$F65/$D65)</f>
        <v/>
      </c>
    </row>
    <row r="66">
      <c r="A66" s="8" t="inlineStr">
        <is>
          <t>S4 — Hématologie (sciences fondamentales)</t>
        </is>
      </c>
      <c r="B66" s="7" t="inlineStr">
        <is>
          <t>S4</t>
        </is>
      </c>
      <c r="C66" s="8" t="inlineStr">
        <is>
          <t>Hématologie (sciences fondamentales)</t>
        </is>
      </c>
      <c r="D66" s="8">
        <f>COUNTIFS('lesson-database'!$B$3:$B$2000,$B66,'lesson-database'!$C$3:$C$2000,$C66)</f>
        <v/>
      </c>
      <c r="E66" s="8">
        <f>COUNTIFS('lesson-database'!$B$3:$B$2000,$B66,'lesson-database'!$C$3:$C$2000,$C66,'lesson-database'!$F$3:$F$2000,"&lt;&gt;")</f>
        <v/>
      </c>
      <c r="F66" s="8">
        <f>COUNTIFS('lesson-database'!$B$3:$B$2000,$B66,'lesson-database'!$C$3:$C$2000,$C66,'lesson-database'!$G$3:$G$2000,5)</f>
        <v/>
      </c>
      <c r="G66" s="8">
        <f>COUNTIFS('lesson-database'!$B$3:$B$2000,$B66,'lesson-database'!$C$3:$C$2000,$C66,'lesson-database'!$J$3:$J$2000,"*OVERDUE*")</f>
        <v/>
      </c>
      <c r="H66" s="9">
        <f>IF($D66=0,0,$F66/$D66)</f>
        <v/>
      </c>
    </row>
    <row r="67">
      <c r="A67" s="8" t="inlineStr">
        <is>
          <t>S4 — Travaux pratiques</t>
        </is>
      </c>
      <c r="B67" s="7" t="inlineStr">
        <is>
          <t>S4</t>
        </is>
      </c>
      <c r="C67" s="8" t="inlineStr">
        <is>
          <t>Travaux pratiques</t>
        </is>
      </c>
      <c r="D67" s="8">
        <f>COUNTIFS('lesson-database'!$B$3:$B$2000,$B67,'lesson-database'!$C$3:$C$2000,$C67)</f>
        <v/>
      </c>
      <c r="E67" s="8">
        <f>COUNTIFS('lesson-database'!$B$3:$B$2000,$B67,'lesson-database'!$C$3:$C$2000,$C67,'lesson-database'!$F$3:$F$2000,"&lt;&gt;")</f>
        <v/>
      </c>
      <c r="F67" s="8">
        <f>COUNTIFS('lesson-database'!$B$3:$B$2000,$B67,'lesson-database'!$C$3:$C$2000,$C67,'lesson-database'!$G$3:$G$2000,5)</f>
        <v/>
      </c>
      <c r="G67" s="8">
        <f>COUNTIFS('lesson-database'!$B$3:$B$2000,$B67,'lesson-database'!$C$3:$C$2000,$C67,'lesson-database'!$J$3:$J$2000,"*OVERDUE*")</f>
        <v/>
      </c>
      <c r="H67" s="9">
        <f>IF($D67=0,0,$F67/$D67)</f>
        <v/>
      </c>
    </row>
    <row r="68">
      <c r="A68" s="8" t="inlineStr">
        <is>
          <t>S5 — Parasitologie - Mycologie - Maladies infectieuses</t>
        </is>
      </c>
      <c r="B68" s="7" t="inlineStr">
        <is>
          <t>S5</t>
        </is>
      </c>
      <c r="C68" s="8" t="inlineStr">
        <is>
          <t>Parasitologie - Mycologie - Maladies infectieuses</t>
        </is>
      </c>
      <c r="D68" s="8">
        <f>COUNTIFS('lesson-database'!$B$3:$B$2000,$B68,'lesson-database'!$C$3:$C$2000,$C68)</f>
        <v/>
      </c>
      <c r="E68" s="8">
        <f>COUNTIFS('lesson-database'!$B$3:$B$2000,$B68,'lesson-database'!$C$3:$C$2000,$C68,'lesson-database'!$F$3:$F$2000,"&lt;&gt;")</f>
        <v/>
      </c>
      <c r="F68" s="8">
        <f>COUNTIFS('lesson-database'!$B$3:$B$2000,$B68,'lesson-database'!$C$3:$C$2000,$C68,'lesson-database'!$G$3:$G$2000,5)</f>
        <v/>
      </c>
      <c r="G68" s="8">
        <f>COUNTIFS('lesson-database'!$B$3:$B$2000,$B68,'lesson-database'!$C$3:$C$2000,$C68,'lesson-database'!$J$3:$J$2000,"*OVERDUE*")</f>
        <v/>
      </c>
      <c r="H68" s="9">
        <f>IF($D68=0,0,$F68/$D68)</f>
        <v/>
      </c>
    </row>
    <row r="69">
      <c r="A69" s="8" t="inlineStr">
        <is>
          <t>S5 — Pharmacologie</t>
        </is>
      </c>
      <c r="B69" s="7" t="inlineStr">
        <is>
          <t>S5</t>
        </is>
      </c>
      <c r="C69" s="8" t="inlineStr">
        <is>
          <t>Pharmacologie</t>
        </is>
      </c>
      <c r="D69" s="8">
        <f>COUNTIFS('lesson-database'!$B$3:$B$2000,$B69,'lesson-database'!$C$3:$C$2000,$C69)</f>
        <v/>
      </c>
      <c r="E69" s="8">
        <f>COUNTIFS('lesson-database'!$B$3:$B$2000,$B69,'lesson-database'!$C$3:$C$2000,$C69,'lesson-database'!$F$3:$F$2000,"&lt;&gt;")</f>
        <v/>
      </c>
      <c r="F69" s="8">
        <f>COUNTIFS('lesson-database'!$B$3:$B$2000,$B69,'lesson-database'!$C$3:$C$2000,$C69,'lesson-database'!$G$3:$G$2000,5)</f>
        <v/>
      </c>
      <c r="G69" s="8">
        <f>COUNTIFS('lesson-database'!$B$3:$B$2000,$B69,'lesson-database'!$C$3:$C$2000,$C69,'lesson-database'!$J$3:$J$2000,"*OVERDUE*")</f>
        <v/>
      </c>
      <c r="H69" s="9">
        <f>IF($D69=0,0,$F69/$D69)</f>
        <v/>
      </c>
    </row>
    <row r="70">
      <c r="A70" s="8" t="inlineStr">
        <is>
          <t>S5 — Radiologie - Imagerie médicale</t>
        </is>
      </c>
      <c r="B70" s="7" t="inlineStr">
        <is>
          <t>S5</t>
        </is>
      </c>
      <c r="C70" s="8" t="inlineStr">
        <is>
          <t>Radiologie - Imagerie médicale</t>
        </is>
      </c>
      <c r="D70" s="8">
        <f>COUNTIFS('lesson-database'!$B$3:$B$2000,$B70,'lesson-database'!$C$3:$C$2000,$C70)</f>
        <v/>
      </c>
      <c r="E70" s="8">
        <f>COUNTIFS('lesson-database'!$B$3:$B$2000,$B70,'lesson-database'!$C$3:$C$2000,$C70,'lesson-database'!$F$3:$F$2000,"&lt;&gt;")</f>
        <v/>
      </c>
      <c r="F70" s="8">
        <f>COUNTIFS('lesson-database'!$B$3:$B$2000,$B70,'lesson-database'!$C$3:$C$2000,$C70,'lesson-database'!$G$3:$G$2000,5)</f>
        <v/>
      </c>
      <c r="G70" s="8">
        <f>COUNTIFS('lesson-database'!$B$3:$B$2000,$B70,'lesson-database'!$C$3:$C$2000,$C70,'lesson-database'!$J$3:$J$2000,"*OVERDUE*")</f>
        <v/>
      </c>
      <c r="H70" s="9">
        <f>IF($D70=0,0,$F70/$D70)</f>
        <v/>
      </c>
    </row>
    <row r="71">
      <c r="A71" s="8" t="inlineStr">
        <is>
          <t>S5 — Anatomie pathologique</t>
        </is>
      </c>
      <c r="B71" s="7" t="inlineStr">
        <is>
          <t>S5</t>
        </is>
      </c>
      <c r="C71" s="8" t="inlineStr">
        <is>
          <t>Anatomie pathologique</t>
        </is>
      </c>
      <c r="D71" s="8">
        <f>COUNTIFS('lesson-database'!$B$3:$B$2000,$B71,'lesson-database'!$C$3:$C$2000,$C71)</f>
        <v/>
      </c>
      <c r="E71" s="8">
        <f>COUNTIFS('lesson-database'!$B$3:$B$2000,$B71,'lesson-database'!$C$3:$C$2000,$C71,'lesson-database'!$F$3:$F$2000,"&lt;&gt;")</f>
        <v/>
      </c>
      <c r="F71" s="8">
        <f>COUNTIFS('lesson-database'!$B$3:$B$2000,$B71,'lesson-database'!$C$3:$C$2000,$C71,'lesson-database'!$G$3:$G$2000,5)</f>
        <v/>
      </c>
      <c r="G71" s="8">
        <f>COUNTIFS('lesson-database'!$B$3:$B$2000,$B71,'lesson-database'!$C$3:$C$2000,$C71,'lesson-database'!$J$3:$J$2000,"*OVERDUE*")</f>
        <v/>
      </c>
      <c r="H71" s="9">
        <f>IF($D71=0,0,$F71/$D71)</f>
        <v/>
      </c>
    </row>
    <row r="72">
      <c r="A72" s="8" t="inlineStr">
        <is>
          <t>S6 — Pathologie respiratoire</t>
        </is>
      </c>
      <c r="B72" s="7" t="inlineStr">
        <is>
          <t>S6</t>
        </is>
      </c>
      <c r="C72" s="8" t="inlineStr">
        <is>
          <t>Pathologie respiratoire</t>
        </is>
      </c>
      <c r="D72" s="8">
        <f>COUNTIFS('lesson-database'!$B$3:$B$2000,$B72,'lesson-database'!$C$3:$C$2000,$C72)</f>
        <v/>
      </c>
      <c r="E72" s="8">
        <f>COUNTIFS('lesson-database'!$B$3:$B$2000,$B72,'lesson-database'!$C$3:$C$2000,$C72,'lesson-database'!$F$3:$F$2000,"&lt;&gt;")</f>
        <v/>
      </c>
      <c r="F72" s="8">
        <f>COUNTIFS('lesson-database'!$B$3:$B$2000,$B72,'lesson-database'!$C$3:$C$2000,$C72,'lesson-database'!$G$3:$G$2000,5)</f>
        <v/>
      </c>
      <c r="G72" s="8">
        <f>COUNTIFS('lesson-database'!$B$3:$B$2000,$B72,'lesson-database'!$C$3:$C$2000,$C72,'lesson-database'!$J$3:$J$2000,"*OVERDUE*")</f>
        <v/>
      </c>
      <c r="H72" s="9">
        <f>IF($D72=0,0,$F72/$D72)</f>
        <v/>
      </c>
    </row>
    <row r="73">
      <c r="A73" s="8" t="inlineStr">
        <is>
          <t>S6 — Pathologie cardiovasculaire</t>
        </is>
      </c>
      <c r="B73" s="7" t="inlineStr">
        <is>
          <t>S6</t>
        </is>
      </c>
      <c r="C73" s="8" t="inlineStr">
        <is>
          <t>Pathologie cardiovasculaire</t>
        </is>
      </c>
      <c r="D73" s="8">
        <f>COUNTIFS('lesson-database'!$B$3:$B$2000,$B73,'lesson-database'!$C$3:$C$2000,$C73)</f>
        <v/>
      </c>
      <c r="E73" s="8">
        <f>COUNTIFS('lesson-database'!$B$3:$B$2000,$B73,'lesson-database'!$C$3:$C$2000,$C73,'lesson-database'!$F$3:$F$2000,"&lt;&gt;")</f>
        <v/>
      </c>
      <c r="F73" s="8">
        <f>COUNTIFS('lesson-database'!$B$3:$B$2000,$B73,'lesson-database'!$C$3:$C$2000,$C73,'lesson-database'!$G$3:$G$2000,5)</f>
        <v/>
      </c>
      <c r="G73" s="8">
        <f>COUNTIFS('lesson-database'!$B$3:$B$2000,$B73,'lesson-database'!$C$3:$C$2000,$C73,'lesson-database'!$J$3:$J$2000,"*OVERDUE*")</f>
        <v/>
      </c>
      <c r="H73" s="9">
        <f>IF($D73=0,0,$F73/$D73)</f>
        <v/>
      </c>
    </row>
    <row r="74">
      <c r="A74" s="8" t="inlineStr">
        <is>
          <t>S6 — Pathologie digestive</t>
        </is>
      </c>
      <c r="B74" s="7" t="inlineStr">
        <is>
          <t>S6</t>
        </is>
      </c>
      <c r="C74" s="8" t="inlineStr">
        <is>
          <t>Pathologie digestive</t>
        </is>
      </c>
      <c r="D74" s="8">
        <f>COUNTIFS('lesson-database'!$B$3:$B$2000,$B74,'lesson-database'!$C$3:$C$2000,$C74)</f>
        <v/>
      </c>
      <c r="E74" s="8">
        <f>COUNTIFS('lesson-database'!$B$3:$B$2000,$B74,'lesson-database'!$C$3:$C$2000,$C74,'lesson-database'!$F$3:$F$2000,"&lt;&gt;")</f>
        <v/>
      </c>
      <c r="F74" s="8">
        <f>COUNTIFS('lesson-database'!$B$3:$B$2000,$B74,'lesson-database'!$C$3:$C$2000,$C74,'lesson-database'!$G$3:$G$2000,5)</f>
        <v/>
      </c>
      <c r="G74" s="8">
        <f>COUNTIFS('lesson-database'!$B$3:$B$2000,$B74,'lesson-database'!$C$3:$C$2000,$C74,'lesson-database'!$J$3:$J$2000,"*OVERDUE*")</f>
        <v/>
      </c>
      <c r="H74" s="9">
        <f>IF($D74=0,0,$F74/$D74)</f>
        <v/>
      </c>
    </row>
    <row r="75">
      <c r="A75" s="8" t="inlineStr">
        <is>
          <t>S7 — Maladies de l'enfant</t>
        </is>
      </c>
      <c r="B75" s="7" t="inlineStr">
        <is>
          <t>S7</t>
        </is>
      </c>
      <c r="C75" s="8" t="inlineStr">
        <is>
          <t>Maladies de l'enfant</t>
        </is>
      </c>
      <c r="D75" s="8">
        <f>COUNTIFS('lesson-database'!$B$3:$B$2000,$B75,'lesson-database'!$C$3:$C$2000,$C75)</f>
        <v/>
      </c>
      <c r="E75" s="8">
        <f>COUNTIFS('lesson-database'!$B$3:$B$2000,$B75,'lesson-database'!$C$3:$C$2000,$C75,'lesson-database'!$F$3:$F$2000,"&lt;&gt;")</f>
        <v/>
      </c>
      <c r="F75" s="8">
        <f>COUNTIFS('lesson-database'!$B$3:$B$2000,$B75,'lesson-database'!$C$3:$C$2000,$C75,'lesson-database'!$G$3:$G$2000,5)</f>
        <v/>
      </c>
      <c r="G75" s="8">
        <f>COUNTIFS('lesson-database'!$B$3:$B$2000,$B75,'lesson-database'!$C$3:$C$2000,$C75,'lesson-database'!$J$3:$J$2000,"*OVERDUE*")</f>
        <v/>
      </c>
      <c r="H75" s="9">
        <f>IF($D75=0,0,$F75/$D75)</f>
        <v/>
      </c>
    </row>
    <row r="76">
      <c r="A76" s="8" t="inlineStr">
        <is>
          <t>S7 — Dermatologie - Endocrinologie</t>
        </is>
      </c>
      <c r="B76" s="7" t="inlineStr">
        <is>
          <t>S7</t>
        </is>
      </c>
      <c r="C76" s="8" t="inlineStr">
        <is>
          <t>Dermatologie - Endocrinologie</t>
        </is>
      </c>
      <c r="D76" s="8">
        <f>COUNTIFS('lesson-database'!$B$3:$B$2000,$B76,'lesson-database'!$C$3:$C$2000,$C76)</f>
        <v/>
      </c>
      <c r="E76" s="8">
        <f>COUNTIFS('lesson-database'!$B$3:$B$2000,$B76,'lesson-database'!$C$3:$C$2000,$C76,'lesson-database'!$F$3:$F$2000,"&lt;&gt;")</f>
        <v/>
      </c>
      <c r="F76" s="8">
        <f>COUNTIFS('lesson-database'!$B$3:$B$2000,$B76,'lesson-database'!$C$3:$C$2000,$C76,'lesson-database'!$G$3:$G$2000,5)</f>
        <v/>
      </c>
      <c r="G76" s="8">
        <f>COUNTIFS('lesson-database'!$B$3:$B$2000,$B76,'lesson-database'!$C$3:$C$2000,$C76,'lesson-database'!$J$3:$J$2000,"*OVERDUE*")</f>
        <v/>
      </c>
      <c r="H76" s="9">
        <f>IF($D76=0,0,$F76/$D76)</f>
        <v/>
      </c>
    </row>
    <row r="77">
      <c r="A77" s="8" t="inlineStr">
        <is>
          <t>S7 — Neurologie - Neurochirurgie</t>
        </is>
      </c>
      <c r="B77" s="7" t="inlineStr">
        <is>
          <t>S7</t>
        </is>
      </c>
      <c r="C77" s="8" t="inlineStr">
        <is>
          <t>Neurologie - Neurochirurgie</t>
        </is>
      </c>
      <c r="D77" s="8">
        <f>COUNTIFS('lesson-database'!$B$3:$B$2000,$B77,'lesson-database'!$C$3:$C$2000,$C77)</f>
        <v/>
      </c>
      <c r="E77" s="8">
        <f>COUNTIFS('lesson-database'!$B$3:$B$2000,$B77,'lesson-database'!$C$3:$C$2000,$C77,'lesson-database'!$F$3:$F$2000,"&lt;&gt;")</f>
        <v/>
      </c>
      <c r="F77" s="8">
        <f>COUNTIFS('lesson-database'!$B$3:$B$2000,$B77,'lesson-database'!$C$3:$C$2000,$C77,'lesson-database'!$G$3:$G$2000,5)</f>
        <v/>
      </c>
      <c r="G77" s="8">
        <f>COUNTIFS('lesson-database'!$B$3:$B$2000,$B77,'lesson-database'!$C$3:$C$2000,$C77,'lesson-database'!$J$3:$J$2000,"*OVERDUE*")</f>
        <v/>
      </c>
      <c r="H77" s="9">
        <f>IF($D77=0,0,$F77/$D77)</f>
        <v/>
      </c>
    </row>
    <row r="78">
      <c r="A78" s="8" t="inlineStr">
        <is>
          <t>S7 — Hématologie - Oncologie</t>
        </is>
      </c>
      <c r="B78" s="7" t="inlineStr">
        <is>
          <t>S7</t>
        </is>
      </c>
      <c r="C78" s="8" t="inlineStr">
        <is>
          <t>Hématologie - Oncologie</t>
        </is>
      </c>
      <c r="D78" s="8">
        <f>COUNTIFS('lesson-database'!$B$3:$B$2000,$B78,'lesson-database'!$C$3:$C$2000,$C78)</f>
        <v/>
      </c>
      <c r="E78" s="8">
        <f>COUNTIFS('lesson-database'!$B$3:$B$2000,$B78,'lesson-database'!$C$3:$C$2000,$C78,'lesson-database'!$F$3:$F$2000,"&lt;&gt;")</f>
        <v/>
      </c>
      <c r="F78" s="8">
        <f>COUNTIFS('lesson-database'!$B$3:$B$2000,$B78,'lesson-database'!$C$3:$C$2000,$C78,'lesson-database'!$G$3:$G$2000,5)</f>
        <v/>
      </c>
      <c r="G78" s="8">
        <f>COUNTIFS('lesson-database'!$B$3:$B$2000,$B78,'lesson-database'!$C$3:$C$2000,$C78,'lesson-database'!$J$3:$J$2000,"*OVERDUE*")</f>
        <v/>
      </c>
      <c r="H78" s="9">
        <f>IF($D78=0,0,$F78/$D78)</f>
        <v/>
      </c>
    </row>
    <row r="79">
      <c r="A79" s="8" t="inlineStr">
        <is>
          <t>S8 — Maladies de l'appareil locomoteur</t>
        </is>
      </c>
      <c r="B79" s="7" t="inlineStr">
        <is>
          <t>S8</t>
        </is>
      </c>
      <c r="C79" s="8" t="inlineStr">
        <is>
          <t>Maladies de l'appareil locomoteur</t>
        </is>
      </c>
      <c r="D79" s="8">
        <f>COUNTIFS('lesson-database'!$B$3:$B$2000,$B79,'lesson-database'!$C$3:$C$2000,$C79)</f>
        <v/>
      </c>
      <c r="E79" s="8">
        <f>COUNTIFS('lesson-database'!$B$3:$B$2000,$B79,'lesson-database'!$C$3:$C$2000,$C79,'lesson-database'!$F$3:$F$2000,"&lt;&gt;")</f>
        <v/>
      </c>
      <c r="F79" s="8">
        <f>COUNTIFS('lesson-database'!$B$3:$B$2000,$B79,'lesson-database'!$C$3:$C$2000,$C79,'lesson-database'!$G$3:$G$2000,5)</f>
        <v/>
      </c>
      <c r="G79" s="8">
        <f>COUNTIFS('lesson-database'!$B$3:$B$2000,$B79,'lesson-database'!$C$3:$C$2000,$C79,'lesson-database'!$J$3:$J$2000,"*OVERDUE*")</f>
        <v/>
      </c>
      <c r="H79" s="9">
        <f>IF($D79=0,0,$F79/$D79)</f>
        <v/>
      </c>
    </row>
    <row r="80">
      <c r="A80" s="8" t="inlineStr">
        <is>
          <t>S8 — Immunopathologie - Génétique médicale - Maladies de système</t>
        </is>
      </c>
      <c r="B80" s="7" t="inlineStr">
        <is>
          <t>S8</t>
        </is>
      </c>
      <c r="C80" s="8" t="inlineStr">
        <is>
          <t>Immunopathologie - Génétique médicale - Maladies de système</t>
        </is>
      </c>
      <c r="D80" s="8">
        <f>COUNTIFS('lesson-database'!$B$3:$B$2000,$B80,'lesson-database'!$C$3:$C$2000,$C80)</f>
        <v/>
      </c>
      <c r="E80" s="8">
        <f>COUNTIFS('lesson-database'!$B$3:$B$2000,$B80,'lesson-database'!$C$3:$C$2000,$C80,'lesson-database'!$F$3:$F$2000,"&lt;&gt;")</f>
        <v/>
      </c>
      <c r="F80" s="8">
        <f>COUNTIFS('lesson-database'!$B$3:$B$2000,$B80,'lesson-database'!$C$3:$C$2000,$C80,'lesson-database'!$G$3:$G$2000,5)</f>
        <v/>
      </c>
      <c r="G80" s="8">
        <f>COUNTIFS('lesson-database'!$B$3:$B$2000,$B80,'lesson-database'!$C$3:$C$2000,$C80,'lesson-database'!$J$3:$J$2000,"*OVERDUE*")</f>
        <v/>
      </c>
      <c r="H80" s="9">
        <f>IF($D80=0,0,$F80/$D80)</f>
        <v/>
      </c>
    </row>
    <row r="81">
      <c r="A81" s="8" t="inlineStr">
        <is>
          <t>S8 — Anatomie pathologique II</t>
        </is>
      </c>
      <c r="B81" s="7" t="inlineStr">
        <is>
          <t>S8</t>
        </is>
      </c>
      <c r="C81" s="8" t="inlineStr">
        <is>
          <t>Anatomie pathologique II</t>
        </is>
      </c>
      <c r="D81" s="8">
        <f>COUNTIFS('lesson-database'!$B$3:$B$2000,$B81,'lesson-database'!$C$3:$C$2000,$C81)</f>
        <v/>
      </c>
      <c r="E81" s="8">
        <f>COUNTIFS('lesson-database'!$B$3:$B$2000,$B81,'lesson-database'!$C$3:$C$2000,$C81,'lesson-database'!$F$3:$F$2000,"&lt;&gt;")</f>
        <v/>
      </c>
      <c r="F81" s="8">
        <f>COUNTIFS('lesson-database'!$B$3:$B$2000,$B81,'lesson-database'!$C$3:$C$2000,$C81,'lesson-database'!$G$3:$G$2000,5)</f>
        <v/>
      </c>
      <c r="G81" s="8">
        <f>COUNTIFS('lesson-database'!$B$3:$B$2000,$B81,'lesson-database'!$C$3:$C$2000,$C81,'lesson-database'!$J$3:$J$2000,"*OVERDUE*")</f>
        <v/>
      </c>
      <c r="H81" s="9">
        <f>IF($D81=0,0,$F81/$D81)</f>
        <v/>
      </c>
    </row>
    <row r="82">
      <c r="A82" s="8" t="inlineStr">
        <is>
          <t>S9 — Gynécologie - Obstétrique</t>
        </is>
      </c>
      <c r="B82" s="7" t="inlineStr">
        <is>
          <t>S9</t>
        </is>
      </c>
      <c r="C82" s="8" t="inlineStr">
        <is>
          <t>Gynécologie - Obstétrique</t>
        </is>
      </c>
      <c r="D82" s="8">
        <f>COUNTIFS('lesson-database'!$B$3:$B$2000,$B82,'lesson-database'!$C$3:$C$2000,$C82)</f>
        <v/>
      </c>
      <c r="E82" s="8">
        <f>COUNTIFS('lesson-database'!$B$3:$B$2000,$B82,'lesson-database'!$C$3:$C$2000,$C82,'lesson-database'!$F$3:$F$2000,"&lt;&gt;")</f>
        <v/>
      </c>
      <c r="F82" s="8">
        <f>COUNTIFS('lesson-database'!$B$3:$B$2000,$B82,'lesson-database'!$C$3:$C$2000,$C82,'lesson-database'!$G$3:$G$2000,5)</f>
        <v/>
      </c>
      <c r="G82" s="8">
        <f>COUNTIFS('lesson-database'!$B$3:$B$2000,$B82,'lesson-database'!$C$3:$C$2000,$C82,'lesson-database'!$J$3:$J$2000,"*OVERDUE*")</f>
        <v/>
      </c>
      <c r="H82" s="9">
        <f>IF($D82=0,0,$F82/$D82)</f>
        <v/>
      </c>
    </row>
    <row r="83">
      <c r="A83" s="8" t="inlineStr">
        <is>
          <t>S9 — Santé mentale</t>
        </is>
      </c>
      <c r="B83" s="7" t="inlineStr">
        <is>
          <t>S9</t>
        </is>
      </c>
      <c r="C83" s="8" t="inlineStr">
        <is>
          <t>Santé mentale</t>
        </is>
      </c>
      <c r="D83" s="8">
        <f>COUNTIFS('lesson-database'!$B$3:$B$2000,$B83,'lesson-database'!$C$3:$C$2000,$C83)</f>
        <v/>
      </c>
      <c r="E83" s="8">
        <f>COUNTIFS('lesson-database'!$B$3:$B$2000,$B83,'lesson-database'!$C$3:$C$2000,$C83,'lesson-database'!$F$3:$F$2000,"&lt;&gt;")</f>
        <v/>
      </c>
      <c r="F83" s="8">
        <f>COUNTIFS('lesson-database'!$B$3:$B$2000,$B83,'lesson-database'!$C$3:$C$2000,$C83,'lesson-database'!$G$3:$G$2000,5)</f>
        <v/>
      </c>
      <c r="G83" s="8">
        <f>COUNTIFS('lesson-database'!$B$3:$B$2000,$B83,'lesson-database'!$C$3:$C$2000,$C83,'lesson-database'!$J$3:$J$2000,"*OVERDUE*")</f>
        <v/>
      </c>
      <c r="H83" s="9">
        <f>IF($D83=0,0,$F83/$D83)</f>
        <v/>
      </c>
    </row>
    <row r="84">
      <c r="A84" s="8" t="inlineStr">
        <is>
          <t>S9 — ORL - Maxillo-facial - Ophtalmologie</t>
        </is>
      </c>
      <c r="B84" s="7" t="inlineStr">
        <is>
          <t>S9</t>
        </is>
      </c>
      <c r="C84" s="8" t="inlineStr">
        <is>
          <t>ORL - Maxillo-facial - Ophtalmologie</t>
        </is>
      </c>
      <c r="D84" s="8">
        <f>COUNTIFS('lesson-database'!$B$3:$B$2000,$B84,'lesson-database'!$C$3:$C$2000,$C84)</f>
        <v/>
      </c>
      <c r="E84" s="8">
        <f>COUNTIFS('lesson-database'!$B$3:$B$2000,$B84,'lesson-database'!$C$3:$C$2000,$C84,'lesson-database'!$F$3:$F$2000,"&lt;&gt;")</f>
        <v/>
      </c>
      <c r="F84" s="8">
        <f>COUNTIFS('lesson-database'!$B$3:$B$2000,$B84,'lesson-database'!$C$3:$C$2000,$C84,'lesson-database'!$G$3:$G$2000,5)</f>
        <v/>
      </c>
      <c r="G84" s="8">
        <f>COUNTIFS('lesson-database'!$B$3:$B$2000,$B84,'lesson-database'!$C$3:$C$2000,$C84,'lesson-database'!$J$3:$J$2000,"*OVERDUE*")</f>
        <v/>
      </c>
      <c r="H84" s="9">
        <f>IF($D84=0,0,$F84/$D84)</f>
        <v/>
      </c>
    </row>
    <row r="85">
      <c r="A85" s="8" t="inlineStr">
        <is>
          <t>S9 — Urgences - Réanimation - Soins palliatifs - Chirurgie plastique</t>
        </is>
      </c>
      <c r="B85" s="7" t="inlineStr">
        <is>
          <t>S9</t>
        </is>
      </c>
      <c r="C85" s="8" t="inlineStr">
        <is>
          <t>Urgences - Réanimation - Soins palliatifs - Chirurgie plastique</t>
        </is>
      </c>
      <c r="D85" s="8">
        <f>COUNTIFS('lesson-database'!$B$3:$B$2000,$B85,'lesson-database'!$C$3:$C$2000,$C85)</f>
        <v/>
      </c>
      <c r="E85" s="8">
        <f>COUNTIFS('lesson-database'!$B$3:$B$2000,$B85,'lesson-database'!$C$3:$C$2000,$C85,'lesson-database'!$F$3:$F$2000,"&lt;&gt;")</f>
        <v/>
      </c>
      <c r="F85" s="8">
        <f>COUNTIFS('lesson-database'!$B$3:$B$2000,$B85,'lesson-database'!$C$3:$C$2000,$C85,'lesson-database'!$G$3:$G$2000,5)</f>
        <v/>
      </c>
      <c r="G85" s="8">
        <f>COUNTIFS('lesson-database'!$B$3:$B$2000,$B85,'lesson-database'!$C$3:$C$2000,$C85,'lesson-database'!$J$3:$J$2000,"*OVERDUE*")</f>
        <v/>
      </c>
      <c r="H85" s="9">
        <f>IF($D85=0,0,$F85/$D85)</f>
        <v/>
      </c>
    </row>
    <row r="86">
      <c r="A86" s="8" t="inlineStr">
        <is>
          <t>S10 — Néphrologie - Urologie</t>
        </is>
      </c>
      <c r="B86" s="7" t="inlineStr">
        <is>
          <t>S10</t>
        </is>
      </c>
      <c r="C86" s="8" t="inlineStr">
        <is>
          <t>Néphrologie - Urologie</t>
        </is>
      </c>
      <c r="D86" s="8">
        <f>COUNTIFS('lesson-database'!$B$3:$B$2000,$B86,'lesson-database'!$C$3:$C$2000,$C86)</f>
        <v/>
      </c>
      <c r="E86" s="8">
        <f>COUNTIFS('lesson-database'!$B$3:$B$2000,$B86,'lesson-database'!$C$3:$C$2000,$C86,'lesson-database'!$F$3:$F$2000,"&lt;&gt;")</f>
        <v/>
      </c>
      <c r="F86" s="8">
        <f>COUNTIFS('lesson-database'!$B$3:$B$2000,$B86,'lesson-database'!$C$3:$C$2000,$C86,'lesson-database'!$G$3:$G$2000,5)</f>
        <v/>
      </c>
      <c r="G86" s="8">
        <f>COUNTIFS('lesson-database'!$B$3:$B$2000,$B86,'lesson-database'!$C$3:$C$2000,$C86,'lesson-database'!$J$3:$J$2000,"*OVERDUE*")</f>
        <v/>
      </c>
      <c r="H86" s="9">
        <f>IF($D86=0,0,$F86/$D86)</f>
        <v/>
      </c>
    </row>
    <row r="87">
      <c r="A87" s="8" t="inlineStr">
        <is>
          <t>S10 — Santé publique</t>
        </is>
      </c>
      <c r="B87" s="7" t="inlineStr">
        <is>
          <t>S10</t>
        </is>
      </c>
      <c r="C87" s="8" t="inlineStr">
        <is>
          <t>Santé publique</t>
        </is>
      </c>
      <c r="D87" s="8">
        <f>COUNTIFS('lesson-database'!$B$3:$B$2000,$B87,'lesson-database'!$C$3:$C$2000,$C87)</f>
        <v/>
      </c>
      <c r="E87" s="8">
        <f>COUNTIFS('lesson-database'!$B$3:$B$2000,$B87,'lesson-database'!$C$3:$C$2000,$C87,'lesson-database'!$F$3:$F$2000,"&lt;&gt;")</f>
        <v/>
      </c>
      <c r="F87" s="8">
        <f>COUNTIFS('lesson-database'!$B$3:$B$2000,$B87,'lesson-database'!$C$3:$C$2000,$C87,'lesson-database'!$G$3:$G$2000,5)</f>
        <v/>
      </c>
      <c r="G87" s="8">
        <f>COUNTIFS('lesson-database'!$B$3:$B$2000,$B87,'lesson-database'!$C$3:$C$2000,$C87,'lesson-database'!$J$3:$J$2000,"*OVERDUE*")</f>
        <v/>
      </c>
      <c r="H87" s="9">
        <f>IF($D87=0,0,$F87/$D87)</f>
        <v/>
      </c>
    </row>
    <row r="88">
      <c r="A88" s="8" t="inlineStr">
        <is>
          <t>S10 — Médecine légale - Éthique - Médecine du travail</t>
        </is>
      </c>
      <c r="B88" s="7" t="inlineStr">
        <is>
          <t>S10</t>
        </is>
      </c>
      <c r="C88" s="8" t="inlineStr">
        <is>
          <t>Médecine légale - Éthique - Médecine du travail</t>
        </is>
      </c>
      <c r="D88" s="8">
        <f>COUNTIFS('lesson-database'!$B$3:$B$2000,$B88,'lesson-database'!$C$3:$C$2000,$C88)</f>
        <v/>
      </c>
      <c r="E88" s="8">
        <f>COUNTIFS('lesson-database'!$B$3:$B$2000,$B88,'lesson-database'!$C$3:$C$2000,$C88,'lesson-database'!$F$3:$F$2000,"&lt;&gt;")</f>
        <v/>
      </c>
      <c r="F88" s="8">
        <f>COUNTIFS('lesson-database'!$B$3:$B$2000,$B88,'lesson-database'!$C$3:$C$2000,$C88,'lesson-database'!$G$3:$G$2000,5)</f>
        <v/>
      </c>
      <c r="G88" s="8">
        <f>COUNTIFS('lesson-database'!$B$3:$B$2000,$B88,'lesson-database'!$C$3:$C$2000,$C88,'lesson-database'!$J$3:$J$2000,"*OVERDUE*")</f>
        <v/>
      </c>
      <c r="H88" s="9">
        <f>IF($D88=0,0,$F88/$D88)</f>
        <v/>
      </c>
    </row>
    <row r="89">
      <c r="A89" s="8" t="inlineStr">
        <is>
          <t>S10 — Synthèse thérapeutique</t>
        </is>
      </c>
      <c r="B89" s="7" t="inlineStr">
        <is>
          <t>S10</t>
        </is>
      </c>
      <c r="C89" s="8" t="inlineStr">
        <is>
          <t>Synthèse thérapeutique</t>
        </is>
      </c>
      <c r="D89" s="8">
        <f>COUNTIFS('lesson-database'!$B$3:$B$2000,$B89,'lesson-database'!$C$3:$C$2000,$C89)</f>
        <v/>
      </c>
      <c r="E89" s="8">
        <f>COUNTIFS('lesson-database'!$B$3:$B$2000,$B89,'lesson-database'!$C$3:$C$2000,$C89,'lesson-database'!$F$3:$F$2000,"&lt;&gt;")</f>
        <v/>
      </c>
      <c r="F89" s="8">
        <f>COUNTIFS('lesson-database'!$B$3:$B$2000,$B89,'lesson-database'!$C$3:$C$2000,$C89,'lesson-database'!$G$3:$G$2000,5)</f>
        <v/>
      </c>
      <c r="G89" s="8">
        <f>COUNTIFS('lesson-database'!$B$3:$B$2000,$B89,'lesson-database'!$C$3:$C$2000,$C89,'lesson-database'!$J$3:$J$2000,"*OVERDUE*")</f>
        <v/>
      </c>
      <c r="H89" s="9">
        <f>IF($D89=0,0,$F89/$D89)</f>
        <v/>
      </c>
    </row>
  </sheetData>
  <mergeCells count="1">
    <mergeCell ref="A1:R1"/>
  </mergeCells>
  <conditionalFormatting sqref="F14:F23">
    <cfRule type="dataBar" priority="1">
      <dataBar>
        <cfvo type="num" val="0"/>
        <cfvo type="num" val="1"/>
        <color rgb="0063BE7B"/>
      </dataBar>
    </cfRule>
  </conditionalFormatting>
  <conditionalFormatting sqref="H46:H89">
    <cfRule type="dataBar" priority="2">
      <dataBar>
        <cfvo type="num" val="0"/>
        <cfvo type="num" val="1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131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28" customWidth="1" min="4" max="4"/>
    <col width="52" customWidth="1" min="5" max="5"/>
    <col width="13" customWidth="1" min="6" max="6"/>
    <col width="9" customWidth="1" min="7" max="7"/>
    <col width="9" customWidth="1" min="8" max="8"/>
    <col width="13" customWidth="1" min="9" max="9"/>
    <col width="14" customWidth="1" min="10" max="10"/>
    <col width="9" customWidth="1" min="11" max="11"/>
    <col width="9" customWidth="1" min="12" max="12"/>
    <col hidden="1" width="22" customWidth="1" min="13" max="13"/>
  </cols>
  <sheetData>
    <row r="1" ht="26" customHeight="1">
      <c r="A1" s="10" t="inlineStr">
        <is>
          <t>🧠 MEDICAL SRS — type only F &amp; G · ▼ filters on row 2</t>
        </is>
      </c>
      <c r="E1" s="11">
        <f>TODAY()</f>
        <v/>
      </c>
      <c r="F1" s="12">
        <f>MAX(0,$K$1-TODAY())</f>
        <v/>
      </c>
      <c r="I1" s="13" t="inlineStr">
        <is>
          <t>🎯 Exam date:</t>
        </is>
      </c>
      <c r="K1" s="14" t="n">
        <v>46154</v>
      </c>
      <c r="M1" s="10" t="n"/>
    </row>
    <row r="2">
      <c r="A2" s="6" t="inlineStr">
        <is>
          <t>#</t>
        </is>
      </c>
      <c r="B2" s="6" t="inlineStr">
        <is>
          <t>Semester</t>
        </is>
      </c>
      <c r="C2" s="6" t="inlineStr">
        <is>
          <t>Module</t>
        </is>
      </c>
      <c r="D2" s="6" t="inlineStr">
        <is>
          <t>Subject</t>
        </is>
      </c>
      <c r="E2" s="6" t="inlineStr">
        <is>
          <t>Lesson</t>
        </is>
      </c>
      <c r="F2" s="15" t="inlineStr">
        <is>
          <t>Last Review</t>
        </is>
      </c>
      <c r="G2" s="15" t="inlineStr">
        <is>
          <t>Mastery</t>
        </is>
      </c>
      <c r="H2" s="6" t="inlineStr">
        <is>
          <t>Interval</t>
        </is>
      </c>
      <c r="I2" s="6" t="inlineStr">
        <is>
          <t>Next Review</t>
        </is>
      </c>
      <c r="J2" s="6" t="inlineStr">
        <is>
          <t>Status</t>
        </is>
      </c>
      <c r="K2" s="6" t="inlineStr">
        <is>
          <t>Priority</t>
        </is>
      </c>
      <c r="L2" s="6" t="inlineStr">
        <is>
          <t>Synced</t>
        </is>
      </c>
      <c r="M2" s="6" t="inlineStr">
        <is>
          <t>Event ID</t>
        </is>
      </c>
    </row>
    <row r="3">
      <c r="A3" s="16">
        <f>ROW()-2</f>
        <v/>
      </c>
      <c r="B3" s="17" t="inlineStr">
        <is>
          <t>S1</t>
        </is>
      </c>
      <c r="C3" s="17" t="inlineStr">
        <is>
          <t>Anatomie I</t>
        </is>
      </c>
      <c r="D3" s="17" t="inlineStr"/>
      <c r="E3" s="17" t="inlineStr">
        <is>
          <t>Généralités en anatomie</t>
        </is>
      </c>
      <c r="F3" s="18" t="n"/>
      <c r="G3" s="19" t="n"/>
      <c r="H3" s="20">
        <f>IF($G3="",1,IF($G3=0,1,IF($G3=1,3,IF($G3=2,7,IF($G3=3,14,IF($G3=4,30,60))))))</f>
        <v/>
      </c>
      <c r="I3" s="21">
        <f>IF($F3="","",$F3+$H3)</f>
        <v/>
      </c>
      <c r="J3">
        <f>IF($F3="","⚪ NEW",IF($G3&gt;=5,"✅ DONE",IF($I3&lt;TODAY(),"🔴 OVERDUE",IF($I3=TODAY(),"🟢 TODAY",IF($I3=TODAY()+1,"🔵 TOMORROW",IF($I3&lt;=TODAY()+7,"📅 THIS WEEK","⏳ SCHEDULED"))))))</f>
        <v/>
      </c>
      <c r="K3" s="20">
        <f>IF($F3="",999,IF($G3&gt;=5,9999,IF($I3="",999,$I3-TODAY())))</f>
        <v/>
      </c>
    </row>
    <row r="4">
      <c r="A4" s="16">
        <f>ROW()-2</f>
        <v/>
      </c>
      <c r="B4" s="17" t="inlineStr">
        <is>
          <t>S1</t>
        </is>
      </c>
      <c r="C4" s="17" t="inlineStr">
        <is>
          <t>Anatomie I</t>
        </is>
      </c>
      <c r="D4" s="17" t="inlineStr"/>
      <c r="E4" s="17" t="inlineStr">
        <is>
          <t>Ostéo-arthrologie du membre supérieur</t>
        </is>
      </c>
      <c r="F4" s="18" t="n"/>
      <c r="G4" s="19" t="n"/>
      <c r="H4" s="20">
        <f>IF($G4="",1,IF($G4=0,1,IF($G4=1,3,IF($G4=2,7,IF($G4=3,14,IF($G4=4,30,60))))))</f>
        <v/>
      </c>
      <c r="I4" s="21">
        <f>IF($F4="","",$F4+$H4)</f>
        <v/>
      </c>
      <c r="J4">
        <f>IF($F4="","⚪ NEW",IF($G4&gt;=5,"✅ DONE",IF($I4&lt;TODAY(),"🔴 OVERDUE",IF($I4=TODAY(),"🟢 TODAY",IF($I4=TODAY()+1,"🔵 TOMORROW",IF($I4&lt;=TODAY()+7,"📅 THIS WEEK","⏳ SCHEDULED"))))))</f>
        <v/>
      </c>
      <c r="K4" s="20">
        <f>IF($F4="",999,IF($G4&gt;=5,9999,IF($I4="",999,$I4-TODAY())))</f>
        <v/>
      </c>
    </row>
    <row r="5">
      <c r="A5" s="16">
        <f>ROW()-2</f>
        <v/>
      </c>
      <c r="B5" s="17" t="inlineStr">
        <is>
          <t>S1</t>
        </is>
      </c>
      <c r="C5" s="17" t="inlineStr">
        <is>
          <t>Anatomie I</t>
        </is>
      </c>
      <c r="D5" s="17" t="inlineStr"/>
      <c r="E5" s="17" t="inlineStr">
        <is>
          <t>Ostéologie de l'épaule et du bras</t>
        </is>
      </c>
      <c r="F5" s="18" t="n"/>
      <c r="G5" s="19" t="n"/>
      <c r="H5" s="20">
        <f>IF($G5="",1,IF($G5=0,1,IF($G5=1,3,IF($G5=2,7,IF($G5=3,14,IF($G5=4,30,60))))))</f>
        <v/>
      </c>
      <c r="I5" s="21">
        <f>IF($F5="","",$F5+$H5)</f>
        <v/>
      </c>
      <c r="J5">
        <f>IF($F5="","⚪ NEW",IF($G5&gt;=5,"✅ DONE",IF($I5&lt;TODAY(),"🔴 OVERDUE",IF($I5=TODAY(),"🟢 TODAY",IF($I5=TODAY()+1,"🔵 TOMORROW",IF($I5&lt;=TODAY()+7,"📅 THIS WEEK","⏳ SCHEDULED"))))))</f>
        <v/>
      </c>
      <c r="K5" s="20">
        <f>IF($F5="",999,IF($G5&gt;=5,9999,IF($I5="",999,$I5-TODAY())))</f>
        <v/>
      </c>
    </row>
    <row r="6">
      <c r="A6" s="16">
        <f>ROW()-2</f>
        <v/>
      </c>
      <c r="B6" s="17" t="inlineStr">
        <is>
          <t>S1</t>
        </is>
      </c>
      <c r="C6" s="17" t="inlineStr">
        <is>
          <t>Anatomie I</t>
        </is>
      </c>
      <c r="D6" s="17" t="inlineStr"/>
      <c r="E6" s="17" t="inlineStr">
        <is>
          <t>Ostéologie du coude et de l'avant-bras</t>
        </is>
      </c>
      <c r="F6" s="18" t="n"/>
      <c r="G6" s="19" t="n"/>
      <c r="H6" s="20">
        <f>IF($G6="",1,IF($G6=0,1,IF($G6=1,3,IF($G6=2,7,IF($G6=3,14,IF($G6=4,30,60))))))</f>
        <v/>
      </c>
      <c r="I6" s="21">
        <f>IF($F6="","",$F6+$H6)</f>
        <v/>
      </c>
      <c r="J6">
        <f>IF($F6="","⚪ NEW",IF($G6&gt;=5,"✅ DONE",IF($I6&lt;TODAY(),"🔴 OVERDUE",IF($I6=TODAY(),"🟢 TODAY",IF($I6=TODAY()+1,"🔵 TOMORROW",IF($I6&lt;=TODAY()+7,"📅 THIS WEEK","⏳ SCHEDULED"))))))</f>
        <v/>
      </c>
      <c r="K6" s="20">
        <f>IF($F6="",999,IF($G6&gt;=5,9999,IF($I6="",999,$I6-TODAY())))</f>
        <v/>
      </c>
    </row>
    <row r="7">
      <c r="A7" s="16">
        <f>ROW()-2</f>
        <v/>
      </c>
      <c r="B7" s="17" t="inlineStr">
        <is>
          <t>S1</t>
        </is>
      </c>
      <c r="C7" s="17" t="inlineStr">
        <is>
          <t>Anatomie I</t>
        </is>
      </c>
      <c r="D7" s="17" t="inlineStr"/>
      <c r="E7" s="17" t="inlineStr">
        <is>
          <t>Ostéologie de la main et du poignet</t>
        </is>
      </c>
      <c r="F7" s="18" t="n"/>
      <c r="G7" s="19" t="n"/>
      <c r="H7" s="20">
        <f>IF($G7="",1,IF($G7=0,1,IF($G7=1,3,IF($G7=2,7,IF($G7=3,14,IF($G7=4,30,60))))))</f>
        <v/>
      </c>
      <c r="I7" s="21">
        <f>IF($F7="","",$F7+$H7)</f>
        <v/>
      </c>
      <c r="J7">
        <f>IF($F7="","⚪ NEW",IF($G7&gt;=5,"✅ DONE",IF($I7&lt;TODAY(),"🔴 OVERDUE",IF($I7=TODAY(),"🟢 TODAY",IF($I7=TODAY()+1,"🔵 TOMORROW",IF($I7&lt;=TODAY()+7,"📅 THIS WEEK","⏳ SCHEDULED"))))))</f>
        <v/>
      </c>
      <c r="K7" s="20">
        <f>IF($F7="",999,IF($G7&gt;=5,9999,IF($I7="",999,$I7-TODAY())))</f>
        <v/>
      </c>
    </row>
    <row r="8">
      <c r="A8" s="16">
        <f>ROW()-2</f>
        <v/>
      </c>
      <c r="B8" s="17" t="inlineStr">
        <is>
          <t>S1</t>
        </is>
      </c>
      <c r="C8" s="17" t="inlineStr">
        <is>
          <t>Anatomie I</t>
        </is>
      </c>
      <c r="D8" s="17" t="inlineStr"/>
      <c r="E8" s="17" t="inlineStr">
        <is>
          <t>Myologie du membre supérieur</t>
        </is>
      </c>
      <c r="F8" s="18" t="n"/>
      <c r="G8" s="19" t="n"/>
      <c r="H8" s="20">
        <f>IF($G8="",1,IF($G8=0,1,IF($G8=1,3,IF($G8=2,7,IF($G8=3,14,IF($G8=4,30,60))))))</f>
        <v/>
      </c>
      <c r="I8" s="21">
        <f>IF($F8="","",$F8+$H8)</f>
        <v/>
      </c>
      <c r="J8">
        <f>IF($F8="","⚪ NEW",IF($G8&gt;=5,"✅ DONE",IF($I8&lt;TODAY(),"🔴 OVERDUE",IF($I8=TODAY(),"🟢 TODAY",IF($I8=TODAY()+1,"🔵 TOMORROW",IF($I8&lt;=TODAY()+7,"📅 THIS WEEK","⏳ SCHEDULED"))))))</f>
        <v/>
      </c>
      <c r="K8" s="20">
        <f>IF($F8="",999,IF($G8&gt;=5,9999,IF($I8="",999,$I8-TODAY())))</f>
        <v/>
      </c>
    </row>
    <row r="9">
      <c r="A9" s="16">
        <f>ROW()-2</f>
        <v/>
      </c>
      <c r="B9" s="17" t="inlineStr">
        <is>
          <t>S1</t>
        </is>
      </c>
      <c r="C9" s="17" t="inlineStr">
        <is>
          <t>Anatomie I</t>
        </is>
      </c>
      <c r="D9" s="17" t="inlineStr"/>
      <c r="E9" s="17" t="inlineStr">
        <is>
          <t>Myologie de l'épaule et du bras</t>
        </is>
      </c>
      <c r="F9" s="18" t="n"/>
      <c r="G9" s="19" t="n"/>
      <c r="H9" s="20">
        <f>IF($G9="",1,IF($G9=0,1,IF($G9=1,3,IF($G9=2,7,IF($G9=3,14,IF($G9=4,30,60))))))</f>
        <v/>
      </c>
      <c r="I9" s="21">
        <f>IF($F9="","",$F9+$H9)</f>
        <v/>
      </c>
      <c r="J9">
        <f>IF($F9="","⚪ NEW",IF($G9&gt;=5,"✅ DONE",IF($I9&lt;TODAY(),"🔴 OVERDUE",IF($I9=TODAY(),"🟢 TODAY",IF($I9=TODAY()+1,"🔵 TOMORROW",IF($I9&lt;=TODAY()+7,"📅 THIS WEEK","⏳ SCHEDULED"))))))</f>
        <v/>
      </c>
      <c r="K9" s="20">
        <f>IF($F9="",999,IF($G9&gt;=5,9999,IF($I9="",999,$I9-TODAY())))</f>
        <v/>
      </c>
    </row>
    <row r="10">
      <c r="A10" s="16">
        <f>ROW()-2</f>
        <v/>
      </c>
      <c r="B10" s="17" t="inlineStr">
        <is>
          <t>S1</t>
        </is>
      </c>
      <c r="C10" s="17" t="inlineStr">
        <is>
          <t>Anatomie I</t>
        </is>
      </c>
      <c r="D10" s="17" t="inlineStr"/>
      <c r="E10" s="17" t="inlineStr">
        <is>
          <t>Myologie de l'avant-bras</t>
        </is>
      </c>
      <c r="F10" s="18" t="n"/>
      <c r="G10" s="19" t="n"/>
      <c r="H10" s="20">
        <f>IF($G10="",1,IF($G10=0,1,IF($G10=1,3,IF($G10=2,7,IF($G10=3,14,IF($G10=4,30,60))))))</f>
        <v/>
      </c>
      <c r="I10" s="21">
        <f>IF($F10="","",$F10+$H10)</f>
        <v/>
      </c>
      <c r="J10">
        <f>IF($F10="","⚪ NEW",IF($G10&gt;=5,"✅ DONE",IF($I10&lt;TODAY(),"🔴 OVERDUE",IF($I10=TODAY(),"🟢 TODAY",IF($I10=TODAY()+1,"🔵 TOMORROW",IF($I10&lt;=TODAY()+7,"📅 THIS WEEK","⏳ SCHEDULED"))))))</f>
        <v/>
      </c>
      <c r="K10" s="20">
        <f>IF($F10="",999,IF($G10&gt;=5,9999,IF($I10="",999,$I10-TODAY())))</f>
        <v/>
      </c>
    </row>
    <row r="11">
      <c r="A11" s="16">
        <f>ROW()-2</f>
        <v/>
      </c>
      <c r="B11" s="17" t="inlineStr">
        <is>
          <t>S1</t>
        </is>
      </c>
      <c r="C11" s="17" t="inlineStr">
        <is>
          <t>Anatomie I</t>
        </is>
      </c>
      <c r="D11" s="17" t="inlineStr"/>
      <c r="E11" s="17" t="inlineStr">
        <is>
          <t>Myologie de la main</t>
        </is>
      </c>
      <c r="F11" s="18" t="n"/>
      <c r="G11" s="19" t="n"/>
      <c r="H11" s="20">
        <f>IF($G11="",1,IF($G11=0,1,IF($G11=1,3,IF($G11=2,7,IF($G11=3,14,IF($G11=4,30,60))))))</f>
        <v/>
      </c>
      <c r="I11" s="21">
        <f>IF($F11="","",$F11+$H11)</f>
        <v/>
      </c>
      <c r="J11">
        <f>IF($F11="","⚪ NEW",IF($G11&gt;=5,"✅ DONE",IF($I11&lt;TODAY(),"🔴 OVERDUE",IF($I11=TODAY(),"🟢 TODAY",IF($I11=TODAY()+1,"🔵 TOMORROW",IF($I11&lt;=TODAY()+7,"📅 THIS WEEK","⏳ SCHEDULED"))))))</f>
        <v/>
      </c>
      <c r="K11" s="20">
        <f>IF($F11="",999,IF($G11&gt;=5,9999,IF($I11="",999,$I11-TODAY())))</f>
        <v/>
      </c>
    </row>
    <row r="12">
      <c r="A12" s="16">
        <f>ROW()-2</f>
        <v/>
      </c>
      <c r="B12" s="17" t="inlineStr">
        <is>
          <t>S1</t>
        </is>
      </c>
      <c r="C12" s="17" t="inlineStr">
        <is>
          <t>Anatomie I</t>
        </is>
      </c>
      <c r="D12" s="17" t="inlineStr"/>
      <c r="E12" s="17" t="inlineStr">
        <is>
          <t>Ostéo-arthrologie du membre inférieur</t>
        </is>
      </c>
      <c r="F12" s="18" t="n"/>
      <c r="G12" s="19" t="n"/>
      <c r="H12" s="20">
        <f>IF($G12="",1,IF($G12=0,1,IF($G12=1,3,IF($G12=2,7,IF($G12=3,14,IF($G12=4,30,60))))))</f>
        <v/>
      </c>
      <c r="I12" s="21">
        <f>IF($F12="","",$F12+$H12)</f>
        <v/>
      </c>
      <c r="J12">
        <f>IF($F12="","⚪ NEW",IF($G12&gt;=5,"✅ DONE",IF($I12&lt;TODAY(),"🔴 OVERDUE",IF($I12=TODAY(),"🟢 TODAY",IF($I12=TODAY()+1,"🔵 TOMORROW",IF($I12&lt;=TODAY()+7,"📅 THIS WEEK","⏳ SCHEDULED"))))))</f>
        <v/>
      </c>
      <c r="K12" s="20">
        <f>IF($F12="",999,IF($G12&gt;=5,9999,IF($I12="",999,$I12-TODAY())))</f>
        <v/>
      </c>
    </row>
    <row r="13">
      <c r="A13" s="16">
        <f>ROW()-2</f>
        <v/>
      </c>
      <c r="B13" s="17" t="inlineStr">
        <is>
          <t>S1</t>
        </is>
      </c>
      <c r="C13" s="17" t="inlineStr">
        <is>
          <t>Anatomie I</t>
        </is>
      </c>
      <c r="D13" s="17" t="inlineStr"/>
      <c r="E13" s="17" t="inlineStr">
        <is>
          <t>Os coxal, fémur et articulation de la hanche</t>
        </is>
      </c>
      <c r="F13" s="18" t="n"/>
      <c r="G13" s="19" t="n"/>
      <c r="H13" s="20">
        <f>IF($G13="",1,IF($G13=0,1,IF($G13=1,3,IF($G13=2,7,IF($G13=3,14,IF($G13=4,30,60))))))</f>
        <v/>
      </c>
      <c r="I13" s="21">
        <f>IF($F13="","",$F13+$H13)</f>
        <v/>
      </c>
      <c r="J13">
        <f>IF($F13="","⚪ NEW",IF($G13&gt;=5,"✅ DONE",IF($I13&lt;TODAY(),"🔴 OVERDUE",IF($I13=TODAY(),"🟢 TODAY",IF($I13=TODAY()+1,"🔵 TOMORROW",IF($I13&lt;=TODAY()+7,"📅 THIS WEEK","⏳ SCHEDULED"))))))</f>
        <v/>
      </c>
      <c r="K13" s="20">
        <f>IF($F13="",999,IF($G13&gt;=5,9999,IF($I13="",999,$I13-TODAY())))</f>
        <v/>
      </c>
    </row>
    <row r="14">
      <c r="A14" s="16">
        <f>ROW()-2</f>
        <v/>
      </c>
      <c r="B14" s="17" t="inlineStr">
        <is>
          <t>S1</t>
        </is>
      </c>
      <c r="C14" s="17" t="inlineStr">
        <is>
          <t>Anatomie I</t>
        </is>
      </c>
      <c r="D14" s="17" t="inlineStr"/>
      <c r="E14" s="17" t="inlineStr">
        <is>
          <t>Tibia, fibula, patella et articulation du genou</t>
        </is>
      </c>
      <c r="F14" s="18" t="n"/>
      <c r="G14" s="19" t="n"/>
      <c r="H14" s="20">
        <f>IF($G14="",1,IF($G14=0,1,IF($G14=1,3,IF($G14=2,7,IF($G14=3,14,IF($G14=4,30,60))))))</f>
        <v/>
      </c>
      <c r="I14" s="21">
        <f>IF($F14="","",$F14+$H14)</f>
        <v/>
      </c>
      <c r="J14">
        <f>IF($F14="","⚪ NEW",IF($G14&gt;=5,"✅ DONE",IF($I14&lt;TODAY(),"🔴 OVERDUE",IF($I14=TODAY(),"🟢 TODAY",IF($I14=TODAY()+1,"🔵 TOMORROW",IF($I14&lt;=TODAY()+7,"📅 THIS WEEK","⏳ SCHEDULED"))))))</f>
        <v/>
      </c>
      <c r="K14" s="20">
        <f>IF($F14="",999,IF($G14&gt;=5,9999,IF($I14="",999,$I14-TODAY())))</f>
        <v/>
      </c>
    </row>
    <row r="15">
      <c r="A15" s="16">
        <f>ROW()-2</f>
        <v/>
      </c>
      <c r="B15" s="17" t="inlineStr">
        <is>
          <t>S1</t>
        </is>
      </c>
      <c r="C15" s="17" t="inlineStr">
        <is>
          <t>Anatomie I</t>
        </is>
      </c>
      <c r="D15" s="17" t="inlineStr"/>
      <c r="E15" s="17" t="inlineStr">
        <is>
          <t>Ostéologie du pied et de la cheville</t>
        </is>
      </c>
      <c r="F15" s="18" t="n"/>
      <c r="G15" s="19" t="n"/>
      <c r="H15" s="20">
        <f>IF($G15="",1,IF($G15=0,1,IF($G15=1,3,IF($G15=2,7,IF($G15=3,14,IF($G15=4,30,60))))))</f>
        <v/>
      </c>
      <c r="I15" s="21">
        <f>IF($F15="","",$F15+$H15)</f>
        <v/>
      </c>
      <c r="J15">
        <f>IF($F15="","⚪ NEW",IF($G15&gt;=5,"✅ DONE",IF($I15&lt;TODAY(),"🔴 OVERDUE",IF($I15=TODAY(),"🟢 TODAY",IF($I15=TODAY()+1,"🔵 TOMORROW",IF($I15&lt;=TODAY()+7,"📅 THIS WEEK","⏳ SCHEDULED"))))))</f>
        <v/>
      </c>
      <c r="K15" s="20">
        <f>IF($F15="",999,IF($G15&gt;=5,9999,IF($I15="",999,$I15-TODAY())))</f>
        <v/>
      </c>
    </row>
    <row r="16">
      <c r="A16" s="16">
        <f>ROW()-2</f>
        <v/>
      </c>
      <c r="B16" s="17" t="inlineStr">
        <is>
          <t>S1</t>
        </is>
      </c>
      <c r="C16" s="17" t="inlineStr">
        <is>
          <t>Anatomie I</t>
        </is>
      </c>
      <c r="D16" s="17" t="inlineStr"/>
      <c r="E16" s="17" t="inlineStr">
        <is>
          <t>Myologie du membre inférieur</t>
        </is>
      </c>
      <c r="F16" s="18" t="n"/>
      <c r="G16" s="19" t="n"/>
      <c r="H16" s="20">
        <f>IF($G16="",1,IF($G16=0,1,IF($G16=1,3,IF($G16=2,7,IF($G16=3,14,IF($G16=4,30,60))))))</f>
        <v/>
      </c>
      <c r="I16" s="21">
        <f>IF($F16="","",$F16+$H16)</f>
        <v/>
      </c>
      <c r="J16">
        <f>IF($F16="","⚪ NEW",IF($G16&gt;=5,"✅ DONE",IF($I16&lt;TODAY(),"🔴 OVERDUE",IF($I16=TODAY(),"🟢 TODAY",IF($I16=TODAY()+1,"🔵 TOMORROW",IF($I16&lt;=TODAY()+7,"📅 THIS WEEK","⏳ SCHEDULED"))))))</f>
        <v/>
      </c>
      <c r="K16" s="20">
        <f>IF($F16="",999,IF($G16&gt;=5,9999,IF($I16="",999,$I16-TODAY())))</f>
        <v/>
      </c>
    </row>
    <row r="17">
      <c r="A17" s="16">
        <f>ROW()-2</f>
        <v/>
      </c>
      <c r="B17" s="17" t="inlineStr">
        <is>
          <t>S1</t>
        </is>
      </c>
      <c r="C17" s="17" t="inlineStr">
        <is>
          <t>Anatomie I</t>
        </is>
      </c>
      <c r="D17" s="17" t="inlineStr"/>
      <c r="E17" s="17" t="inlineStr">
        <is>
          <t>Myologie du bassin</t>
        </is>
      </c>
      <c r="F17" s="18" t="n"/>
      <c r="G17" s="19" t="n"/>
      <c r="H17" s="20">
        <f>IF($G17="",1,IF($G17=0,1,IF($G17=1,3,IF($G17=2,7,IF($G17=3,14,IF($G17=4,30,60))))))</f>
        <v/>
      </c>
      <c r="I17" s="21">
        <f>IF($F17="","",$F17+$H17)</f>
        <v/>
      </c>
      <c r="J17">
        <f>IF($F17="","⚪ NEW",IF($G17&gt;=5,"✅ DONE",IF($I17&lt;TODAY(),"🔴 OVERDUE",IF($I17=TODAY(),"🟢 TODAY",IF($I17=TODAY()+1,"🔵 TOMORROW",IF($I17&lt;=TODAY()+7,"📅 THIS WEEK","⏳ SCHEDULED"))))))</f>
        <v/>
      </c>
      <c r="K17" s="20">
        <f>IF($F17="",999,IF($G17&gt;=5,9999,IF($I17="",999,$I17-TODAY())))</f>
        <v/>
      </c>
    </row>
    <row r="18">
      <c r="A18" s="16">
        <f>ROW()-2</f>
        <v/>
      </c>
      <c r="B18" s="17" t="inlineStr">
        <is>
          <t>S1</t>
        </is>
      </c>
      <c r="C18" s="17" t="inlineStr">
        <is>
          <t>Anatomie I</t>
        </is>
      </c>
      <c r="D18" s="17" t="inlineStr"/>
      <c r="E18" s="17" t="inlineStr">
        <is>
          <t>Myologie de la cuisse</t>
        </is>
      </c>
      <c r="F18" s="18" t="n"/>
      <c r="G18" s="19" t="n"/>
      <c r="H18" s="20">
        <f>IF($G18="",1,IF($G18=0,1,IF($G18=1,3,IF($G18=2,7,IF($G18=3,14,IF($G18=4,30,60))))))</f>
        <v/>
      </c>
      <c r="I18" s="21">
        <f>IF($F18="","",$F18+$H18)</f>
        <v/>
      </c>
      <c r="J18">
        <f>IF($F18="","⚪ NEW",IF($G18&gt;=5,"✅ DONE",IF($I18&lt;TODAY(),"🔴 OVERDUE",IF($I18=TODAY(),"🟢 TODAY",IF($I18=TODAY()+1,"🔵 TOMORROW",IF($I18&lt;=TODAY()+7,"📅 THIS WEEK","⏳ SCHEDULED"))))))</f>
        <v/>
      </c>
      <c r="K18" s="20">
        <f>IF($F18="",999,IF($G18&gt;=5,9999,IF($I18="",999,$I18-TODAY())))</f>
        <v/>
      </c>
    </row>
    <row r="19">
      <c r="A19" s="16">
        <f>ROW()-2</f>
        <v/>
      </c>
      <c r="B19" s="17" t="inlineStr">
        <is>
          <t>S1</t>
        </is>
      </c>
      <c r="C19" s="17" t="inlineStr">
        <is>
          <t>Anatomie I</t>
        </is>
      </c>
      <c r="D19" s="17" t="inlineStr"/>
      <c r="E19" s="17" t="inlineStr">
        <is>
          <t>Myologie de la jambe et du pied</t>
        </is>
      </c>
      <c r="F19" s="18" t="n"/>
      <c r="G19" s="19" t="n"/>
      <c r="H19" s="20">
        <f>IF($G19="",1,IF($G19=0,1,IF($G19=1,3,IF($G19=2,7,IF($G19=3,14,IF($G19=4,30,60))))))</f>
        <v/>
      </c>
      <c r="I19" s="21">
        <f>IF($F19="","",$F19+$H19)</f>
        <v/>
      </c>
      <c r="J19">
        <f>IF($F19="","⚪ NEW",IF($G19&gt;=5,"✅ DONE",IF($I19&lt;TODAY(),"🔴 OVERDUE",IF($I19=TODAY(),"🟢 TODAY",IF($I19=TODAY()+1,"🔵 TOMORROW",IF($I19&lt;=TODAY()+7,"📅 THIS WEEK","⏳ SCHEDULED"))))))</f>
        <v/>
      </c>
      <c r="K19" s="20">
        <f>IF($F19="",999,IF($G19&gt;=5,9999,IF($I19="",999,$I19-TODAY())))</f>
        <v/>
      </c>
    </row>
    <row r="20">
      <c r="A20" s="16">
        <f>ROW()-2</f>
        <v/>
      </c>
      <c r="B20" s="17" t="inlineStr">
        <is>
          <t>S1</t>
        </is>
      </c>
      <c r="C20" s="17" t="inlineStr">
        <is>
          <t>Anatomie I</t>
        </is>
      </c>
      <c r="D20" s="17" t="inlineStr"/>
      <c r="E20" s="17" t="inlineStr">
        <is>
          <t>Anatomie topographique du membre supérieur</t>
        </is>
      </c>
      <c r="F20" s="18" t="n"/>
      <c r="G20" s="19" t="n"/>
      <c r="H20" s="20">
        <f>IF($G20="",1,IF($G20=0,1,IF($G20=1,3,IF($G20=2,7,IF($G20=3,14,IF($G20=4,30,60))))))</f>
        <v/>
      </c>
      <c r="I20" s="21">
        <f>IF($F20="","",$F20+$H20)</f>
        <v/>
      </c>
      <c r="J20">
        <f>IF($F20="","⚪ NEW",IF($G20&gt;=5,"✅ DONE",IF($I20&lt;TODAY(),"🔴 OVERDUE",IF($I20=TODAY(),"🟢 TODAY",IF($I20=TODAY()+1,"🔵 TOMORROW",IF($I20&lt;=TODAY()+7,"📅 THIS WEEK","⏳ SCHEDULED"))))))</f>
        <v/>
      </c>
      <c r="K20" s="20">
        <f>IF($F20="",999,IF($G20&gt;=5,9999,IF($I20="",999,$I20-TODAY())))</f>
        <v/>
      </c>
    </row>
    <row r="21">
      <c r="A21" s="16">
        <f>ROW()-2</f>
        <v/>
      </c>
      <c r="B21" s="17" t="inlineStr">
        <is>
          <t>S1</t>
        </is>
      </c>
      <c r="C21" s="17" t="inlineStr">
        <is>
          <t>Anatomie I</t>
        </is>
      </c>
      <c r="D21" s="17" t="inlineStr"/>
      <c r="E21" s="17" t="inlineStr">
        <is>
          <t>Anatomie topographique du membre inférieur</t>
        </is>
      </c>
      <c r="F21" s="18" t="n"/>
      <c r="G21" s="19" t="n"/>
      <c r="H21" s="20">
        <f>IF($G21="",1,IF($G21=0,1,IF($G21=1,3,IF($G21=2,7,IF($G21=3,14,IF($G21=4,30,60))))))</f>
        <v/>
      </c>
      <c r="I21" s="21">
        <f>IF($F21="","",$F21+$H21)</f>
        <v/>
      </c>
      <c r="J21">
        <f>IF($F21="","⚪ NEW",IF($G21&gt;=5,"✅ DONE",IF($I21&lt;TODAY(),"🔴 OVERDUE",IF($I21=TODAY(),"🟢 TODAY",IF($I21=TODAY()+1,"🔵 TOMORROW",IF($I21&lt;=TODAY()+7,"📅 THIS WEEK","⏳ SCHEDULED"))))))</f>
        <v/>
      </c>
      <c r="K21" s="20">
        <f>IF($F21="",999,IF($G21&gt;=5,9999,IF($I21="",999,$I21-TODAY())))</f>
        <v/>
      </c>
    </row>
    <row r="22">
      <c r="A22" s="16">
        <f>ROW()-2</f>
        <v/>
      </c>
      <c r="B22" s="17" t="inlineStr">
        <is>
          <t>S1</t>
        </is>
      </c>
      <c r="C22" s="17" t="inlineStr">
        <is>
          <t>Anatomie I</t>
        </is>
      </c>
      <c r="D22" s="17" t="inlineStr"/>
      <c r="E22" s="17" t="inlineStr">
        <is>
          <t>Vascularisation du membre supérieur</t>
        </is>
      </c>
      <c r="F22" s="18" t="n"/>
      <c r="G22" s="19" t="n"/>
      <c r="H22" s="20">
        <f>IF($G22="",1,IF($G22=0,1,IF($G22=1,3,IF($G22=2,7,IF($G22=3,14,IF($G22=4,30,60))))))</f>
        <v/>
      </c>
      <c r="I22" s="21">
        <f>IF($F22="","",$F22+$H22)</f>
        <v/>
      </c>
      <c r="J22">
        <f>IF($F22="","⚪ NEW",IF($G22&gt;=5,"✅ DONE",IF($I22&lt;TODAY(),"🔴 OVERDUE",IF($I22=TODAY(),"🟢 TODAY",IF($I22=TODAY()+1,"🔵 TOMORROW",IF($I22&lt;=TODAY()+7,"📅 THIS WEEK","⏳ SCHEDULED"))))))</f>
        <v/>
      </c>
      <c r="K22" s="20">
        <f>IF($F22="",999,IF($G22&gt;=5,9999,IF($I22="",999,$I22-TODAY())))</f>
        <v/>
      </c>
    </row>
    <row r="23">
      <c r="A23" s="16">
        <f>ROW()-2</f>
        <v/>
      </c>
      <c r="B23" s="17" t="inlineStr">
        <is>
          <t>S1</t>
        </is>
      </c>
      <c r="C23" s="17" t="inlineStr">
        <is>
          <t>Anatomie I</t>
        </is>
      </c>
      <c r="D23" s="17" t="inlineStr"/>
      <c r="E23" s="17" t="inlineStr">
        <is>
          <t>Vascularisation du membre inférieur</t>
        </is>
      </c>
      <c r="F23" s="18" t="n"/>
      <c r="G23" s="19" t="n"/>
      <c r="H23" s="20">
        <f>IF($G23="",1,IF($G23=0,1,IF($G23=1,3,IF($G23=2,7,IF($G23=3,14,IF($G23=4,30,60))))))</f>
        <v/>
      </c>
      <c r="I23" s="21">
        <f>IF($F23="","",$F23+$H23)</f>
        <v/>
      </c>
      <c r="J23">
        <f>IF($F23="","⚪ NEW",IF($G23&gt;=5,"✅ DONE",IF($I23&lt;TODAY(),"🔴 OVERDUE",IF($I23=TODAY(),"🟢 TODAY",IF($I23=TODAY()+1,"🔵 TOMORROW",IF($I23&lt;=TODAY()+7,"📅 THIS WEEK","⏳ SCHEDULED"))))))</f>
        <v/>
      </c>
      <c r="K23" s="20">
        <f>IF($F23="",999,IF($G23&gt;=5,9999,IF($I23="",999,$I23-TODAY())))</f>
        <v/>
      </c>
    </row>
    <row r="24">
      <c r="A24" s="16">
        <f>ROW()-2</f>
        <v/>
      </c>
      <c r="B24" s="17" t="inlineStr">
        <is>
          <t>S1</t>
        </is>
      </c>
      <c r="C24" s="17" t="inlineStr">
        <is>
          <t>Anatomie I</t>
        </is>
      </c>
      <c r="D24" s="17" t="inlineStr"/>
      <c r="E24" s="17" t="inlineStr">
        <is>
          <t>Innervation du membre supérieur</t>
        </is>
      </c>
      <c r="F24" s="18" t="n"/>
      <c r="G24" s="19" t="n"/>
      <c r="H24" s="20">
        <f>IF($G24="",1,IF($G24=0,1,IF($G24=1,3,IF($G24=2,7,IF($G24=3,14,IF($G24=4,30,60))))))</f>
        <v/>
      </c>
      <c r="I24" s="21">
        <f>IF($F24="","",$F24+$H24)</f>
        <v/>
      </c>
      <c r="J24">
        <f>IF($F24="","⚪ NEW",IF($G24&gt;=5,"✅ DONE",IF($I24&lt;TODAY(),"🔴 OVERDUE",IF($I24=TODAY(),"🟢 TODAY",IF($I24=TODAY()+1,"🔵 TOMORROW",IF($I24&lt;=TODAY()+7,"📅 THIS WEEK","⏳ SCHEDULED"))))))</f>
        <v/>
      </c>
      <c r="K24" s="20">
        <f>IF($F24="",999,IF($G24&gt;=5,9999,IF($I24="",999,$I24-TODAY())))</f>
        <v/>
      </c>
    </row>
    <row r="25">
      <c r="A25" s="16">
        <f>ROW()-2</f>
        <v/>
      </c>
      <c r="B25" s="17" t="inlineStr">
        <is>
          <t>S1</t>
        </is>
      </c>
      <c r="C25" s="17" t="inlineStr">
        <is>
          <t>Anatomie I</t>
        </is>
      </c>
      <c r="D25" s="17" t="inlineStr"/>
      <c r="E25" s="17" t="inlineStr">
        <is>
          <t>Innervation du membre inférieur</t>
        </is>
      </c>
      <c r="F25" s="18" t="n"/>
      <c r="G25" s="19" t="n"/>
      <c r="H25" s="20">
        <f>IF($G25="",1,IF($G25=0,1,IF($G25=1,3,IF($G25=2,7,IF($G25=3,14,IF($G25=4,30,60))))))</f>
        <v/>
      </c>
      <c r="I25" s="21">
        <f>IF($F25="","",$F25+$H25)</f>
        <v/>
      </c>
      <c r="J25">
        <f>IF($F25="","⚪ NEW",IF($G25&gt;=5,"✅ DONE",IF($I25&lt;TODAY(),"🔴 OVERDUE",IF($I25=TODAY(),"🟢 TODAY",IF($I25=TODAY()+1,"🔵 TOMORROW",IF($I25&lt;=TODAY()+7,"📅 THIS WEEK","⏳ SCHEDULED"))))))</f>
        <v/>
      </c>
      <c r="K25" s="20">
        <f>IF($F25="",999,IF($G25&gt;=5,9999,IF($I25="",999,$I25-TODAY())))</f>
        <v/>
      </c>
    </row>
    <row r="26">
      <c r="A26" s="16">
        <f>ROW()-2</f>
        <v/>
      </c>
      <c r="B26" s="17" t="inlineStr">
        <is>
          <t>S1</t>
        </is>
      </c>
      <c r="C26" s="17" t="inlineStr">
        <is>
          <t>Anatomie I</t>
        </is>
      </c>
      <c r="D26" s="17" t="inlineStr"/>
      <c r="E26" s="17" t="inlineStr">
        <is>
          <t>Anatomie du cœur</t>
        </is>
      </c>
      <c r="F26" s="18" t="n"/>
      <c r="G26" s="19" t="n"/>
      <c r="H26" s="20">
        <f>IF($G26="",1,IF($G26=0,1,IF($G26=1,3,IF($G26=2,7,IF($G26=3,14,IF($G26=4,30,60))))))</f>
        <v/>
      </c>
      <c r="I26" s="21">
        <f>IF($F26="","",$F26+$H26)</f>
        <v/>
      </c>
      <c r="J26">
        <f>IF($F26="","⚪ NEW",IF($G26&gt;=5,"✅ DONE",IF($I26&lt;TODAY(),"🔴 OVERDUE",IF($I26=TODAY(),"🟢 TODAY",IF($I26=TODAY()+1,"🔵 TOMORROW",IF($I26&lt;=TODAY()+7,"📅 THIS WEEK","⏳ SCHEDULED"))))))</f>
        <v/>
      </c>
      <c r="K26" s="20">
        <f>IF($F26="",999,IF($G26&gt;=5,9999,IF($I26="",999,$I26-TODAY())))</f>
        <v/>
      </c>
    </row>
    <row r="27">
      <c r="A27" s="16">
        <f>ROW()-2</f>
        <v/>
      </c>
      <c r="B27" s="17" t="inlineStr">
        <is>
          <t>S1</t>
        </is>
      </c>
      <c r="C27" s="17" t="inlineStr">
        <is>
          <t>Anatomie I</t>
        </is>
      </c>
      <c r="D27" s="17" t="inlineStr"/>
      <c r="E27" s="17" t="inlineStr">
        <is>
          <t>Gros vaisseaux du médiastin</t>
        </is>
      </c>
      <c r="F27" s="18" t="n"/>
      <c r="G27" s="19" t="n"/>
      <c r="H27" s="20">
        <f>IF($G27="",1,IF($G27=0,1,IF($G27=1,3,IF($G27=2,7,IF($G27=3,14,IF($G27=4,30,60))))))</f>
        <v/>
      </c>
      <c r="I27" s="21">
        <f>IF($F27="","",$F27+$H27)</f>
        <v/>
      </c>
      <c r="J27">
        <f>IF($F27="","⚪ NEW",IF($G27&gt;=5,"✅ DONE",IF($I27&lt;TODAY(),"🔴 OVERDUE",IF($I27=TODAY(),"🟢 TODAY",IF($I27=TODAY()+1,"🔵 TOMORROW",IF($I27&lt;=TODAY()+7,"📅 THIS WEEK","⏳ SCHEDULED"))))))</f>
        <v/>
      </c>
      <c r="K27" s="20">
        <f>IF($F27="",999,IF($G27&gt;=5,9999,IF($I27="",999,$I27-TODAY())))</f>
        <v/>
      </c>
    </row>
    <row r="28">
      <c r="A28" s="16">
        <f>ROW()-2</f>
        <v/>
      </c>
      <c r="B28" s="17" t="inlineStr">
        <is>
          <t>S1</t>
        </is>
      </c>
      <c r="C28" s="17" t="inlineStr">
        <is>
          <t>Anatomie I</t>
        </is>
      </c>
      <c r="D28" s="17" t="inlineStr"/>
      <c r="E28" s="17" t="inlineStr">
        <is>
          <t>La paroi thoracique</t>
        </is>
      </c>
      <c r="F28" s="18" t="n"/>
      <c r="G28" s="19" t="n"/>
      <c r="H28" s="20">
        <f>IF($G28="",1,IF($G28=0,1,IF($G28=1,3,IF($G28=2,7,IF($G28=3,14,IF($G28=4,30,60))))))</f>
        <v/>
      </c>
      <c r="I28" s="21">
        <f>IF($F28="","",$F28+$H28)</f>
        <v/>
      </c>
      <c r="J28">
        <f>IF($F28="","⚪ NEW",IF($G28&gt;=5,"✅ DONE",IF($I28&lt;TODAY(),"🔴 OVERDUE",IF($I28=TODAY(),"🟢 TODAY",IF($I28=TODAY()+1,"🔵 TOMORROW",IF($I28&lt;=TODAY()+7,"📅 THIS WEEK","⏳ SCHEDULED"))))))</f>
        <v/>
      </c>
      <c r="K28" s="20">
        <f>IF($F28="",999,IF($G28&gt;=5,9999,IF($I28="",999,$I28-TODAY())))</f>
        <v/>
      </c>
    </row>
    <row r="29">
      <c r="A29" s="16">
        <f>ROW()-2</f>
        <v/>
      </c>
      <c r="B29" s="17" t="inlineStr">
        <is>
          <t>S1</t>
        </is>
      </c>
      <c r="C29" s="17" t="inlineStr">
        <is>
          <t>Anatomie I</t>
        </is>
      </c>
      <c r="D29" s="17" t="inlineStr"/>
      <c r="E29" s="17" t="inlineStr">
        <is>
          <t>Poumon et plèvre</t>
        </is>
      </c>
      <c r="F29" s="18" t="n"/>
      <c r="G29" s="19" t="n"/>
      <c r="H29" s="20">
        <f>IF($G29="",1,IF($G29=0,1,IF($G29=1,3,IF($G29=2,7,IF($G29=3,14,IF($G29=4,30,60))))))</f>
        <v/>
      </c>
      <c r="I29" s="21">
        <f>IF($F29="","",$F29+$H29)</f>
        <v/>
      </c>
      <c r="J29">
        <f>IF($F29="","⚪ NEW",IF($G29&gt;=5,"✅ DONE",IF($I29&lt;TODAY(),"🔴 OVERDUE",IF($I29=TODAY(),"🟢 TODAY",IF($I29=TODAY()+1,"🔵 TOMORROW",IF($I29&lt;=TODAY()+7,"📅 THIS WEEK","⏳ SCHEDULED"))))))</f>
        <v/>
      </c>
      <c r="K29" s="20">
        <f>IF($F29="",999,IF($G29&gt;=5,9999,IF($I29="",999,$I29-TODAY())))</f>
        <v/>
      </c>
    </row>
    <row r="30">
      <c r="A30" s="16">
        <f>ROW()-2</f>
        <v/>
      </c>
      <c r="B30" s="17" t="inlineStr">
        <is>
          <t>S1</t>
        </is>
      </c>
      <c r="C30" s="17" t="inlineStr">
        <is>
          <t>Anatomie I</t>
        </is>
      </c>
      <c r="D30" s="17" t="inlineStr"/>
      <c r="E30" s="17" t="inlineStr">
        <is>
          <t>Le médiastin antérieur et moyen</t>
        </is>
      </c>
      <c r="F30" s="18" t="n"/>
      <c r="G30" s="19" t="n"/>
      <c r="H30" s="20">
        <f>IF($G30="",1,IF($G30=0,1,IF($G30=1,3,IF($G30=2,7,IF($G30=3,14,IF($G30=4,30,60))))))</f>
        <v/>
      </c>
      <c r="I30" s="21">
        <f>IF($F30="","",$F30+$H30)</f>
        <v/>
      </c>
      <c r="J30">
        <f>IF($F30="","⚪ NEW",IF($G30&gt;=5,"✅ DONE",IF($I30&lt;TODAY(),"🔴 OVERDUE",IF($I30=TODAY(),"🟢 TODAY",IF($I30=TODAY()+1,"🔵 TOMORROW",IF($I30&lt;=TODAY()+7,"📅 THIS WEEK","⏳ SCHEDULED"))))))</f>
        <v/>
      </c>
      <c r="K30" s="20">
        <f>IF($F30="",999,IF($G30&gt;=5,9999,IF($I30="",999,$I30-TODAY())))</f>
        <v/>
      </c>
    </row>
    <row r="31">
      <c r="A31" s="16">
        <f>ROW()-2</f>
        <v/>
      </c>
      <c r="B31" s="17" t="inlineStr">
        <is>
          <t>S1</t>
        </is>
      </c>
      <c r="C31" s="17" t="inlineStr">
        <is>
          <t>Anatomie I</t>
        </is>
      </c>
      <c r="D31" s="17" t="inlineStr"/>
      <c r="E31" s="17" t="inlineStr">
        <is>
          <t>Le médiastin postérieur</t>
        </is>
      </c>
      <c r="F31" s="18" t="n"/>
      <c r="G31" s="19" t="n"/>
      <c r="H31" s="20">
        <f>IF($G31="",1,IF($G31=0,1,IF($G31=1,3,IF($G31=2,7,IF($G31=3,14,IF($G31=4,30,60))))))</f>
        <v/>
      </c>
      <c r="I31" s="21">
        <f>IF($F31="","",$F31+$H31)</f>
        <v/>
      </c>
      <c r="J31">
        <f>IF($F31="","⚪ NEW",IF($G31&gt;=5,"✅ DONE",IF($I31&lt;TODAY(),"🔴 OVERDUE",IF($I31=TODAY(),"🟢 TODAY",IF($I31=TODAY()+1,"🔵 TOMORROW",IF($I31&lt;=TODAY()+7,"📅 THIS WEEK","⏳ SCHEDULED"))))))</f>
        <v/>
      </c>
      <c r="K31" s="20">
        <f>IF($F31="",999,IF($G31&gt;=5,9999,IF($I31="",999,$I31-TODAY())))</f>
        <v/>
      </c>
    </row>
    <row r="32">
      <c r="A32" s="22">
        <f>ROW()-2</f>
        <v/>
      </c>
      <c r="B32" s="23" t="inlineStr">
        <is>
          <t>S1</t>
        </is>
      </c>
      <c r="C32" s="23" t="inlineStr">
        <is>
          <t>Santé publique</t>
        </is>
      </c>
      <c r="D32" s="23" t="inlineStr">
        <is>
          <t>Médecine communautaire</t>
        </is>
      </c>
      <c r="E32" s="23" t="inlineStr">
        <is>
          <t>Système de soins au Maroc (partie 1)</t>
        </is>
      </c>
      <c r="F32" s="18" t="n"/>
      <c r="G32" s="19" t="n"/>
      <c r="H32" s="20">
        <f>IF($G32="",1,IF($G32=0,1,IF($G32=1,3,IF($G32=2,7,IF($G32=3,14,IF($G32=4,30,60))))))</f>
        <v/>
      </c>
      <c r="I32" s="21">
        <f>IF($F32="","",$F32+$H32)</f>
        <v/>
      </c>
      <c r="J32">
        <f>IF($F32="","⚪ NEW",IF($G32&gt;=5,"✅ DONE",IF($I32&lt;TODAY(),"🔴 OVERDUE",IF($I32=TODAY(),"🟢 TODAY",IF($I32=TODAY()+1,"🔵 TOMORROW",IF($I32&lt;=TODAY()+7,"📅 THIS WEEK","⏳ SCHEDULED"))))))</f>
        <v/>
      </c>
      <c r="K32" s="20">
        <f>IF($F32="",999,IF($G32&gt;=5,9999,IF($I32="",999,$I32-TODAY())))</f>
        <v/>
      </c>
    </row>
    <row r="33">
      <c r="A33" s="22">
        <f>ROW()-2</f>
        <v/>
      </c>
      <c r="B33" s="23" t="inlineStr">
        <is>
          <t>S1</t>
        </is>
      </c>
      <c r="C33" s="23" t="inlineStr">
        <is>
          <t>Santé publique</t>
        </is>
      </c>
      <c r="D33" s="23" t="inlineStr">
        <is>
          <t>Médecine communautaire</t>
        </is>
      </c>
      <c r="E33" s="23" t="inlineStr">
        <is>
          <t>Système de soins au Maroc (partie 2)</t>
        </is>
      </c>
      <c r="F33" s="18" t="n"/>
      <c r="G33" s="19" t="n"/>
      <c r="H33" s="20">
        <f>IF($G33="",1,IF($G33=0,1,IF($G33=1,3,IF($G33=2,7,IF($G33=3,14,IF($G33=4,30,60))))))</f>
        <v/>
      </c>
      <c r="I33" s="21">
        <f>IF($F33="","",$F33+$H33)</f>
        <v/>
      </c>
      <c r="J33">
        <f>IF($F33="","⚪ NEW",IF($G33&gt;=5,"✅ DONE",IF($I33&lt;TODAY(),"🔴 OVERDUE",IF($I33=TODAY(),"🟢 TODAY",IF($I33=TODAY()+1,"🔵 TOMORROW",IF($I33&lt;=TODAY()+7,"📅 THIS WEEK","⏳ SCHEDULED"))))))</f>
        <v/>
      </c>
      <c r="K33" s="20">
        <f>IF($F33="",999,IF($G33&gt;=5,9999,IF($I33="",999,$I33-TODAY())))</f>
        <v/>
      </c>
    </row>
    <row r="34">
      <c r="A34" s="22">
        <f>ROW()-2</f>
        <v/>
      </c>
      <c r="B34" s="23" t="inlineStr">
        <is>
          <t>S1</t>
        </is>
      </c>
      <c r="C34" s="23" t="inlineStr">
        <is>
          <t>Santé publique</t>
        </is>
      </c>
      <c r="D34" s="23" t="inlineStr">
        <is>
          <t>Médecine communautaire</t>
        </is>
      </c>
      <c r="E34" s="23" t="inlineStr">
        <is>
          <t>Prévention de la maladie</t>
        </is>
      </c>
      <c r="F34" s="18" t="n"/>
      <c r="G34" s="19" t="n"/>
      <c r="H34" s="20">
        <f>IF($G34="",1,IF($G34=0,1,IF($G34=1,3,IF($G34=2,7,IF($G34=3,14,IF($G34=4,30,60))))))</f>
        <v/>
      </c>
      <c r="I34" s="21">
        <f>IF($F34="","",$F34+$H34)</f>
        <v/>
      </c>
      <c r="J34">
        <f>IF($F34="","⚪ NEW",IF($G34&gt;=5,"✅ DONE",IF($I34&lt;TODAY(),"🔴 OVERDUE",IF($I34=TODAY(),"🟢 TODAY",IF($I34=TODAY()+1,"🔵 TOMORROW",IF($I34&lt;=TODAY()+7,"📅 THIS WEEK","⏳ SCHEDULED"))))))</f>
        <v/>
      </c>
      <c r="K34" s="20">
        <f>IF($F34="",999,IF($G34&gt;=5,9999,IF($I34="",999,$I34-TODAY())))</f>
        <v/>
      </c>
    </row>
    <row r="35">
      <c r="A35" s="22">
        <f>ROW()-2</f>
        <v/>
      </c>
      <c r="B35" s="23" t="inlineStr">
        <is>
          <t>S1</t>
        </is>
      </c>
      <c r="C35" s="23" t="inlineStr">
        <is>
          <t>Santé publique</t>
        </is>
      </c>
      <c r="D35" s="23" t="inlineStr">
        <is>
          <t>Médecine communautaire</t>
        </is>
      </c>
      <c r="E35" s="23" t="inlineStr">
        <is>
          <t>Hygiène hospitalière</t>
        </is>
      </c>
      <c r="F35" s="18" t="n"/>
      <c r="G35" s="19" t="n"/>
      <c r="H35" s="20">
        <f>IF($G35="",1,IF($G35=0,1,IF($G35=1,3,IF($G35=2,7,IF($G35=3,14,IF($G35=4,30,60))))))</f>
        <v/>
      </c>
      <c r="I35" s="21">
        <f>IF($F35="","",$F35+$H35)</f>
        <v/>
      </c>
      <c r="J35">
        <f>IF($F35="","⚪ NEW",IF($G35&gt;=5,"✅ DONE",IF($I35&lt;TODAY(),"🔴 OVERDUE",IF($I35=TODAY(),"🟢 TODAY",IF($I35=TODAY()+1,"🔵 TOMORROW",IF($I35&lt;=TODAY()+7,"📅 THIS WEEK","⏳ SCHEDULED"))))))</f>
        <v/>
      </c>
      <c r="K35" s="20">
        <f>IF($F35="",999,IF($G35&gt;=5,9999,IF($I35="",999,$I35-TODAY())))</f>
        <v/>
      </c>
    </row>
    <row r="36">
      <c r="A36" s="22">
        <f>ROW()-2</f>
        <v/>
      </c>
      <c r="B36" s="23" t="inlineStr">
        <is>
          <t>S1</t>
        </is>
      </c>
      <c r="C36" s="23" t="inlineStr">
        <is>
          <t>Santé publique</t>
        </is>
      </c>
      <c r="D36" s="23" t="inlineStr">
        <is>
          <t>Médecine communautaire</t>
        </is>
      </c>
      <c r="E36" s="23" t="inlineStr">
        <is>
          <t>Concepts fondamentaux de santé publique</t>
        </is>
      </c>
      <c r="F36" s="18" t="n"/>
      <c r="G36" s="19" t="n"/>
      <c r="H36" s="20">
        <f>IF($G36="",1,IF($G36=0,1,IF($G36=1,3,IF($G36=2,7,IF($G36=3,14,IF($G36=4,30,60))))))</f>
        <v/>
      </c>
      <c r="I36" s="21">
        <f>IF($F36="","",$F36+$H36)</f>
        <v/>
      </c>
      <c r="J36">
        <f>IF($F36="","⚪ NEW",IF($G36&gt;=5,"✅ DONE",IF($I36&lt;TODAY(),"🔴 OVERDUE",IF($I36=TODAY(),"🟢 TODAY",IF($I36=TODAY()+1,"🔵 TOMORROW",IF($I36&lt;=TODAY()+7,"📅 THIS WEEK","⏳ SCHEDULED"))))))</f>
        <v/>
      </c>
      <c r="K36" s="20">
        <f>IF($F36="",999,IF($G36&gt;=5,9999,IF($I36="",999,$I36-TODAY())))</f>
        <v/>
      </c>
    </row>
    <row r="37">
      <c r="A37" s="22">
        <f>ROW()-2</f>
        <v/>
      </c>
      <c r="B37" s="23" t="inlineStr">
        <is>
          <t>S1</t>
        </is>
      </c>
      <c r="C37" s="23" t="inlineStr">
        <is>
          <t>Santé publique</t>
        </is>
      </c>
      <c r="D37" s="23" t="inlineStr">
        <is>
          <t>Médecine communautaire</t>
        </is>
      </c>
      <c r="E37" s="23" t="inlineStr">
        <is>
          <t>Fonctions de santé publique</t>
        </is>
      </c>
      <c r="F37" s="18" t="n"/>
      <c r="G37" s="19" t="n"/>
      <c r="H37" s="20">
        <f>IF($G37="",1,IF($G37=0,1,IF($G37=1,3,IF($G37=2,7,IF($G37=3,14,IF($G37=4,30,60))))))</f>
        <v/>
      </c>
      <c r="I37" s="21">
        <f>IF($F37="","",$F37+$H37)</f>
        <v/>
      </c>
      <c r="J37">
        <f>IF($F37="","⚪ NEW",IF($G37&gt;=5,"✅ DONE",IF($I37&lt;TODAY(),"🔴 OVERDUE",IF($I37=TODAY(),"🟢 TODAY",IF($I37=TODAY()+1,"🔵 TOMORROW",IF($I37&lt;=TODAY()+7,"📅 THIS WEEK","⏳ SCHEDULED"))))))</f>
        <v/>
      </c>
      <c r="K37" s="20">
        <f>IF($F37="",999,IF($G37&gt;=5,9999,IF($I37="",999,$I37-TODAY())))</f>
        <v/>
      </c>
    </row>
    <row r="38">
      <c r="A38" s="22">
        <f>ROW()-2</f>
        <v/>
      </c>
      <c r="B38" s="23" t="inlineStr">
        <is>
          <t>S1</t>
        </is>
      </c>
      <c r="C38" s="23" t="inlineStr">
        <is>
          <t>Santé publique</t>
        </is>
      </c>
      <c r="D38" s="23" t="inlineStr">
        <is>
          <t>Médecine communautaire</t>
        </is>
      </c>
      <c r="E38" s="23" t="inlineStr">
        <is>
          <t>Indicateurs de santé d'une population</t>
        </is>
      </c>
      <c r="F38" s="18" t="n"/>
      <c r="G38" s="19" t="n"/>
      <c r="H38" s="20">
        <f>IF($G38="",1,IF($G38=0,1,IF($G38=1,3,IF($G38=2,7,IF($G38=3,14,IF($G38=4,30,60))))))</f>
        <v/>
      </c>
      <c r="I38" s="21">
        <f>IF($F38="","",$F38+$H38)</f>
        <v/>
      </c>
      <c r="J38">
        <f>IF($F38="","⚪ NEW",IF($G38&gt;=5,"✅ DONE",IF($I38&lt;TODAY(),"🔴 OVERDUE",IF($I38=TODAY(),"🟢 TODAY",IF($I38=TODAY()+1,"🔵 TOMORROW",IF($I38&lt;=TODAY()+7,"📅 THIS WEEK","⏳ SCHEDULED"))))))</f>
        <v/>
      </c>
      <c r="K38" s="20">
        <f>IF($F38="",999,IF($G38&gt;=5,9999,IF($I38="",999,$I38-TODAY())))</f>
        <v/>
      </c>
    </row>
    <row r="39">
      <c r="A39" s="22">
        <f>ROW()-2</f>
        <v/>
      </c>
      <c r="B39" s="23" t="inlineStr">
        <is>
          <t>S1</t>
        </is>
      </c>
      <c r="C39" s="23" t="inlineStr">
        <is>
          <t>Santé publique</t>
        </is>
      </c>
      <c r="D39" s="23" t="inlineStr">
        <is>
          <t>Médecine communautaire</t>
        </is>
      </c>
      <c r="E39" s="23" t="inlineStr">
        <is>
          <t>Problèmes de santé dans le monde</t>
        </is>
      </c>
      <c r="F39" s="18" t="n"/>
      <c r="G39" s="19" t="n"/>
      <c r="H39" s="20">
        <f>IF($G39="",1,IF($G39=0,1,IF($G39=1,3,IF($G39=2,7,IF($G39=3,14,IF($G39=4,30,60))))))</f>
        <v/>
      </c>
      <c r="I39" s="21">
        <f>IF($F39="","",$F39+$H39)</f>
        <v/>
      </c>
      <c r="J39">
        <f>IF($F39="","⚪ NEW",IF($G39&gt;=5,"✅ DONE",IF($I39&lt;TODAY(),"🔴 OVERDUE",IF($I39=TODAY(),"🟢 TODAY",IF($I39=TODAY()+1,"🔵 TOMORROW",IF($I39&lt;=TODAY()+7,"📅 THIS WEEK","⏳ SCHEDULED"))))))</f>
        <v/>
      </c>
      <c r="K39" s="20">
        <f>IF($F39="",999,IF($G39&gt;=5,9999,IF($I39="",999,$I39-TODAY())))</f>
        <v/>
      </c>
    </row>
    <row r="40">
      <c r="A40" s="22">
        <f>ROW()-2</f>
        <v/>
      </c>
      <c r="B40" s="23" t="inlineStr">
        <is>
          <t>S1</t>
        </is>
      </c>
      <c r="C40" s="23" t="inlineStr">
        <is>
          <t>Santé publique</t>
        </is>
      </c>
      <c r="D40" s="23" t="inlineStr">
        <is>
          <t>Biostatistiques</t>
        </is>
      </c>
      <c r="E40" s="23" t="inlineStr">
        <is>
          <t>Principes de base en biostatistiques</t>
        </is>
      </c>
      <c r="F40" s="18" t="n"/>
      <c r="G40" s="19" t="n"/>
      <c r="H40" s="20">
        <f>IF($G40="",1,IF($G40=0,1,IF($G40=1,3,IF($G40=2,7,IF($G40=3,14,IF($G40=4,30,60))))))</f>
        <v/>
      </c>
      <c r="I40" s="21">
        <f>IF($F40="","",$F40+$H40)</f>
        <v/>
      </c>
      <c r="J40">
        <f>IF($F40="","⚪ NEW",IF($G40&gt;=5,"✅ DONE",IF($I40&lt;TODAY(),"🔴 OVERDUE",IF($I40=TODAY(),"🟢 TODAY",IF($I40=TODAY()+1,"🔵 TOMORROW",IF($I40&lt;=TODAY()+7,"📅 THIS WEEK","⏳ SCHEDULED"))))))</f>
        <v/>
      </c>
      <c r="K40" s="20">
        <f>IF($F40="",999,IF($G40&gt;=5,9999,IF($I40="",999,$I40-TODAY())))</f>
        <v/>
      </c>
    </row>
    <row r="41">
      <c r="A41" s="22">
        <f>ROW()-2</f>
        <v/>
      </c>
      <c r="B41" s="23" t="inlineStr">
        <is>
          <t>S1</t>
        </is>
      </c>
      <c r="C41" s="23" t="inlineStr">
        <is>
          <t>Santé publique</t>
        </is>
      </c>
      <c r="D41" s="23" t="inlineStr">
        <is>
          <t>Biostatistiques</t>
        </is>
      </c>
      <c r="E41" s="23" t="inlineStr">
        <is>
          <t>Présentation des données</t>
        </is>
      </c>
      <c r="F41" s="18" t="n"/>
      <c r="G41" s="19" t="n"/>
      <c r="H41" s="20">
        <f>IF($G41="",1,IF($G41=0,1,IF($G41=1,3,IF($G41=2,7,IF($G41=3,14,IF($G41=4,30,60))))))</f>
        <v/>
      </c>
      <c r="I41" s="21">
        <f>IF($F41="","",$F41+$H41)</f>
        <v/>
      </c>
      <c r="J41">
        <f>IF($F41="","⚪ NEW",IF($G41&gt;=5,"✅ DONE",IF($I41&lt;TODAY(),"🔴 OVERDUE",IF($I41=TODAY(),"🟢 TODAY",IF($I41=TODAY()+1,"🔵 TOMORROW",IF($I41&lt;=TODAY()+7,"📅 THIS WEEK","⏳ SCHEDULED"))))))</f>
        <v/>
      </c>
      <c r="K41" s="20">
        <f>IF($F41="",999,IF($G41&gt;=5,9999,IF($I41="",999,$I41-TODAY())))</f>
        <v/>
      </c>
    </row>
    <row r="42">
      <c r="A42" s="22">
        <f>ROW()-2</f>
        <v/>
      </c>
      <c r="B42" s="23" t="inlineStr">
        <is>
          <t>S1</t>
        </is>
      </c>
      <c r="C42" s="23" t="inlineStr">
        <is>
          <t>Santé publique</t>
        </is>
      </c>
      <c r="D42" s="23" t="inlineStr">
        <is>
          <t>Biostatistiques</t>
        </is>
      </c>
      <c r="E42" s="23" t="inlineStr">
        <is>
          <t>Statistiques descriptives</t>
        </is>
      </c>
      <c r="F42" s="18" t="n"/>
      <c r="G42" s="19" t="n"/>
      <c r="H42" s="20">
        <f>IF($G42="",1,IF($G42=0,1,IF($G42=1,3,IF($G42=2,7,IF($G42=3,14,IF($G42=4,30,60))))))</f>
        <v/>
      </c>
      <c r="I42" s="21">
        <f>IF($F42="","",$F42+$H42)</f>
        <v/>
      </c>
      <c r="J42">
        <f>IF($F42="","⚪ NEW",IF($G42&gt;=5,"✅ DONE",IF($I42&lt;TODAY(),"🔴 OVERDUE",IF($I42=TODAY(),"🟢 TODAY",IF($I42=TODAY()+1,"🔵 TOMORROW",IF($I42&lt;=TODAY()+7,"📅 THIS WEEK","⏳ SCHEDULED"))))))</f>
        <v/>
      </c>
      <c r="K42" s="20">
        <f>IF($F42="",999,IF($G42&gt;=5,9999,IF($I42="",999,$I42-TODAY())))</f>
        <v/>
      </c>
    </row>
    <row r="43">
      <c r="A43" s="22">
        <f>ROW()-2</f>
        <v/>
      </c>
      <c r="B43" s="23" t="inlineStr">
        <is>
          <t>S1</t>
        </is>
      </c>
      <c r="C43" s="23" t="inlineStr">
        <is>
          <t>Santé publique</t>
        </is>
      </c>
      <c r="D43" s="23" t="inlineStr">
        <is>
          <t>Biostatistiques</t>
        </is>
      </c>
      <c r="E43" s="23" t="inlineStr">
        <is>
          <t>Principes de base de l'épidémiologie</t>
        </is>
      </c>
      <c r="F43" s="18" t="n"/>
      <c r="G43" s="19" t="n"/>
      <c r="H43" s="20">
        <f>IF($G43="",1,IF($G43=0,1,IF($G43=1,3,IF($G43=2,7,IF($G43=3,14,IF($G43=4,30,60))))))</f>
        <v/>
      </c>
      <c r="I43" s="21">
        <f>IF($F43="","",$F43+$H43)</f>
        <v/>
      </c>
      <c r="J43">
        <f>IF($F43="","⚪ NEW",IF($G43&gt;=5,"✅ DONE",IF($I43&lt;TODAY(),"🔴 OVERDUE",IF($I43=TODAY(),"🟢 TODAY",IF($I43=TODAY()+1,"🔵 TOMORROW",IF($I43&lt;=TODAY()+7,"📅 THIS WEEK","⏳ SCHEDULED"))))))</f>
        <v/>
      </c>
      <c r="K43" s="20">
        <f>IF($F43="",999,IF($G43&gt;=5,9999,IF($I43="",999,$I43-TODAY())))</f>
        <v/>
      </c>
    </row>
    <row r="44">
      <c r="A44" s="22">
        <f>ROW()-2</f>
        <v/>
      </c>
      <c r="B44" s="23" t="inlineStr">
        <is>
          <t>S1</t>
        </is>
      </c>
      <c r="C44" s="23" t="inlineStr">
        <is>
          <t>Santé publique</t>
        </is>
      </c>
      <c r="D44" s="23" t="inlineStr">
        <is>
          <t>Biostatistiques</t>
        </is>
      </c>
      <c r="E44" s="23" t="inlineStr">
        <is>
          <t>Estimation d'un paramètre</t>
        </is>
      </c>
      <c r="F44" s="18" t="n"/>
      <c r="G44" s="19" t="n"/>
      <c r="H44" s="20">
        <f>IF($G44="",1,IF($G44=0,1,IF($G44=1,3,IF($G44=2,7,IF($G44=3,14,IF($G44=4,30,60))))))</f>
        <v/>
      </c>
      <c r="I44" s="21">
        <f>IF($F44="","",$F44+$H44)</f>
        <v/>
      </c>
      <c r="J44">
        <f>IF($F44="","⚪ NEW",IF($G44&gt;=5,"✅ DONE",IF($I44&lt;TODAY(),"🔴 OVERDUE",IF($I44=TODAY(),"🟢 TODAY",IF($I44=TODAY()+1,"🔵 TOMORROW",IF($I44&lt;=TODAY()+7,"📅 THIS WEEK","⏳ SCHEDULED"))))))</f>
        <v/>
      </c>
      <c r="K44" s="20">
        <f>IF($F44="",999,IF($G44&gt;=5,9999,IF($I44="",999,$I44-TODAY())))</f>
        <v/>
      </c>
    </row>
    <row r="45">
      <c r="A45" s="22">
        <f>ROW()-2</f>
        <v/>
      </c>
      <c r="B45" s="23" t="inlineStr">
        <is>
          <t>S1</t>
        </is>
      </c>
      <c r="C45" s="23" t="inlineStr">
        <is>
          <t>Santé publique</t>
        </is>
      </c>
      <c r="D45" s="23" t="inlineStr">
        <is>
          <t>Biostatistiques</t>
        </is>
      </c>
      <c r="E45" s="23" t="inlineStr">
        <is>
          <t>Principe des tests statistiques</t>
        </is>
      </c>
      <c r="F45" s="18" t="n"/>
      <c r="G45" s="19" t="n"/>
      <c r="H45" s="20">
        <f>IF($G45="",1,IF($G45=0,1,IF($G45=1,3,IF($G45=2,7,IF($G45=3,14,IF($G45=4,30,60))))))</f>
        <v/>
      </c>
      <c r="I45" s="21">
        <f>IF($F45="","",$F45+$H45)</f>
        <v/>
      </c>
      <c r="J45">
        <f>IF($F45="","⚪ NEW",IF($G45&gt;=5,"✅ DONE",IF($I45&lt;TODAY(),"🔴 OVERDUE",IF($I45=TODAY(),"🟢 TODAY",IF($I45=TODAY()+1,"🔵 TOMORROW",IF($I45&lt;=TODAY()+7,"📅 THIS WEEK","⏳ SCHEDULED"))))))</f>
        <v/>
      </c>
      <c r="K45" s="20">
        <f>IF($F45="",999,IF($G45&gt;=5,9999,IF($I45="",999,$I45-TODAY())))</f>
        <v/>
      </c>
    </row>
    <row r="46">
      <c r="A46" s="22">
        <f>ROW()-2</f>
        <v/>
      </c>
      <c r="B46" s="23" t="inlineStr">
        <is>
          <t>S1</t>
        </is>
      </c>
      <c r="C46" s="23" t="inlineStr">
        <is>
          <t>Santé publique</t>
        </is>
      </c>
      <c r="D46" s="23" t="inlineStr">
        <is>
          <t>Biostatistiques</t>
        </is>
      </c>
      <c r="E46" s="23" t="inlineStr">
        <is>
          <t>Les tests d'hypothèses</t>
        </is>
      </c>
      <c r="F46" s="18" t="n"/>
      <c r="G46" s="19" t="n"/>
      <c r="H46" s="20">
        <f>IF($G46="",1,IF($G46=0,1,IF($G46=1,3,IF($G46=2,7,IF($G46=3,14,IF($G46=4,30,60))))))</f>
        <v/>
      </c>
      <c r="I46" s="21">
        <f>IF($F46="","",$F46+$H46)</f>
        <v/>
      </c>
      <c r="J46">
        <f>IF($F46="","⚪ NEW",IF($G46&gt;=5,"✅ DONE",IF($I46&lt;TODAY(),"🔴 OVERDUE",IF($I46=TODAY(),"🟢 TODAY",IF($I46=TODAY()+1,"🔵 TOMORROW",IF($I46&lt;=TODAY()+7,"📅 THIS WEEK","⏳ SCHEDULED"))))))</f>
        <v/>
      </c>
      <c r="K46" s="20">
        <f>IF($F46="",999,IF($G46&gt;=5,9999,IF($I46="",999,$I46-TODAY())))</f>
        <v/>
      </c>
    </row>
    <row r="47">
      <c r="A47" s="24">
        <f>ROW()-2</f>
        <v/>
      </c>
      <c r="B47" s="25" t="inlineStr">
        <is>
          <t>S1</t>
        </is>
      </c>
      <c r="C47" s="25" t="inlineStr">
        <is>
          <t>Biochimie</t>
        </is>
      </c>
      <c r="D47" s="25" t="inlineStr">
        <is>
          <t>Chimie</t>
        </is>
      </c>
      <c r="E47" s="25" t="inlineStr">
        <is>
          <t>Atomistique</t>
        </is>
      </c>
      <c r="F47" s="18" t="n"/>
      <c r="G47" s="19" t="n"/>
      <c r="H47" s="20">
        <f>IF($G47="",1,IF($G47=0,1,IF($G47=1,3,IF($G47=2,7,IF($G47=3,14,IF($G47=4,30,60))))))</f>
        <v/>
      </c>
      <c r="I47" s="21">
        <f>IF($F47="","",$F47+$H47)</f>
        <v/>
      </c>
      <c r="J47">
        <f>IF($F47="","⚪ NEW",IF($G47&gt;=5,"✅ DONE",IF($I47&lt;TODAY(),"🔴 OVERDUE",IF($I47=TODAY(),"🟢 TODAY",IF($I47=TODAY()+1,"🔵 TOMORROW",IF($I47&lt;=TODAY()+7,"📅 THIS WEEK","⏳ SCHEDULED"))))))</f>
        <v/>
      </c>
      <c r="K47" s="20">
        <f>IF($F47="",999,IF($G47&gt;=5,9999,IF($I47="",999,$I47-TODAY())))</f>
        <v/>
      </c>
    </row>
    <row r="48">
      <c r="A48" s="24">
        <f>ROW()-2</f>
        <v/>
      </c>
      <c r="B48" s="25" t="inlineStr">
        <is>
          <t>S1</t>
        </is>
      </c>
      <c r="C48" s="25" t="inlineStr">
        <is>
          <t>Biochimie</t>
        </is>
      </c>
      <c r="D48" s="25" t="inlineStr">
        <is>
          <t>Chimie</t>
        </is>
      </c>
      <c r="E48" s="25" t="inlineStr">
        <is>
          <t>Chimie organique</t>
        </is>
      </c>
      <c r="F48" s="18" t="n"/>
      <c r="G48" s="19" t="n"/>
      <c r="H48" s="20">
        <f>IF($G48="",1,IF($G48=0,1,IF($G48=1,3,IF($G48=2,7,IF($G48=3,14,IF($G48=4,30,60))))))</f>
        <v/>
      </c>
      <c r="I48" s="21">
        <f>IF($F48="","",$F48+$H48)</f>
        <v/>
      </c>
      <c r="J48">
        <f>IF($F48="","⚪ NEW",IF($G48&gt;=5,"✅ DONE",IF($I48&lt;TODAY(),"🔴 OVERDUE",IF($I48=TODAY(),"🟢 TODAY",IF($I48=TODAY()+1,"🔵 TOMORROW",IF($I48&lt;=TODAY()+7,"📅 THIS WEEK","⏳ SCHEDULED"))))))</f>
        <v/>
      </c>
      <c r="K48" s="20">
        <f>IF($F48="",999,IF($G48&gt;=5,9999,IF($I48="",999,$I48-TODAY())))</f>
        <v/>
      </c>
    </row>
    <row r="49">
      <c r="A49" s="24">
        <f>ROW()-2</f>
        <v/>
      </c>
      <c r="B49" s="25" t="inlineStr">
        <is>
          <t>S1</t>
        </is>
      </c>
      <c r="C49" s="25" t="inlineStr">
        <is>
          <t>Biochimie</t>
        </is>
      </c>
      <c r="D49" s="25" t="inlineStr">
        <is>
          <t>Biochimie structurale</t>
        </is>
      </c>
      <c r="E49" s="25" t="inlineStr">
        <is>
          <t>Glucides</t>
        </is>
      </c>
      <c r="F49" s="18" t="n"/>
      <c r="G49" s="19" t="n"/>
      <c r="H49" s="20">
        <f>IF($G49="",1,IF($G49=0,1,IF($G49=1,3,IF($G49=2,7,IF($G49=3,14,IF($G49=4,30,60))))))</f>
        <v/>
      </c>
      <c r="I49" s="21">
        <f>IF($F49="","",$F49+$H49)</f>
        <v/>
      </c>
      <c r="J49">
        <f>IF($F49="","⚪ NEW",IF($G49&gt;=5,"✅ DONE",IF($I49&lt;TODAY(),"🔴 OVERDUE",IF($I49=TODAY(),"🟢 TODAY",IF($I49=TODAY()+1,"🔵 TOMORROW",IF($I49&lt;=TODAY()+7,"📅 THIS WEEK","⏳ SCHEDULED"))))))</f>
        <v/>
      </c>
      <c r="K49" s="20">
        <f>IF($F49="",999,IF($G49&gt;=5,9999,IF($I49="",999,$I49-TODAY())))</f>
        <v/>
      </c>
    </row>
    <row r="50">
      <c r="A50" s="24">
        <f>ROW()-2</f>
        <v/>
      </c>
      <c r="B50" s="25" t="inlineStr">
        <is>
          <t>S1</t>
        </is>
      </c>
      <c r="C50" s="25" t="inlineStr">
        <is>
          <t>Biochimie</t>
        </is>
      </c>
      <c r="D50" s="25" t="inlineStr">
        <is>
          <t>Biochimie structurale</t>
        </is>
      </c>
      <c r="E50" s="25" t="inlineStr">
        <is>
          <t>Lipides</t>
        </is>
      </c>
      <c r="F50" s="18" t="n"/>
      <c r="G50" s="19" t="n"/>
      <c r="H50" s="20">
        <f>IF($G50="",1,IF($G50=0,1,IF($G50=1,3,IF($G50=2,7,IF($G50=3,14,IF($G50=4,30,60))))))</f>
        <v/>
      </c>
      <c r="I50" s="21">
        <f>IF($F50="","",$F50+$H50)</f>
        <v/>
      </c>
      <c r="J50">
        <f>IF($F50="","⚪ NEW",IF($G50&gt;=5,"✅ DONE",IF($I50&lt;TODAY(),"🔴 OVERDUE",IF($I50=TODAY(),"🟢 TODAY",IF($I50=TODAY()+1,"🔵 TOMORROW",IF($I50&lt;=TODAY()+7,"📅 THIS WEEK","⏳ SCHEDULED"))))))</f>
        <v/>
      </c>
      <c r="K50" s="20">
        <f>IF($F50="",999,IF($G50&gt;=5,9999,IF($I50="",999,$I50-TODAY())))</f>
        <v/>
      </c>
    </row>
    <row r="51">
      <c r="A51" s="24">
        <f>ROW()-2</f>
        <v/>
      </c>
      <c r="B51" s="25" t="inlineStr">
        <is>
          <t>S1</t>
        </is>
      </c>
      <c r="C51" s="25" t="inlineStr">
        <is>
          <t>Biochimie</t>
        </is>
      </c>
      <c r="D51" s="25" t="inlineStr">
        <is>
          <t>Biochimie structurale</t>
        </is>
      </c>
      <c r="E51" s="25" t="inlineStr">
        <is>
          <t>Acides aminés</t>
        </is>
      </c>
      <c r="F51" s="18" t="n"/>
      <c r="G51" s="19" t="n"/>
      <c r="H51" s="20">
        <f>IF($G51="",1,IF($G51=0,1,IF($G51=1,3,IF($G51=2,7,IF($G51=3,14,IF($G51=4,30,60))))))</f>
        <v/>
      </c>
      <c r="I51" s="21">
        <f>IF($F51="","",$F51+$H51)</f>
        <v/>
      </c>
      <c r="J51">
        <f>IF($F51="","⚪ NEW",IF($G51&gt;=5,"✅ DONE",IF($I51&lt;TODAY(),"🔴 OVERDUE",IF($I51=TODAY(),"🟢 TODAY",IF($I51=TODAY()+1,"🔵 TOMORROW",IF($I51&lt;=TODAY()+7,"📅 THIS WEEK","⏳ SCHEDULED"))))))</f>
        <v/>
      </c>
      <c r="K51" s="20">
        <f>IF($F51="",999,IF($G51&gt;=5,9999,IF($I51="",999,$I51-TODAY())))</f>
        <v/>
      </c>
    </row>
    <row r="52">
      <c r="A52" s="24">
        <f>ROW()-2</f>
        <v/>
      </c>
      <c r="B52" s="25" t="inlineStr">
        <is>
          <t>S1</t>
        </is>
      </c>
      <c r="C52" s="25" t="inlineStr">
        <is>
          <t>Biochimie</t>
        </is>
      </c>
      <c r="D52" s="25" t="inlineStr">
        <is>
          <t>Biochimie structurale</t>
        </is>
      </c>
      <c r="E52" s="25" t="inlineStr">
        <is>
          <t>Protéines</t>
        </is>
      </c>
      <c r="F52" s="18" t="n"/>
      <c r="G52" s="19" t="n"/>
      <c r="H52" s="20">
        <f>IF($G52="",1,IF($G52=0,1,IF($G52=1,3,IF($G52=2,7,IF($G52=3,14,IF($G52=4,30,60))))))</f>
        <v/>
      </c>
      <c r="I52" s="21">
        <f>IF($F52="","",$F52+$H52)</f>
        <v/>
      </c>
      <c r="J52">
        <f>IF($F52="","⚪ NEW",IF($G52&gt;=5,"✅ DONE",IF($I52&lt;TODAY(),"🔴 OVERDUE",IF($I52=TODAY(),"🟢 TODAY",IF($I52=TODAY()+1,"🔵 TOMORROW",IF($I52&lt;=TODAY()+7,"📅 THIS WEEK","⏳ SCHEDULED"))))))</f>
        <v/>
      </c>
      <c r="K52" s="20">
        <f>IF($F52="",999,IF($G52&gt;=5,9999,IF($I52="",999,$I52-TODAY())))</f>
        <v/>
      </c>
    </row>
    <row r="53">
      <c r="A53" s="24">
        <f>ROW()-2</f>
        <v/>
      </c>
      <c r="B53" s="25" t="inlineStr">
        <is>
          <t>S1</t>
        </is>
      </c>
      <c r="C53" s="25" t="inlineStr">
        <is>
          <t>Biochimie</t>
        </is>
      </c>
      <c r="D53" s="25" t="inlineStr">
        <is>
          <t>Biochimie structurale</t>
        </is>
      </c>
      <c r="E53" s="25" t="inlineStr">
        <is>
          <t>Acides nucléiques</t>
        </is>
      </c>
      <c r="F53" s="18" t="n"/>
      <c r="G53" s="19" t="n"/>
      <c r="H53" s="20">
        <f>IF($G53="",1,IF($G53=0,1,IF($G53=1,3,IF($G53=2,7,IF($G53=3,14,IF($G53=4,30,60))))))</f>
        <v/>
      </c>
      <c r="I53" s="21">
        <f>IF($F53="","",$F53+$H53)</f>
        <v/>
      </c>
      <c r="J53">
        <f>IF($F53="","⚪ NEW",IF($G53&gt;=5,"✅ DONE",IF($I53&lt;TODAY(),"🔴 OVERDUE",IF($I53=TODAY(),"🟢 TODAY",IF($I53=TODAY()+1,"🔵 TOMORROW",IF($I53&lt;=TODAY()+7,"📅 THIS WEEK","⏳ SCHEDULED"))))))</f>
        <v/>
      </c>
      <c r="K53" s="20">
        <f>IF($F53="",999,IF($G53&gt;=5,9999,IF($I53="",999,$I53-TODAY())))</f>
        <v/>
      </c>
    </row>
    <row r="54">
      <c r="A54" s="24">
        <f>ROW()-2</f>
        <v/>
      </c>
      <c r="B54" s="25" t="inlineStr">
        <is>
          <t>S1</t>
        </is>
      </c>
      <c r="C54" s="25" t="inlineStr">
        <is>
          <t>Biochimie</t>
        </is>
      </c>
      <c r="D54" s="25" t="inlineStr">
        <is>
          <t>Biochimie structurale</t>
        </is>
      </c>
      <c r="E54" s="25" t="inlineStr">
        <is>
          <t>Vitamines</t>
        </is>
      </c>
      <c r="F54" s="18" t="n"/>
      <c r="G54" s="19" t="n"/>
      <c r="H54" s="20">
        <f>IF($G54="",1,IF($G54=0,1,IF($G54=1,3,IF($G54=2,7,IF($G54=3,14,IF($G54=4,30,60))))))</f>
        <v/>
      </c>
      <c r="I54" s="21">
        <f>IF($F54="","",$F54+$H54)</f>
        <v/>
      </c>
      <c r="J54">
        <f>IF($F54="","⚪ NEW",IF($G54&gt;=5,"✅ DONE",IF($I54&lt;TODAY(),"🔴 OVERDUE",IF($I54=TODAY(),"🟢 TODAY",IF($I54=TODAY()+1,"🔵 TOMORROW",IF($I54&lt;=TODAY()+7,"📅 THIS WEEK","⏳ SCHEDULED"))))))</f>
        <v/>
      </c>
      <c r="K54" s="20">
        <f>IF($F54="",999,IF($G54&gt;=5,9999,IF($I54="",999,$I54-TODAY())))</f>
        <v/>
      </c>
    </row>
    <row r="55">
      <c r="A55" s="24">
        <f>ROW()-2</f>
        <v/>
      </c>
      <c r="B55" s="25" t="inlineStr">
        <is>
          <t>S1</t>
        </is>
      </c>
      <c r="C55" s="25" t="inlineStr">
        <is>
          <t>Biochimie</t>
        </is>
      </c>
      <c r="D55" s="25" t="inlineStr">
        <is>
          <t>Biochimie métabolique</t>
        </is>
      </c>
      <c r="E55" s="25" t="inlineStr">
        <is>
          <t>Introduction à l'étude des enzymes</t>
        </is>
      </c>
      <c r="F55" s="18" t="n"/>
      <c r="G55" s="19" t="n"/>
      <c r="H55" s="20">
        <f>IF($G55="",1,IF($G55=0,1,IF($G55=1,3,IF($G55=2,7,IF($G55=3,14,IF($G55=4,30,60))))))</f>
        <v/>
      </c>
      <c r="I55" s="21">
        <f>IF($F55="","",$F55+$H55)</f>
        <v/>
      </c>
      <c r="J55">
        <f>IF($F55="","⚪ NEW",IF($G55&gt;=5,"✅ DONE",IF($I55&lt;TODAY(),"🔴 OVERDUE",IF($I55=TODAY(),"🟢 TODAY",IF($I55=TODAY()+1,"🔵 TOMORROW",IF($I55&lt;=TODAY()+7,"📅 THIS WEEK","⏳ SCHEDULED"))))))</f>
        <v/>
      </c>
      <c r="K55" s="20">
        <f>IF($F55="",999,IF($G55&gt;=5,9999,IF($I55="",999,$I55-TODAY())))</f>
        <v/>
      </c>
    </row>
    <row r="56">
      <c r="A56" s="24">
        <f>ROW()-2</f>
        <v/>
      </c>
      <c r="B56" s="25" t="inlineStr">
        <is>
          <t>S1</t>
        </is>
      </c>
      <c r="C56" s="25" t="inlineStr">
        <is>
          <t>Biochimie</t>
        </is>
      </c>
      <c r="D56" s="25" t="inlineStr">
        <is>
          <t>Biochimie métabolique</t>
        </is>
      </c>
      <c r="E56" s="25" t="inlineStr">
        <is>
          <t>La cinétique enzymatique</t>
        </is>
      </c>
      <c r="F56" s="18" t="n"/>
      <c r="G56" s="19" t="n"/>
      <c r="H56" s="20">
        <f>IF($G56="",1,IF($G56=0,1,IF($G56=1,3,IF($G56=2,7,IF($G56=3,14,IF($G56=4,30,60))))))</f>
        <v/>
      </c>
      <c r="I56" s="21">
        <f>IF($F56="","",$F56+$H56)</f>
        <v/>
      </c>
      <c r="J56">
        <f>IF($F56="","⚪ NEW",IF($G56&gt;=5,"✅ DONE",IF($I56&lt;TODAY(),"🔴 OVERDUE",IF($I56=TODAY(),"🟢 TODAY",IF($I56=TODAY()+1,"🔵 TOMORROW",IF($I56&lt;=TODAY()+7,"📅 THIS WEEK","⏳ SCHEDULED"))))))</f>
        <v/>
      </c>
      <c r="K56" s="20">
        <f>IF($F56="",999,IF($G56&gt;=5,9999,IF($I56="",999,$I56-TODAY())))</f>
        <v/>
      </c>
    </row>
    <row r="57">
      <c r="A57" s="24">
        <f>ROW()-2</f>
        <v/>
      </c>
      <c r="B57" s="25" t="inlineStr">
        <is>
          <t>S1</t>
        </is>
      </c>
      <c r="C57" s="25" t="inlineStr">
        <is>
          <t>Biochimie</t>
        </is>
      </c>
      <c r="D57" s="25" t="inlineStr">
        <is>
          <t>Biochimie métabolique</t>
        </is>
      </c>
      <c r="E57" s="25" t="inlineStr">
        <is>
          <t>La régulation de l'activité enzymatique</t>
        </is>
      </c>
      <c r="F57" s="18" t="n"/>
      <c r="G57" s="19" t="n"/>
      <c r="H57" s="20">
        <f>IF($G57="",1,IF($G57=0,1,IF($G57=1,3,IF($G57=2,7,IF($G57=3,14,IF($G57=4,30,60))))))</f>
        <v/>
      </c>
      <c r="I57" s="21">
        <f>IF($F57="","",$F57+$H57)</f>
        <v/>
      </c>
      <c r="J57">
        <f>IF($F57="","⚪ NEW",IF($G57&gt;=5,"✅ DONE",IF($I57&lt;TODAY(),"🔴 OVERDUE",IF($I57=TODAY(),"🟢 TODAY",IF($I57=TODAY()+1,"🔵 TOMORROW",IF($I57&lt;=TODAY()+7,"📅 THIS WEEK","⏳ SCHEDULED"))))))</f>
        <v/>
      </c>
      <c r="K57" s="20">
        <f>IF($F57="",999,IF($G57&gt;=5,9999,IF($I57="",999,$I57-TODAY())))</f>
        <v/>
      </c>
    </row>
    <row r="58">
      <c r="A58" s="24">
        <f>ROW()-2</f>
        <v/>
      </c>
      <c r="B58" s="25" t="inlineStr">
        <is>
          <t>S1</t>
        </is>
      </c>
      <c r="C58" s="25" t="inlineStr">
        <is>
          <t>Biochimie</t>
        </is>
      </c>
      <c r="D58" s="25" t="inlineStr">
        <is>
          <t>Biochimie métabolique</t>
        </is>
      </c>
      <c r="E58" s="25" t="inlineStr">
        <is>
          <t>La glycolyse</t>
        </is>
      </c>
      <c r="F58" s="18" t="n"/>
      <c r="G58" s="19" t="n"/>
      <c r="H58" s="20">
        <f>IF($G58="",1,IF($G58=0,1,IF($G58=1,3,IF($G58=2,7,IF($G58=3,14,IF($G58=4,30,60))))))</f>
        <v/>
      </c>
      <c r="I58" s="21">
        <f>IF($F58="","",$F58+$H58)</f>
        <v/>
      </c>
      <c r="J58">
        <f>IF($F58="","⚪ NEW",IF($G58&gt;=5,"✅ DONE",IF($I58&lt;TODAY(),"🔴 OVERDUE",IF($I58=TODAY(),"🟢 TODAY",IF($I58=TODAY()+1,"🔵 TOMORROW",IF($I58&lt;=TODAY()+7,"📅 THIS WEEK","⏳ SCHEDULED"))))))</f>
        <v/>
      </c>
      <c r="K58" s="20">
        <f>IF($F58="",999,IF($G58&gt;=5,9999,IF($I58="",999,$I58-TODAY())))</f>
        <v/>
      </c>
    </row>
    <row r="59">
      <c r="A59" s="24">
        <f>ROW()-2</f>
        <v/>
      </c>
      <c r="B59" s="25" t="inlineStr">
        <is>
          <t>S1</t>
        </is>
      </c>
      <c r="C59" s="25" t="inlineStr">
        <is>
          <t>Biochimie</t>
        </is>
      </c>
      <c r="D59" s="25" t="inlineStr">
        <is>
          <t>Biochimie métabolique</t>
        </is>
      </c>
      <c r="E59" s="25" t="inlineStr">
        <is>
          <t>La voie des pentoses phosphates (+ fructose et galactose)</t>
        </is>
      </c>
      <c r="F59" s="18" t="n"/>
      <c r="G59" s="19" t="n"/>
      <c r="H59" s="20">
        <f>IF($G59="",1,IF($G59=0,1,IF($G59=1,3,IF($G59=2,7,IF($G59=3,14,IF($G59=4,30,60))))))</f>
        <v/>
      </c>
      <c r="I59" s="21">
        <f>IF($F59="","",$F59+$H59)</f>
        <v/>
      </c>
      <c r="J59">
        <f>IF($F59="","⚪ NEW",IF($G59&gt;=5,"✅ DONE",IF($I59&lt;TODAY(),"🔴 OVERDUE",IF($I59=TODAY(),"🟢 TODAY",IF($I59=TODAY()+1,"🔵 TOMORROW",IF($I59&lt;=TODAY()+7,"📅 THIS WEEK","⏳ SCHEDULED"))))))</f>
        <v/>
      </c>
      <c r="K59" s="20">
        <f>IF($F59="",999,IF($G59&gt;=5,9999,IF($I59="",999,$I59-TODAY())))</f>
        <v/>
      </c>
    </row>
    <row r="60">
      <c r="A60" s="24">
        <f>ROW()-2</f>
        <v/>
      </c>
      <c r="B60" s="25" t="inlineStr">
        <is>
          <t>S1</t>
        </is>
      </c>
      <c r="C60" s="25" t="inlineStr">
        <is>
          <t>Biochimie</t>
        </is>
      </c>
      <c r="D60" s="25" t="inlineStr">
        <is>
          <t>Biochimie métabolique</t>
        </is>
      </c>
      <c r="E60" s="25" t="inlineStr">
        <is>
          <t>La néoglucogenèse</t>
        </is>
      </c>
      <c r="F60" s="18" t="n"/>
      <c r="G60" s="19" t="n"/>
      <c r="H60" s="20">
        <f>IF($G60="",1,IF($G60=0,1,IF($G60=1,3,IF($G60=2,7,IF($G60=3,14,IF($G60=4,30,60))))))</f>
        <v/>
      </c>
      <c r="I60" s="21">
        <f>IF($F60="","",$F60+$H60)</f>
        <v/>
      </c>
      <c r="J60">
        <f>IF($F60="","⚪ NEW",IF($G60&gt;=5,"✅ DONE",IF($I60&lt;TODAY(),"🔴 OVERDUE",IF($I60=TODAY(),"🟢 TODAY",IF($I60=TODAY()+1,"🔵 TOMORROW",IF($I60&lt;=TODAY()+7,"📅 THIS WEEK","⏳ SCHEDULED"))))))</f>
        <v/>
      </c>
      <c r="K60" s="20">
        <f>IF($F60="",999,IF($G60&gt;=5,9999,IF($I60="",999,$I60-TODAY())))</f>
        <v/>
      </c>
    </row>
    <row r="61">
      <c r="A61" s="24">
        <f>ROW()-2</f>
        <v/>
      </c>
      <c r="B61" s="25" t="inlineStr">
        <is>
          <t>S1</t>
        </is>
      </c>
      <c r="C61" s="25" t="inlineStr">
        <is>
          <t>Biochimie</t>
        </is>
      </c>
      <c r="D61" s="25" t="inlineStr">
        <is>
          <t>Biochimie métabolique</t>
        </is>
      </c>
      <c r="E61" s="25" t="inlineStr">
        <is>
          <t>Le cycle de Krebs</t>
        </is>
      </c>
      <c r="F61" s="18" t="n"/>
      <c r="G61" s="19" t="n"/>
      <c r="H61" s="20">
        <f>IF($G61="",1,IF($G61=0,1,IF($G61=1,3,IF($G61=2,7,IF($G61=3,14,IF($G61=4,30,60))))))</f>
        <v/>
      </c>
      <c r="I61" s="21">
        <f>IF($F61="","",$F61+$H61)</f>
        <v/>
      </c>
      <c r="J61">
        <f>IF($F61="","⚪ NEW",IF($G61&gt;=5,"✅ DONE",IF($I61&lt;TODAY(),"🔴 OVERDUE",IF($I61=TODAY(),"🟢 TODAY",IF($I61=TODAY()+1,"🔵 TOMORROW",IF($I61&lt;=TODAY()+7,"📅 THIS WEEK","⏳ SCHEDULED"))))))</f>
        <v/>
      </c>
      <c r="K61" s="20">
        <f>IF($F61="",999,IF($G61&gt;=5,9999,IF($I61="",999,$I61-TODAY())))</f>
        <v/>
      </c>
    </row>
    <row r="62">
      <c r="A62" s="24">
        <f>ROW()-2</f>
        <v/>
      </c>
      <c r="B62" s="25" t="inlineStr">
        <is>
          <t>S1</t>
        </is>
      </c>
      <c r="C62" s="25" t="inlineStr">
        <is>
          <t>Biochimie</t>
        </is>
      </c>
      <c r="D62" s="25" t="inlineStr">
        <is>
          <t>Biochimie métabolique</t>
        </is>
      </c>
      <c r="E62" s="25" t="inlineStr">
        <is>
          <t>Métabolisme du glycogène</t>
        </is>
      </c>
      <c r="F62" s="18" t="n"/>
      <c r="G62" s="19" t="n"/>
      <c r="H62" s="20">
        <f>IF($G62="",1,IF($G62=0,1,IF($G62=1,3,IF($G62=2,7,IF($G62=3,14,IF($G62=4,30,60))))))</f>
        <v/>
      </c>
      <c r="I62" s="21">
        <f>IF($F62="","",$F62+$H62)</f>
        <v/>
      </c>
      <c r="J62">
        <f>IF($F62="","⚪ NEW",IF($G62&gt;=5,"✅ DONE",IF($I62&lt;TODAY(),"🔴 OVERDUE",IF($I62=TODAY(),"🟢 TODAY",IF($I62=TODAY()+1,"🔵 TOMORROW",IF($I62&lt;=TODAY()+7,"📅 THIS WEEK","⏳ SCHEDULED"))))))</f>
        <v/>
      </c>
      <c r="K62" s="20">
        <f>IF($F62="",999,IF($G62&gt;=5,9999,IF($I62="",999,$I62-TODAY())))</f>
        <v/>
      </c>
    </row>
    <row r="63">
      <c r="A63" s="24">
        <f>ROW()-2</f>
        <v/>
      </c>
      <c r="B63" s="25" t="inlineStr">
        <is>
          <t>S1</t>
        </is>
      </c>
      <c r="C63" s="25" t="inlineStr">
        <is>
          <t>Biochimie</t>
        </is>
      </c>
      <c r="D63" s="25" t="inlineStr">
        <is>
          <t>Biochimie métabolique</t>
        </is>
      </c>
      <c r="E63" s="25" t="inlineStr">
        <is>
          <t>La chaîne respiratoire mitochondriale</t>
        </is>
      </c>
      <c r="F63" s="18" t="n"/>
      <c r="G63" s="19" t="n"/>
      <c r="H63" s="20">
        <f>IF($G63="",1,IF($G63=0,1,IF($G63=1,3,IF($G63=2,7,IF($G63=3,14,IF($G63=4,30,60))))))</f>
        <v/>
      </c>
      <c r="I63" s="21">
        <f>IF($F63="","",$F63+$H63)</f>
        <v/>
      </c>
      <c r="J63">
        <f>IF($F63="","⚪ NEW",IF($G63&gt;=5,"✅ DONE",IF($I63&lt;TODAY(),"🔴 OVERDUE",IF($I63=TODAY(),"🟢 TODAY",IF($I63=TODAY()+1,"🔵 TOMORROW",IF($I63&lt;=TODAY()+7,"📅 THIS WEEK","⏳ SCHEDULED"))))))</f>
        <v/>
      </c>
      <c r="K63" s="20">
        <f>IF($F63="",999,IF($G63&gt;=5,9999,IF($I63="",999,$I63-TODAY())))</f>
        <v/>
      </c>
    </row>
    <row r="64">
      <c r="A64" s="24">
        <f>ROW()-2</f>
        <v/>
      </c>
      <c r="B64" s="25" t="inlineStr">
        <is>
          <t>S1</t>
        </is>
      </c>
      <c r="C64" s="25" t="inlineStr">
        <is>
          <t>Biochimie</t>
        </is>
      </c>
      <c r="D64" s="25" t="inlineStr">
        <is>
          <t>Biochimie métabolique</t>
        </is>
      </c>
      <c r="E64" s="25" t="inlineStr">
        <is>
          <t>Voie métabolique des lipides</t>
        </is>
      </c>
      <c r="F64" s="18" t="n"/>
      <c r="G64" s="19" t="n"/>
      <c r="H64" s="20">
        <f>IF($G64="",1,IF($G64=0,1,IF($G64=1,3,IF($G64=2,7,IF($G64=3,14,IF($G64=4,30,60))))))</f>
        <v/>
      </c>
      <c r="I64" s="21">
        <f>IF($F64="","",$F64+$H64)</f>
        <v/>
      </c>
      <c r="J64">
        <f>IF($F64="","⚪ NEW",IF($G64&gt;=5,"✅ DONE",IF($I64&lt;TODAY(),"🔴 OVERDUE",IF($I64=TODAY(),"🟢 TODAY",IF($I64=TODAY()+1,"🔵 TOMORROW",IF($I64&lt;=TODAY()+7,"📅 THIS WEEK","⏳ SCHEDULED"))))))</f>
        <v/>
      </c>
      <c r="K64" s="20">
        <f>IF($F64="",999,IF($G64&gt;=5,9999,IF($I64="",999,$I64-TODAY())))</f>
        <v/>
      </c>
    </row>
    <row r="65">
      <c r="A65" s="24">
        <f>ROW()-2</f>
        <v/>
      </c>
      <c r="B65" s="25" t="inlineStr">
        <is>
          <t>S1</t>
        </is>
      </c>
      <c r="C65" s="25" t="inlineStr">
        <is>
          <t>Biochimie</t>
        </is>
      </c>
      <c r="D65" s="25" t="inlineStr">
        <is>
          <t>Biochimie métabolique</t>
        </is>
      </c>
      <c r="E65" s="25" t="inlineStr">
        <is>
          <t>Voie métabolique des acides aminés</t>
        </is>
      </c>
      <c r="F65" s="18" t="n"/>
      <c r="G65" s="19" t="n"/>
      <c r="H65" s="20">
        <f>IF($G65="",1,IF($G65=0,1,IF($G65=1,3,IF($G65=2,7,IF($G65=3,14,IF($G65=4,30,60))))))</f>
        <v/>
      </c>
      <c r="I65" s="21">
        <f>IF($F65="","",$F65+$H65)</f>
        <v/>
      </c>
      <c r="J65">
        <f>IF($F65="","⚪ NEW",IF($G65&gt;=5,"✅ DONE",IF($I65&lt;TODAY(),"🔴 OVERDUE",IF($I65=TODAY(),"🟢 TODAY",IF($I65=TODAY()+1,"🔵 TOMORROW",IF($I65&lt;=TODAY()+7,"📅 THIS WEEK","⏳ SCHEDULED"))))))</f>
        <v/>
      </c>
      <c r="K65" s="20">
        <f>IF($F65="",999,IF($G65&gt;=5,9999,IF($I65="",999,$I65-TODAY())))</f>
        <v/>
      </c>
    </row>
    <row r="66">
      <c r="A66" s="24">
        <f>ROW()-2</f>
        <v/>
      </c>
      <c r="B66" s="25" t="inlineStr">
        <is>
          <t>S1</t>
        </is>
      </c>
      <c r="C66" s="25" t="inlineStr">
        <is>
          <t>Biochimie</t>
        </is>
      </c>
      <c r="D66" s="25" t="inlineStr">
        <is>
          <t>Biochimie métabolique</t>
        </is>
      </c>
      <c r="E66" s="25" t="inlineStr">
        <is>
          <t>Voie métabolique des corps cétoniques</t>
        </is>
      </c>
      <c r="F66" s="18" t="n"/>
      <c r="G66" s="19" t="n"/>
      <c r="H66" s="20">
        <f>IF($G66="",1,IF($G66=0,1,IF($G66=1,3,IF($G66=2,7,IF($G66=3,14,IF($G66=4,30,60))))))</f>
        <v/>
      </c>
      <c r="I66" s="21">
        <f>IF($F66="","",$F66+$H66)</f>
        <v/>
      </c>
      <c r="J66">
        <f>IF($F66="","⚪ NEW",IF($G66&gt;=5,"✅ DONE",IF($I66&lt;TODAY(),"🔴 OVERDUE",IF($I66=TODAY(),"🟢 TODAY",IF($I66=TODAY()+1,"🔵 TOMORROW",IF($I66&lt;=TODAY()+7,"📅 THIS WEEK","⏳ SCHEDULED"))))))</f>
        <v/>
      </c>
      <c r="K66" s="20">
        <f>IF($F66="",999,IF($G66&gt;=5,9999,IF($I66="",999,$I66-TODAY())))</f>
        <v/>
      </c>
    </row>
    <row r="67">
      <c r="A67" s="24">
        <f>ROW()-2</f>
        <v/>
      </c>
      <c r="B67" s="25" t="inlineStr">
        <is>
          <t>S1</t>
        </is>
      </c>
      <c r="C67" s="25" t="inlineStr">
        <is>
          <t>Biochimie</t>
        </is>
      </c>
      <c r="D67" s="25" t="inlineStr">
        <is>
          <t>Biochimie métabolique</t>
        </is>
      </c>
      <c r="E67" s="25" t="inlineStr">
        <is>
          <t>Voie métabolique du cholestérol</t>
        </is>
      </c>
      <c r="F67" s="18" t="n"/>
      <c r="G67" s="19" t="n"/>
      <c r="H67" s="20">
        <f>IF($G67="",1,IF($G67=0,1,IF($G67=1,3,IF($G67=2,7,IF($G67=3,14,IF($G67=4,30,60))))))</f>
        <v/>
      </c>
      <c r="I67" s="21">
        <f>IF($F67="","",$F67+$H67)</f>
        <v/>
      </c>
      <c r="J67">
        <f>IF($F67="","⚪ NEW",IF($G67&gt;=5,"✅ DONE",IF($I67&lt;TODAY(),"🔴 OVERDUE",IF($I67=TODAY(),"🟢 TODAY",IF($I67=TODAY()+1,"🔵 TOMORROW",IF($I67&lt;=TODAY()+7,"📅 THIS WEEK","⏳ SCHEDULED"))))))</f>
        <v/>
      </c>
      <c r="K67" s="20">
        <f>IF($F67="",999,IF($G67&gt;=5,9999,IF($I67="",999,$I67-TODAY())))</f>
        <v/>
      </c>
    </row>
    <row r="68">
      <c r="A68" s="26">
        <f>ROW()-2</f>
        <v/>
      </c>
      <c r="B68" s="27" t="inlineStr">
        <is>
          <t>S1</t>
        </is>
      </c>
      <c r="C68" s="27" t="inlineStr">
        <is>
          <t>Biologie</t>
        </is>
      </c>
      <c r="D68" s="27" t="inlineStr">
        <is>
          <t>Biologie moléculaire</t>
        </is>
      </c>
      <c r="E68" s="27" t="inlineStr">
        <is>
          <t>L'ADN : structure et fonctions</t>
        </is>
      </c>
      <c r="F68" s="18" t="n"/>
      <c r="G68" s="19" t="n"/>
      <c r="H68" s="20">
        <f>IF($G68="",1,IF($G68=0,1,IF($G68=1,3,IF($G68=2,7,IF($G68=3,14,IF($G68=4,30,60))))))</f>
        <v/>
      </c>
      <c r="I68" s="21">
        <f>IF($F68="","",$F68+$H68)</f>
        <v/>
      </c>
      <c r="J68">
        <f>IF($F68="","⚪ NEW",IF($G68&gt;=5,"✅ DONE",IF($I68&lt;TODAY(),"🔴 OVERDUE",IF($I68=TODAY(),"🟢 TODAY",IF($I68=TODAY()+1,"🔵 TOMORROW",IF($I68&lt;=TODAY()+7,"📅 THIS WEEK","⏳ SCHEDULED"))))))</f>
        <v/>
      </c>
      <c r="K68" s="20">
        <f>IF($F68="",999,IF($G68&gt;=5,9999,IF($I68="",999,$I68-TODAY())))</f>
        <v/>
      </c>
    </row>
    <row r="69">
      <c r="A69" s="26">
        <f>ROW()-2</f>
        <v/>
      </c>
      <c r="B69" s="27" t="inlineStr">
        <is>
          <t>S1</t>
        </is>
      </c>
      <c r="C69" s="27" t="inlineStr">
        <is>
          <t>Biologie</t>
        </is>
      </c>
      <c r="D69" s="27" t="inlineStr">
        <is>
          <t>Biologie moléculaire</t>
        </is>
      </c>
      <c r="E69" s="27" t="inlineStr">
        <is>
          <t>L'ADN des différents êtres vivants</t>
        </is>
      </c>
      <c r="F69" s="18" t="n"/>
      <c r="G69" s="19" t="n"/>
      <c r="H69" s="20">
        <f>IF($G69="",1,IF($G69=0,1,IF($G69=1,3,IF($G69=2,7,IF($G69=3,14,IF($G69=4,30,60))))))</f>
        <v/>
      </c>
      <c r="I69" s="21">
        <f>IF($F69="","",$F69+$H69)</f>
        <v/>
      </c>
      <c r="J69">
        <f>IF($F69="","⚪ NEW",IF($G69&gt;=5,"✅ DONE",IF($I69&lt;TODAY(),"🔴 OVERDUE",IF($I69=TODAY(),"🟢 TODAY",IF($I69=TODAY()+1,"🔵 TOMORROW",IF($I69&lt;=TODAY()+7,"📅 THIS WEEK","⏳ SCHEDULED"))))))</f>
        <v/>
      </c>
      <c r="K69" s="20">
        <f>IF($F69="",999,IF($G69&gt;=5,9999,IF($I69="",999,$I69-TODAY())))</f>
        <v/>
      </c>
    </row>
    <row r="70">
      <c r="A70" s="26">
        <f>ROW()-2</f>
        <v/>
      </c>
      <c r="B70" s="27" t="inlineStr">
        <is>
          <t>S1</t>
        </is>
      </c>
      <c r="C70" s="27" t="inlineStr">
        <is>
          <t>Biologie</t>
        </is>
      </c>
      <c r="D70" s="27" t="inlineStr">
        <is>
          <t>Biologie moléculaire</t>
        </is>
      </c>
      <c r="E70" s="27" t="inlineStr">
        <is>
          <t>La réplication</t>
        </is>
      </c>
      <c r="F70" s="18" t="n"/>
      <c r="G70" s="19" t="n"/>
      <c r="H70" s="20">
        <f>IF($G70="",1,IF($G70=0,1,IF($G70=1,3,IF($G70=2,7,IF($G70=3,14,IF($G70=4,30,60))))))</f>
        <v/>
      </c>
      <c r="I70" s="21">
        <f>IF($F70="","",$F70+$H70)</f>
        <v/>
      </c>
      <c r="J70">
        <f>IF($F70="","⚪ NEW",IF($G70&gt;=5,"✅ DONE",IF($I70&lt;TODAY(),"🔴 OVERDUE",IF($I70=TODAY(),"🟢 TODAY",IF($I70=TODAY()+1,"🔵 TOMORROW",IF($I70&lt;=TODAY()+7,"📅 THIS WEEK","⏳ SCHEDULED"))))))</f>
        <v/>
      </c>
      <c r="K70" s="20">
        <f>IF($F70="",999,IF($G70&gt;=5,9999,IF($I70="",999,$I70-TODAY())))</f>
        <v/>
      </c>
    </row>
    <row r="71">
      <c r="A71" s="26">
        <f>ROW()-2</f>
        <v/>
      </c>
      <c r="B71" s="27" t="inlineStr">
        <is>
          <t>S1</t>
        </is>
      </c>
      <c r="C71" s="27" t="inlineStr">
        <is>
          <t>Biologie</t>
        </is>
      </c>
      <c r="D71" s="27" t="inlineStr">
        <is>
          <t>Biologie moléculaire</t>
        </is>
      </c>
      <c r="E71" s="27" t="inlineStr">
        <is>
          <t>Mutations et réparation de l'ADN</t>
        </is>
      </c>
      <c r="F71" s="18" t="n"/>
      <c r="G71" s="19" t="n"/>
      <c r="H71" s="20">
        <f>IF($G71="",1,IF($G71=0,1,IF($G71=1,3,IF($G71=2,7,IF($G71=3,14,IF($G71=4,30,60))))))</f>
        <v/>
      </c>
      <c r="I71" s="21">
        <f>IF($F71="","",$F71+$H71)</f>
        <v/>
      </c>
      <c r="J71">
        <f>IF($F71="","⚪ NEW",IF($G71&gt;=5,"✅ DONE",IF($I71&lt;TODAY(),"🔴 OVERDUE",IF($I71=TODAY(),"🟢 TODAY",IF($I71=TODAY()+1,"🔵 TOMORROW",IF($I71&lt;=TODAY()+7,"📅 THIS WEEK","⏳ SCHEDULED"))))))</f>
        <v/>
      </c>
      <c r="K71" s="20">
        <f>IF($F71="",999,IF($G71&gt;=5,9999,IF($I71="",999,$I71-TODAY())))</f>
        <v/>
      </c>
    </row>
    <row r="72">
      <c r="A72" s="26">
        <f>ROW()-2</f>
        <v/>
      </c>
      <c r="B72" s="27" t="inlineStr">
        <is>
          <t>S1</t>
        </is>
      </c>
      <c r="C72" s="27" t="inlineStr">
        <is>
          <t>Biologie</t>
        </is>
      </c>
      <c r="D72" s="27" t="inlineStr">
        <is>
          <t>Biologie moléculaire</t>
        </is>
      </c>
      <c r="E72" s="27" t="inlineStr">
        <is>
          <t>Transcription</t>
        </is>
      </c>
      <c r="F72" s="18" t="n"/>
      <c r="G72" s="19" t="n"/>
      <c r="H72" s="20">
        <f>IF($G72="",1,IF($G72=0,1,IF($G72=1,3,IF($G72=2,7,IF($G72=3,14,IF($G72=4,30,60))))))</f>
        <v/>
      </c>
      <c r="I72" s="21">
        <f>IF($F72="","",$F72+$H72)</f>
        <v/>
      </c>
      <c r="J72">
        <f>IF($F72="","⚪ NEW",IF($G72&gt;=5,"✅ DONE",IF($I72&lt;TODAY(),"🔴 OVERDUE",IF($I72=TODAY(),"🟢 TODAY",IF($I72=TODAY()+1,"🔵 TOMORROW",IF($I72&lt;=TODAY()+7,"📅 THIS WEEK","⏳ SCHEDULED"))))))</f>
        <v/>
      </c>
      <c r="K72" s="20">
        <f>IF($F72="",999,IF($G72&gt;=5,9999,IF($I72="",999,$I72-TODAY())))</f>
        <v/>
      </c>
    </row>
    <row r="73">
      <c r="A73" s="26">
        <f>ROW()-2</f>
        <v/>
      </c>
      <c r="B73" s="27" t="inlineStr">
        <is>
          <t>S1</t>
        </is>
      </c>
      <c r="C73" s="27" t="inlineStr">
        <is>
          <t>Biologie</t>
        </is>
      </c>
      <c r="D73" s="27" t="inlineStr">
        <is>
          <t>Biologie moléculaire</t>
        </is>
      </c>
      <c r="E73" s="27" t="inlineStr">
        <is>
          <t>Traduction</t>
        </is>
      </c>
      <c r="F73" s="18" t="n"/>
      <c r="G73" s="19" t="n"/>
      <c r="H73" s="20">
        <f>IF($G73="",1,IF($G73=0,1,IF($G73=1,3,IF($G73=2,7,IF($G73=3,14,IF($G73=4,30,60))))))</f>
        <v/>
      </c>
      <c r="I73" s="21">
        <f>IF($F73="","",$F73+$H73)</f>
        <v/>
      </c>
      <c r="J73">
        <f>IF($F73="","⚪ NEW",IF($G73&gt;=5,"✅ DONE",IF($I73&lt;TODAY(),"🔴 OVERDUE",IF($I73=TODAY(),"🟢 TODAY",IF($I73=TODAY()+1,"🔵 TOMORROW",IF($I73&lt;=TODAY()+7,"📅 THIS WEEK","⏳ SCHEDULED"))))))</f>
        <v/>
      </c>
      <c r="K73" s="20">
        <f>IF($F73="",999,IF($G73&gt;=5,9999,IF($I73="",999,$I73-TODAY())))</f>
        <v/>
      </c>
    </row>
    <row r="74">
      <c r="A74" s="26">
        <f>ROW()-2</f>
        <v/>
      </c>
      <c r="B74" s="27" t="inlineStr">
        <is>
          <t>S1</t>
        </is>
      </c>
      <c r="C74" s="27" t="inlineStr">
        <is>
          <t>Biologie</t>
        </is>
      </c>
      <c r="D74" s="27" t="inlineStr">
        <is>
          <t>Biologie moléculaire</t>
        </is>
      </c>
      <c r="E74" s="27" t="inlineStr">
        <is>
          <t>Génétique et cancers</t>
        </is>
      </c>
      <c r="F74" s="18" t="n"/>
      <c r="G74" s="19" t="n"/>
      <c r="H74" s="20">
        <f>IF($G74="",1,IF($G74=0,1,IF($G74=1,3,IF($G74=2,7,IF($G74=3,14,IF($G74=4,30,60))))))</f>
        <v/>
      </c>
      <c r="I74" s="21">
        <f>IF($F74="","",$F74+$H74)</f>
        <v/>
      </c>
      <c r="J74">
        <f>IF($F74="","⚪ NEW",IF($G74&gt;=5,"✅ DONE",IF($I74&lt;TODAY(),"🔴 OVERDUE",IF($I74=TODAY(),"🟢 TODAY",IF($I74=TODAY()+1,"🔵 TOMORROW",IF($I74&lt;=TODAY()+7,"📅 THIS WEEK","⏳ SCHEDULED"))))))</f>
        <v/>
      </c>
      <c r="K74" s="20">
        <f>IF($F74="",999,IF($G74&gt;=5,9999,IF($I74="",999,$I74-TODAY())))</f>
        <v/>
      </c>
    </row>
    <row r="75">
      <c r="A75" s="26">
        <f>ROW()-2</f>
        <v/>
      </c>
      <c r="B75" s="27" t="inlineStr">
        <is>
          <t>S1</t>
        </is>
      </c>
      <c r="C75" s="27" t="inlineStr">
        <is>
          <t>Biologie</t>
        </is>
      </c>
      <c r="D75" s="27" t="inlineStr">
        <is>
          <t>Biologie moléculaire</t>
        </is>
      </c>
      <c r="E75" s="27" t="inlineStr">
        <is>
          <t>Les outils de biologie moléculaire</t>
        </is>
      </c>
      <c r="F75" s="18" t="n"/>
      <c r="G75" s="19" t="n"/>
      <c r="H75" s="20">
        <f>IF($G75="",1,IF($G75=0,1,IF($G75=1,3,IF($G75=2,7,IF($G75=3,14,IF($G75=4,30,60))))))</f>
        <v/>
      </c>
      <c r="I75" s="21">
        <f>IF($F75="","",$F75+$H75)</f>
        <v/>
      </c>
      <c r="J75">
        <f>IF($F75="","⚪ NEW",IF($G75&gt;=5,"✅ DONE",IF($I75&lt;TODAY(),"🔴 OVERDUE",IF($I75=TODAY(),"🟢 TODAY",IF($I75=TODAY()+1,"🔵 TOMORROW",IF($I75&lt;=TODAY()+7,"📅 THIS WEEK","⏳ SCHEDULED"))))))</f>
        <v/>
      </c>
      <c r="K75" s="20">
        <f>IF($F75="",999,IF($G75&gt;=5,9999,IF($I75="",999,$I75-TODAY())))</f>
        <v/>
      </c>
    </row>
    <row r="76">
      <c r="A76" s="26">
        <f>ROW()-2</f>
        <v/>
      </c>
      <c r="B76" s="27" t="inlineStr">
        <is>
          <t>S1</t>
        </is>
      </c>
      <c r="C76" s="27" t="inlineStr">
        <is>
          <t>Biologie</t>
        </is>
      </c>
      <c r="D76" s="27" t="inlineStr">
        <is>
          <t>Biologie cellulaire</t>
        </is>
      </c>
      <c r="E76" s="27" t="inlineStr">
        <is>
          <t>Introduction à la biologie</t>
        </is>
      </c>
      <c r="F76" s="18" t="n"/>
      <c r="G76" s="19" t="n"/>
      <c r="H76" s="20">
        <f>IF($G76="",1,IF($G76=0,1,IF($G76=1,3,IF($G76=2,7,IF($G76=3,14,IF($G76=4,30,60))))))</f>
        <v/>
      </c>
      <c r="I76" s="21">
        <f>IF($F76="","",$F76+$H76)</f>
        <v/>
      </c>
      <c r="J76">
        <f>IF($F76="","⚪ NEW",IF($G76&gt;=5,"✅ DONE",IF($I76&lt;TODAY(),"🔴 OVERDUE",IF($I76=TODAY(),"🟢 TODAY",IF($I76=TODAY()+1,"🔵 TOMORROW",IF($I76&lt;=TODAY()+7,"📅 THIS WEEK","⏳ SCHEDULED"))))))</f>
        <v/>
      </c>
      <c r="K76" s="20">
        <f>IF($F76="",999,IF($G76&gt;=5,9999,IF($I76="",999,$I76-TODAY())))</f>
        <v/>
      </c>
    </row>
    <row r="77">
      <c r="A77" s="26">
        <f>ROW()-2</f>
        <v/>
      </c>
      <c r="B77" s="27" t="inlineStr">
        <is>
          <t>S1</t>
        </is>
      </c>
      <c r="C77" s="27" t="inlineStr">
        <is>
          <t>Biologie</t>
        </is>
      </c>
      <c r="D77" s="27" t="inlineStr">
        <is>
          <t>Biologie cellulaire</t>
        </is>
      </c>
      <c r="E77" s="27" t="inlineStr">
        <is>
          <t>La membrane cellulaire</t>
        </is>
      </c>
      <c r="F77" s="18" t="n"/>
      <c r="G77" s="19" t="n"/>
      <c r="H77" s="20">
        <f>IF($G77="",1,IF($G77=0,1,IF($G77=1,3,IF($G77=2,7,IF($G77=3,14,IF($G77=4,30,60))))))</f>
        <v/>
      </c>
      <c r="I77" s="21">
        <f>IF($F77="","",$F77+$H77)</f>
        <v/>
      </c>
      <c r="J77">
        <f>IF($F77="","⚪ NEW",IF($G77&gt;=5,"✅ DONE",IF($I77&lt;TODAY(),"🔴 OVERDUE",IF($I77=TODAY(),"🟢 TODAY",IF($I77=TODAY()+1,"🔵 TOMORROW",IF($I77&lt;=TODAY()+7,"📅 THIS WEEK","⏳ SCHEDULED"))))))</f>
        <v/>
      </c>
      <c r="K77" s="20">
        <f>IF($F77="",999,IF($G77&gt;=5,9999,IF($I77="",999,$I77-TODAY())))</f>
        <v/>
      </c>
    </row>
    <row r="78">
      <c r="A78" s="26">
        <f>ROW()-2</f>
        <v/>
      </c>
      <c r="B78" s="27" t="inlineStr">
        <is>
          <t>S1</t>
        </is>
      </c>
      <c r="C78" s="27" t="inlineStr">
        <is>
          <t>Biologie</t>
        </is>
      </c>
      <c r="D78" s="27" t="inlineStr">
        <is>
          <t>Biologie cellulaire</t>
        </is>
      </c>
      <c r="E78" s="27" t="inlineStr">
        <is>
          <t>Transport cellulaire</t>
        </is>
      </c>
      <c r="F78" s="18" t="n"/>
      <c r="G78" s="19" t="n"/>
      <c r="H78" s="20">
        <f>IF($G78="",1,IF($G78=0,1,IF($G78=1,3,IF($G78=2,7,IF($G78=3,14,IF($G78=4,30,60))))))</f>
        <v/>
      </c>
      <c r="I78" s="21">
        <f>IF($F78="","",$F78+$H78)</f>
        <v/>
      </c>
      <c r="J78">
        <f>IF($F78="","⚪ NEW",IF($G78&gt;=5,"✅ DONE",IF($I78&lt;TODAY(),"🔴 OVERDUE",IF($I78=TODAY(),"🟢 TODAY",IF($I78=TODAY()+1,"🔵 TOMORROW",IF($I78&lt;=TODAY()+7,"📅 THIS WEEK","⏳ SCHEDULED"))))))</f>
        <v/>
      </c>
      <c r="K78" s="20">
        <f>IF($F78="",999,IF($G78&gt;=5,9999,IF($I78="",999,$I78-TODAY())))</f>
        <v/>
      </c>
    </row>
    <row r="79">
      <c r="A79" s="26">
        <f>ROW()-2</f>
        <v/>
      </c>
      <c r="B79" s="27" t="inlineStr">
        <is>
          <t>S1</t>
        </is>
      </c>
      <c r="C79" s="27" t="inlineStr">
        <is>
          <t>Biologie</t>
        </is>
      </c>
      <c r="D79" s="27" t="inlineStr">
        <is>
          <t>Biologie cellulaire</t>
        </is>
      </c>
      <c r="E79" s="27" t="inlineStr">
        <is>
          <t>Le cytosquelette</t>
        </is>
      </c>
      <c r="F79" s="18" t="n"/>
      <c r="G79" s="19" t="n"/>
      <c r="H79" s="20">
        <f>IF($G79="",1,IF($G79=0,1,IF($G79=1,3,IF($G79=2,7,IF($G79=3,14,IF($G79=4,30,60))))))</f>
        <v/>
      </c>
      <c r="I79" s="21">
        <f>IF($F79="","",$F79+$H79)</f>
        <v/>
      </c>
      <c r="J79">
        <f>IF($F79="","⚪ NEW",IF($G79&gt;=5,"✅ DONE",IF($I79&lt;TODAY(),"🔴 OVERDUE",IF($I79=TODAY(),"🟢 TODAY",IF($I79=TODAY()+1,"🔵 TOMORROW",IF($I79&lt;=TODAY()+7,"📅 THIS WEEK","⏳ SCHEDULED"))))))</f>
        <v/>
      </c>
      <c r="K79" s="20">
        <f>IF($F79="",999,IF($G79&gt;=5,9999,IF($I79="",999,$I79-TODAY())))</f>
        <v/>
      </c>
    </row>
    <row r="80">
      <c r="A80" s="26">
        <f>ROW()-2</f>
        <v/>
      </c>
      <c r="B80" s="27" t="inlineStr">
        <is>
          <t>S1</t>
        </is>
      </c>
      <c r="C80" s="27" t="inlineStr">
        <is>
          <t>Biologie</t>
        </is>
      </c>
      <c r="D80" s="27" t="inlineStr">
        <is>
          <t>Biologie cellulaire</t>
        </is>
      </c>
      <c r="E80" s="27" t="inlineStr">
        <is>
          <t>Mitochondrie</t>
        </is>
      </c>
      <c r="F80" s="18" t="n"/>
      <c r="G80" s="19" t="n"/>
      <c r="H80" s="20">
        <f>IF($G80="",1,IF($G80=0,1,IF($G80=1,3,IF($G80=2,7,IF($G80=3,14,IF($G80=4,30,60))))))</f>
        <v/>
      </c>
      <c r="I80" s="21">
        <f>IF($F80="","",$F80+$H80)</f>
        <v/>
      </c>
      <c r="J80">
        <f>IF($F80="","⚪ NEW",IF($G80&gt;=5,"✅ DONE",IF($I80&lt;TODAY(),"🔴 OVERDUE",IF($I80=TODAY(),"🟢 TODAY",IF($I80=TODAY()+1,"🔵 TOMORROW",IF($I80&lt;=TODAY()+7,"📅 THIS WEEK","⏳ SCHEDULED"))))))</f>
        <v/>
      </c>
      <c r="K80" s="20">
        <f>IF($F80="",999,IF($G80&gt;=5,9999,IF($I80="",999,$I80-TODAY())))</f>
        <v/>
      </c>
    </row>
    <row r="81">
      <c r="A81" s="26">
        <f>ROW()-2</f>
        <v/>
      </c>
      <c r="B81" s="27" t="inlineStr">
        <is>
          <t>S1</t>
        </is>
      </c>
      <c r="C81" s="27" t="inlineStr">
        <is>
          <t>Biologie</t>
        </is>
      </c>
      <c r="D81" s="27" t="inlineStr">
        <is>
          <t>Biologie cellulaire</t>
        </is>
      </c>
      <c r="E81" s="27" t="inlineStr">
        <is>
          <t>Organites</t>
        </is>
      </c>
      <c r="F81" s="18" t="n"/>
      <c r="G81" s="19" t="n"/>
      <c r="H81" s="20">
        <f>IF($G81="",1,IF($G81=0,1,IF($G81=1,3,IF($G81=2,7,IF($G81=3,14,IF($G81=4,30,60))))))</f>
        <v/>
      </c>
      <c r="I81" s="21">
        <f>IF($F81="","",$F81+$H81)</f>
        <v/>
      </c>
      <c r="J81">
        <f>IF($F81="","⚪ NEW",IF($G81&gt;=5,"✅ DONE",IF($I81&lt;TODAY(),"🔴 OVERDUE",IF($I81=TODAY(),"🟢 TODAY",IF($I81=TODAY()+1,"🔵 TOMORROW",IF($I81&lt;=TODAY()+7,"📅 THIS WEEK","⏳ SCHEDULED"))))))</f>
        <v/>
      </c>
      <c r="K81" s="20">
        <f>IF($F81="",999,IF($G81&gt;=5,9999,IF($I81="",999,$I81-TODAY())))</f>
        <v/>
      </c>
    </row>
    <row r="82">
      <c r="A82" s="26">
        <f>ROW()-2</f>
        <v/>
      </c>
      <c r="B82" s="27" t="inlineStr">
        <is>
          <t>S1</t>
        </is>
      </c>
      <c r="C82" s="27" t="inlineStr">
        <is>
          <t>Biologie</t>
        </is>
      </c>
      <c r="D82" s="27" t="inlineStr">
        <is>
          <t>Biologie cellulaire</t>
        </is>
      </c>
      <c r="E82" s="27" t="inlineStr">
        <is>
          <t>Synthèse des protéines</t>
        </is>
      </c>
      <c r="F82" s="18" t="n"/>
      <c r="G82" s="19" t="n"/>
      <c r="H82" s="20">
        <f>IF($G82="",1,IF($G82=0,1,IF($G82=1,3,IF($G82=2,7,IF($G82=3,14,IF($G82=4,30,60))))))</f>
        <v/>
      </c>
      <c r="I82" s="21">
        <f>IF($F82="","",$F82+$H82)</f>
        <v/>
      </c>
      <c r="J82">
        <f>IF($F82="","⚪ NEW",IF($G82&gt;=5,"✅ DONE",IF($I82&lt;TODAY(),"🔴 OVERDUE",IF($I82=TODAY(),"🟢 TODAY",IF($I82=TODAY()+1,"🔵 TOMORROW",IF($I82&lt;=TODAY()+7,"📅 THIS WEEK","⏳ SCHEDULED"))))))</f>
        <v/>
      </c>
      <c r="K82" s="20">
        <f>IF($F82="",999,IF($G82&gt;=5,9999,IF($I82="",999,$I82-TODAY())))</f>
        <v/>
      </c>
    </row>
    <row r="83">
      <c r="A83" s="26">
        <f>ROW()-2</f>
        <v/>
      </c>
      <c r="B83" s="27" t="inlineStr">
        <is>
          <t>S1</t>
        </is>
      </c>
      <c r="C83" s="27" t="inlineStr">
        <is>
          <t>Biologie</t>
        </is>
      </c>
      <c r="D83" s="27" t="inlineStr">
        <is>
          <t>Biologie cellulaire</t>
        </is>
      </c>
      <c r="E83" s="27" t="inlineStr">
        <is>
          <t>Le noyau</t>
        </is>
      </c>
      <c r="F83" s="18" t="n"/>
      <c r="G83" s="19" t="n"/>
      <c r="H83" s="20">
        <f>IF($G83="",1,IF($G83=0,1,IF($G83=1,3,IF($G83=2,7,IF($G83=3,14,IF($G83=4,30,60))))))</f>
        <v/>
      </c>
      <c r="I83" s="21">
        <f>IF($F83="","",$F83+$H83)</f>
        <v/>
      </c>
      <c r="J83">
        <f>IF($F83="","⚪ NEW",IF($G83&gt;=5,"✅ DONE",IF($I83&lt;TODAY(),"🔴 OVERDUE",IF($I83=TODAY(),"🟢 TODAY",IF($I83=TODAY()+1,"🔵 TOMORROW",IF($I83&lt;=TODAY()+7,"📅 THIS WEEK","⏳ SCHEDULED"))))))</f>
        <v/>
      </c>
      <c r="K83" s="20">
        <f>IF($F83="",999,IF($G83&gt;=5,9999,IF($I83="",999,$I83-TODAY())))</f>
        <v/>
      </c>
    </row>
    <row r="84">
      <c r="A84" s="26">
        <f>ROW()-2</f>
        <v/>
      </c>
      <c r="B84" s="27" t="inlineStr">
        <is>
          <t>S1</t>
        </is>
      </c>
      <c r="C84" s="27" t="inlineStr">
        <is>
          <t>Biologie</t>
        </is>
      </c>
      <c r="D84" s="27" t="inlineStr">
        <is>
          <t>Biologie cellulaire</t>
        </is>
      </c>
      <c r="E84" s="27" t="inlineStr">
        <is>
          <t>Communication cellulaire et signalisation</t>
        </is>
      </c>
      <c r="F84" s="18" t="n"/>
      <c r="G84" s="19" t="n"/>
      <c r="H84" s="20">
        <f>IF($G84="",1,IF($G84=0,1,IF($G84=1,3,IF($G84=2,7,IF($G84=3,14,IF($G84=4,30,60))))))</f>
        <v/>
      </c>
      <c r="I84" s="21">
        <f>IF($F84="","",$F84+$H84)</f>
        <v/>
      </c>
      <c r="J84">
        <f>IF($F84="","⚪ NEW",IF($G84&gt;=5,"✅ DONE",IF($I84&lt;TODAY(),"🔴 OVERDUE",IF($I84=TODAY(),"🟢 TODAY",IF($I84=TODAY()+1,"🔵 TOMORROW",IF($I84&lt;=TODAY()+7,"📅 THIS WEEK","⏳ SCHEDULED"))))))</f>
        <v/>
      </c>
      <c r="K84" s="20">
        <f>IF($F84="",999,IF($G84&gt;=5,9999,IF($I84="",999,$I84-TODAY())))</f>
        <v/>
      </c>
    </row>
    <row r="85">
      <c r="A85" s="26">
        <f>ROW()-2</f>
        <v/>
      </c>
      <c r="B85" s="27" t="inlineStr">
        <is>
          <t>S1</t>
        </is>
      </c>
      <c r="C85" s="27" t="inlineStr">
        <is>
          <t>Biologie</t>
        </is>
      </c>
      <c r="D85" s="27" t="inlineStr">
        <is>
          <t>Biologie cellulaire</t>
        </is>
      </c>
      <c r="E85" s="27" t="inlineStr">
        <is>
          <t>Apoptose et nécrose</t>
        </is>
      </c>
      <c r="F85" s="18" t="n"/>
      <c r="G85" s="19" t="n"/>
      <c r="H85" s="20">
        <f>IF($G85="",1,IF($G85=0,1,IF($G85=1,3,IF($G85=2,7,IF($G85=3,14,IF($G85=4,30,60))))))</f>
        <v/>
      </c>
      <c r="I85" s="21">
        <f>IF($F85="","",$F85+$H85)</f>
        <v/>
      </c>
      <c r="J85">
        <f>IF($F85="","⚪ NEW",IF($G85&gt;=5,"✅ DONE",IF($I85&lt;TODAY(),"🔴 OVERDUE",IF($I85=TODAY(),"🟢 TODAY",IF($I85=TODAY()+1,"🔵 TOMORROW",IF($I85&lt;=TODAY()+7,"📅 THIS WEEK","⏳ SCHEDULED"))))))</f>
        <v/>
      </c>
      <c r="K85" s="20">
        <f>IF($F85="",999,IF($G85&gt;=5,9999,IF($I85="",999,$I85-TODAY())))</f>
        <v/>
      </c>
    </row>
    <row r="86">
      <c r="A86" s="26">
        <f>ROW()-2</f>
        <v/>
      </c>
      <c r="B86" s="27" t="inlineStr">
        <is>
          <t>S1</t>
        </is>
      </c>
      <c r="C86" s="27" t="inlineStr">
        <is>
          <t>Biologie</t>
        </is>
      </c>
      <c r="D86" s="27" t="inlineStr">
        <is>
          <t>Biologie cellulaire</t>
        </is>
      </c>
      <c r="E86" s="27" t="inlineStr">
        <is>
          <t>Cellules souches</t>
        </is>
      </c>
      <c r="F86" s="18" t="n"/>
      <c r="G86" s="19" t="n"/>
      <c r="H86" s="20">
        <f>IF($G86="",1,IF($G86=0,1,IF($G86=1,3,IF($G86=2,7,IF($G86=3,14,IF($G86=4,30,60))))))</f>
        <v/>
      </c>
      <c r="I86" s="21">
        <f>IF($F86="","",$F86+$H86)</f>
        <v/>
      </c>
      <c r="J86">
        <f>IF($F86="","⚪ NEW",IF($G86&gt;=5,"✅ DONE",IF($I86&lt;TODAY(),"🔴 OVERDUE",IF($I86=TODAY(),"🟢 TODAY",IF($I86=TODAY()+1,"🔵 TOMORROW",IF($I86&lt;=TODAY()+7,"📅 THIS WEEK","⏳ SCHEDULED"))))))</f>
        <v/>
      </c>
      <c r="K86" s="20">
        <f>IF($F86="",999,IF($G86&gt;=5,9999,IF($I86="",999,$I86-TODAY())))</f>
        <v/>
      </c>
    </row>
    <row r="87">
      <c r="A87" s="26">
        <f>ROW()-2</f>
        <v/>
      </c>
      <c r="B87" s="27" t="inlineStr">
        <is>
          <t>S1</t>
        </is>
      </c>
      <c r="C87" s="27" t="inlineStr">
        <is>
          <t>Biologie</t>
        </is>
      </c>
      <c r="D87" s="27" t="inlineStr">
        <is>
          <t>Génétique</t>
        </is>
      </c>
      <c r="E87" s="27" t="inlineStr">
        <is>
          <t>Génétique chromosomique : types et mécanismes des anomalies chromosomiques</t>
        </is>
      </c>
      <c r="F87" s="18" t="n"/>
      <c r="G87" s="19" t="n"/>
      <c r="H87" s="20">
        <f>IF($G87="",1,IF($G87=0,1,IF($G87=1,3,IF($G87=2,7,IF($G87=3,14,IF($G87=4,30,60))))))</f>
        <v/>
      </c>
      <c r="I87" s="21">
        <f>IF($F87="","",$F87+$H87)</f>
        <v/>
      </c>
      <c r="J87">
        <f>IF($F87="","⚪ NEW",IF($G87&gt;=5,"✅ DONE",IF($I87&lt;TODAY(),"🔴 OVERDUE",IF($I87=TODAY(),"🟢 TODAY",IF($I87=TODAY()+1,"🔵 TOMORROW",IF($I87&lt;=TODAY()+7,"📅 THIS WEEK","⏳ SCHEDULED"))))))</f>
        <v/>
      </c>
      <c r="K87" s="20">
        <f>IF($F87="",999,IF($G87&gt;=5,9999,IF($I87="",999,$I87-TODAY())))</f>
        <v/>
      </c>
    </row>
    <row r="88">
      <c r="A88" s="26">
        <f>ROW()-2</f>
        <v/>
      </c>
      <c r="B88" s="27" t="inlineStr">
        <is>
          <t>S1</t>
        </is>
      </c>
      <c r="C88" s="27" t="inlineStr">
        <is>
          <t>Biologie</t>
        </is>
      </c>
      <c r="D88" s="27" t="inlineStr">
        <is>
          <t>Génétique</t>
        </is>
      </c>
      <c r="E88" s="27" t="inlineStr">
        <is>
          <t>Génétique formelle et modes de transmission</t>
        </is>
      </c>
      <c r="F88" s="18" t="n"/>
      <c r="G88" s="19" t="n"/>
      <c r="H88" s="20">
        <f>IF($G88="",1,IF($G88=0,1,IF($G88=1,3,IF($G88=2,7,IF($G88=3,14,IF($G88=4,30,60))))))</f>
        <v/>
      </c>
      <c r="I88" s="21">
        <f>IF($F88="","",$F88+$H88)</f>
        <v/>
      </c>
      <c r="J88">
        <f>IF($F88="","⚪ NEW",IF($G88&gt;=5,"✅ DONE",IF($I88&lt;TODAY(),"🔴 OVERDUE",IF($I88=TODAY(),"🟢 TODAY",IF($I88=TODAY()+1,"🔵 TOMORROW",IF($I88&lt;=TODAY()+7,"📅 THIS WEEK","⏳ SCHEDULED"))))))</f>
        <v/>
      </c>
      <c r="K88" s="20">
        <f>IF($F88="",999,IF($G88&gt;=5,9999,IF($I88="",999,$I88-TODAY())))</f>
        <v/>
      </c>
    </row>
    <row r="89">
      <c r="A89" s="26">
        <f>ROW()-2</f>
        <v/>
      </c>
      <c r="B89" s="27" t="inlineStr">
        <is>
          <t>S1</t>
        </is>
      </c>
      <c r="C89" s="27" t="inlineStr">
        <is>
          <t>Biologie</t>
        </is>
      </c>
      <c r="D89" s="27" t="inlineStr">
        <is>
          <t>Génétique</t>
        </is>
      </c>
      <c r="E89" s="27" t="inlineStr">
        <is>
          <t>Génétique chromosomique : caryotype</t>
        </is>
      </c>
      <c r="F89" s="18" t="n"/>
      <c r="G89" s="19" t="n"/>
      <c r="H89" s="20">
        <f>IF($G89="",1,IF($G89=0,1,IF($G89=1,3,IF($G89=2,7,IF($G89=3,14,IF($G89=4,30,60))))))</f>
        <v/>
      </c>
      <c r="I89" s="21">
        <f>IF($F89="","",$F89+$H89)</f>
        <v/>
      </c>
      <c r="J89">
        <f>IF($F89="","⚪ NEW",IF($G89&gt;=5,"✅ DONE",IF($I89&lt;TODAY(),"🔴 OVERDUE",IF($I89=TODAY(),"🟢 TODAY",IF($I89=TODAY()+1,"🔵 TOMORROW",IF($I89&lt;=TODAY()+7,"📅 THIS WEEK","⏳ SCHEDULED"))))))</f>
        <v/>
      </c>
      <c r="K89" s="20">
        <f>IF($F89="",999,IF($G89&gt;=5,9999,IF($I89="",999,$I89-TODAY())))</f>
        <v/>
      </c>
    </row>
    <row r="90">
      <c r="A90" s="28">
        <f>ROW()-2</f>
        <v/>
      </c>
      <c r="B90" s="29" t="inlineStr">
        <is>
          <t>S1</t>
        </is>
      </c>
      <c r="C90" s="29" t="inlineStr">
        <is>
          <t>TICE - Recherche médicale et anglais médical</t>
        </is>
      </c>
      <c r="D90" s="29" t="inlineStr"/>
      <c r="E90" s="29" t="inlineStr">
        <is>
          <t>Introduction au TICE</t>
        </is>
      </c>
      <c r="F90" s="18" t="n"/>
      <c r="G90" s="19" t="n"/>
      <c r="H90" s="20">
        <f>IF($G90="",1,IF($G90=0,1,IF($G90=1,3,IF($G90=2,7,IF($G90=3,14,IF($G90=4,30,60))))))</f>
        <v/>
      </c>
      <c r="I90" s="21">
        <f>IF($F90="","",$F90+$H90)</f>
        <v/>
      </c>
      <c r="J90">
        <f>IF($F90="","⚪ NEW",IF($G90&gt;=5,"✅ DONE",IF($I90&lt;TODAY(),"🔴 OVERDUE",IF($I90=TODAY(),"🟢 TODAY",IF($I90=TODAY()+1,"🔵 TOMORROW",IF($I90&lt;=TODAY()+7,"📅 THIS WEEK","⏳ SCHEDULED"))))))</f>
        <v/>
      </c>
      <c r="K90" s="20">
        <f>IF($F90="",999,IF($G90&gt;=5,9999,IF($I90="",999,$I90-TODAY())))</f>
        <v/>
      </c>
    </row>
    <row r="91">
      <c r="A91" s="28">
        <f>ROW()-2</f>
        <v/>
      </c>
      <c r="B91" s="29" t="inlineStr">
        <is>
          <t>S1</t>
        </is>
      </c>
      <c r="C91" s="29" t="inlineStr">
        <is>
          <t>TICE - Recherche médicale et anglais médical</t>
        </is>
      </c>
      <c r="D91" s="29" t="inlineStr"/>
      <c r="E91" s="29" t="inlineStr">
        <is>
          <t>Séances de TD</t>
        </is>
      </c>
      <c r="F91" s="18" t="n"/>
      <c r="G91" s="19" t="n"/>
      <c r="H91" s="20">
        <f>IF($G91="",1,IF($G91=0,1,IF($G91=1,3,IF($G91=2,7,IF($G91=3,14,IF($G91=4,30,60))))))</f>
        <v/>
      </c>
      <c r="I91" s="21">
        <f>IF($F91="","",$F91+$H91)</f>
        <v/>
      </c>
      <c r="J91">
        <f>IF($F91="","⚪ NEW",IF($G91&gt;=5,"✅ DONE",IF($I91&lt;TODAY(),"🔴 OVERDUE",IF($I91=TODAY(),"🟢 TODAY",IF($I91=TODAY()+1,"🔵 TOMORROW",IF($I91&lt;=TODAY()+7,"📅 THIS WEEK","⏳ SCHEDULED"))))))</f>
        <v/>
      </c>
      <c r="K91" s="20">
        <f>IF($F91="",999,IF($G91&gt;=5,9999,IF($I91="",999,$I91-TODAY())))</f>
        <v/>
      </c>
    </row>
    <row r="92">
      <c r="A92" s="28">
        <f>ROW()-2</f>
        <v/>
      </c>
      <c r="B92" s="29" t="inlineStr">
        <is>
          <t>S1</t>
        </is>
      </c>
      <c r="C92" s="29" t="inlineStr">
        <is>
          <t>TICE - Recherche médicale et anglais médical</t>
        </is>
      </c>
      <c r="D92" s="29" t="inlineStr"/>
      <c r="E92" s="29" t="inlineStr">
        <is>
          <t>Intelligence artificielle</t>
        </is>
      </c>
      <c r="F92" s="18" t="n"/>
      <c r="G92" s="19" t="n"/>
      <c r="H92" s="20">
        <f>IF($G92="",1,IF($G92=0,1,IF($G92=1,3,IF($G92=2,7,IF($G92=3,14,IF($G92=4,30,60))))))</f>
        <v/>
      </c>
      <c r="I92" s="21">
        <f>IF($F92="","",$F92+$H92)</f>
        <v/>
      </c>
      <c r="J92">
        <f>IF($F92="","⚪ NEW",IF($G92&gt;=5,"✅ DONE",IF($I92&lt;TODAY(),"🔴 OVERDUE",IF($I92=TODAY(),"🟢 TODAY",IF($I92=TODAY()+1,"🔵 TOMORROW",IF($I92&lt;=TODAY()+7,"📅 THIS WEEK","⏳ SCHEDULED"))))))</f>
        <v/>
      </c>
      <c r="K92" s="20">
        <f>IF($F92="",999,IF($G92&gt;=5,9999,IF($I92="",999,$I92-TODAY())))</f>
        <v/>
      </c>
    </row>
    <row r="93">
      <c r="A93" s="28">
        <f>ROW()-2</f>
        <v/>
      </c>
      <c r="B93" s="29" t="inlineStr">
        <is>
          <t>S1</t>
        </is>
      </c>
      <c r="C93" s="29" t="inlineStr">
        <is>
          <t>TICE - Recherche médicale et anglais médical</t>
        </is>
      </c>
      <c r="D93" s="29" t="inlineStr"/>
      <c r="E93" s="29" t="inlineStr">
        <is>
          <t>Traitement d'images</t>
        </is>
      </c>
      <c r="F93" s="18" t="n"/>
      <c r="G93" s="19" t="n"/>
      <c r="H93" s="20">
        <f>IF($G93="",1,IF($G93=0,1,IF($G93=1,3,IF($G93=2,7,IF($G93=3,14,IF($G93=4,30,60))))))</f>
        <v/>
      </c>
      <c r="I93" s="21">
        <f>IF($F93="","",$F93+$H93)</f>
        <v/>
      </c>
      <c r="J93">
        <f>IF($F93="","⚪ NEW",IF($G93&gt;=5,"✅ DONE",IF($I93&lt;TODAY(),"🔴 OVERDUE",IF($I93=TODAY(),"🟢 TODAY",IF($I93=TODAY()+1,"🔵 TOMORROW",IF($I93&lt;=TODAY()+7,"📅 THIS WEEK","⏳ SCHEDULED"))))))</f>
        <v/>
      </c>
      <c r="K93" s="20">
        <f>IF($F93="",999,IF($G93&gt;=5,9999,IF($I93="",999,$I93-TODAY())))</f>
        <v/>
      </c>
    </row>
    <row r="94">
      <c r="A94" s="28">
        <f>ROW()-2</f>
        <v/>
      </c>
      <c r="B94" s="29" t="inlineStr">
        <is>
          <t>S1</t>
        </is>
      </c>
      <c r="C94" s="29" t="inlineStr">
        <is>
          <t>TICE - Recherche médicale et anglais médical</t>
        </is>
      </c>
      <c r="D94" s="29" t="inlineStr"/>
      <c r="E94" s="29" t="inlineStr">
        <is>
          <t>L'internet des objets</t>
        </is>
      </c>
      <c r="F94" s="18" t="n"/>
      <c r="G94" s="19" t="n"/>
      <c r="H94" s="20">
        <f>IF($G94="",1,IF($G94=0,1,IF($G94=1,3,IF($G94=2,7,IF($G94=3,14,IF($G94=4,30,60))))))</f>
        <v/>
      </c>
      <c r="I94" s="21">
        <f>IF($F94="","",$F94+$H94)</f>
        <v/>
      </c>
      <c r="J94">
        <f>IF($F94="","⚪ NEW",IF($G94&gt;=5,"✅ DONE",IF($I94&lt;TODAY(),"🔴 OVERDUE",IF($I94=TODAY(),"🟢 TODAY",IF($I94=TODAY()+1,"🔵 TOMORROW",IF($I94&lt;=TODAY()+7,"📅 THIS WEEK","⏳ SCHEDULED"))))))</f>
        <v/>
      </c>
      <c r="K94" s="20">
        <f>IF($F94="",999,IF($G94&gt;=5,9999,IF($I94="",999,$I94-TODAY())))</f>
        <v/>
      </c>
    </row>
    <row r="95">
      <c r="A95" s="28">
        <f>ROW()-2</f>
        <v/>
      </c>
      <c r="B95" s="29" t="inlineStr">
        <is>
          <t>S1</t>
        </is>
      </c>
      <c r="C95" s="29" t="inlineStr">
        <is>
          <t>TICE - Recherche médicale et anglais médical</t>
        </is>
      </c>
      <c r="D95" s="29" t="inlineStr"/>
      <c r="E95" s="29" t="inlineStr">
        <is>
          <t>La réalité virtuelle</t>
        </is>
      </c>
      <c r="F95" s="18" t="n"/>
      <c r="G95" s="19" t="n"/>
      <c r="H95" s="20">
        <f>IF($G95="",1,IF($G95=0,1,IF($G95=1,3,IF($G95=2,7,IF($G95=3,14,IF($G95=4,30,60))))))</f>
        <v/>
      </c>
      <c r="I95" s="21">
        <f>IF($F95="","",$F95+$H95)</f>
        <v/>
      </c>
      <c r="J95">
        <f>IF($F95="","⚪ NEW",IF($G95&gt;=5,"✅ DONE",IF($I95&lt;TODAY(),"🔴 OVERDUE",IF($I95=TODAY(),"🟢 TODAY",IF($I95=TODAY()+1,"🔵 TOMORROW",IF($I95&lt;=TODAY()+7,"📅 THIS WEEK","⏳ SCHEDULED"))))))</f>
        <v/>
      </c>
      <c r="K95" s="20">
        <f>IF($F95="",999,IF($G95&gt;=5,9999,IF($I95="",999,$I95-TODAY())))</f>
        <v/>
      </c>
    </row>
    <row r="96">
      <c r="A96" s="28">
        <f>ROW()-2</f>
        <v/>
      </c>
      <c r="B96" s="29" t="inlineStr">
        <is>
          <t>S1</t>
        </is>
      </c>
      <c r="C96" s="29" t="inlineStr">
        <is>
          <t>TICE - Recherche médicale et anglais médical</t>
        </is>
      </c>
      <c r="D96" s="29" t="inlineStr"/>
      <c r="E96" s="29" t="inlineStr">
        <is>
          <t>La télémédecine</t>
        </is>
      </c>
      <c r="F96" s="18" t="n"/>
      <c r="G96" s="19" t="n"/>
      <c r="H96" s="20">
        <f>IF($G96="",1,IF($G96=0,1,IF($G96=1,3,IF($G96=2,7,IF($G96=3,14,IF($G96=4,30,60))))))</f>
        <v/>
      </c>
      <c r="I96" s="21">
        <f>IF($F96="","",$F96+$H96)</f>
        <v/>
      </c>
      <c r="J96">
        <f>IF($F96="","⚪ NEW",IF($G96&gt;=5,"✅ DONE",IF($I96&lt;TODAY(),"🔴 OVERDUE",IF($I96=TODAY(),"🟢 TODAY",IF($I96=TODAY()+1,"🔵 TOMORROW",IF($I96&lt;=TODAY()+7,"📅 THIS WEEK","⏳ SCHEDULED"))))))</f>
        <v/>
      </c>
      <c r="K96" s="20">
        <f>IF($F96="",999,IF($G96&gt;=5,9999,IF($I96="",999,$I96-TODAY())))</f>
        <v/>
      </c>
    </row>
    <row r="97">
      <c r="A97" s="30">
        <f>ROW()-2</f>
        <v/>
      </c>
      <c r="B97" s="31" t="inlineStr">
        <is>
          <t>S1</t>
        </is>
      </c>
      <c r="C97" s="31" t="inlineStr">
        <is>
          <t>Méthodologie d'apprentissage - Terminologie</t>
        </is>
      </c>
      <c r="D97" s="31" t="inlineStr">
        <is>
          <t>Méthodologie d'apprentissage</t>
        </is>
      </c>
      <c r="E97" s="31" t="inlineStr">
        <is>
          <t>Méthodologies de l'apprentissage en médecine</t>
        </is>
      </c>
      <c r="F97" s="18" t="n"/>
      <c r="G97" s="19" t="n"/>
      <c r="H97" s="20">
        <f>IF($G97="",1,IF($G97=0,1,IF($G97=1,3,IF($G97=2,7,IF($G97=3,14,IF($G97=4,30,60))))))</f>
        <v/>
      </c>
      <c r="I97" s="21">
        <f>IF($F97="","",$F97+$H97)</f>
        <v/>
      </c>
      <c r="J97">
        <f>IF($F97="","⚪ NEW",IF($G97&gt;=5,"✅ DONE",IF($I97&lt;TODAY(),"🔴 OVERDUE",IF($I97=TODAY(),"🟢 TODAY",IF($I97=TODAY()+1,"🔵 TOMORROW",IF($I97&lt;=TODAY()+7,"📅 THIS WEEK","⏳ SCHEDULED"))))))</f>
        <v/>
      </c>
      <c r="K97" s="20">
        <f>IF($F97="",999,IF($G97&gt;=5,9999,IF($I97="",999,$I97-TODAY())))</f>
        <v/>
      </c>
    </row>
    <row r="98">
      <c r="A98" s="30">
        <f>ROW()-2</f>
        <v/>
      </c>
      <c r="B98" s="31" t="inlineStr">
        <is>
          <t>S1</t>
        </is>
      </c>
      <c r="C98" s="31" t="inlineStr">
        <is>
          <t>Méthodologie d'apprentissage - Terminologie</t>
        </is>
      </c>
      <c r="D98" s="31" t="inlineStr">
        <is>
          <t>Méthodologie d'apprentissage</t>
        </is>
      </c>
      <c r="E98" s="31" t="inlineStr">
        <is>
          <t>Gestion du temps et outils d'apprentissage</t>
        </is>
      </c>
      <c r="F98" s="18" t="n"/>
      <c r="G98" s="19" t="n"/>
      <c r="H98" s="20">
        <f>IF($G98="",1,IF($G98=0,1,IF($G98=1,3,IF($G98=2,7,IF($G98=3,14,IF($G98=4,30,60))))))</f>
        <v/>
      </c>
      <c r="I98" s="21">
        <f>IF($F98="","",$F98+$H98)</f>
        <v/>
      </c>
      <c r="J98">
        <f>IF($F98="","⚪ NEW",IF($G98&gt;=5,"✅ DONE",IF($I98&lt;TODAY(),"🔴 OVERDUE",IF($I98=TODAY(),"🟢 TODAY",IF($I98=TODAY()+1,"🔵 TOMORROW",IF($I98&lt;=TODAY()+7,"📅 THIS WEEK","⏳ SCHEDULED"))))))</f>
        <v/>
      </c>
      <c r="K98" s="20">
        <f>IF($F98="",999,IF($G98&gt;=5,9999,IF($I98="",999,$I98-TODAY())))</f>
        <v/>
      </c>
    </row>
    <row r="99">
      <c r="A99" s="30">
        <f>ROW()-2</f>
        <v/>
      </c>
      <c r="B99" s="31" t="inlineStr">
        <is>
          <t>S1</t>
        </is>
      </c>
      <c r="C99" s="31" t="inlineStr">
        <is>
          <t>Méthodologie d'apprentissage - Terminologie</t>
        </is>
      </c>
      <c r="D99" s="31" t="inlineStr">
        <is>
          <t>Méthodologie d'apprentissage</t>
        </is>
      </c>
      <c r="E99" s="31" t="inlineStr">
        <is>
          <t>Mémorisation et concentration</t>
        </is>
      </c>
      <c r="F99" s="18" t="n"/>
      <c r="G99" s="19" t="n"/>
      <c r="H99" s="20">
        <f>IF($G99="",1,IF($G99=0,1,IF($G99=1,3,IF($G99=2,7,IF($G99=3,14,IF($G99=4,30,60))))))</f>
        <v/>
      </c>
      <c r="I99" s="21">
        <f>IF($F99="","",$F99+$H99)</f>
        <v/>
      </c>
      <c r="J99">
        <f>IF($F99="","⚪ NEW",IF($G99&gt;=5,"✅ DONE",IF($I99&lt;TODAY(),"🔴 OVERDUE",IF($I99=TODAY(),"🟢 TODAY",IF($I99=TODAY()+1,"🔵 TOMORROW",IF($I99&lt;=TODAY()+7,"📅 THIS WEEK","⏳ SCHEDULED"))))))</f>
        <v/>
      </c>
      <c r="K99" s="20">
        <f>IF($F99="",999,IF($G99&gt;=5,9999,IF($I99="",999,$I99-TODAY())))</f>
        <v/>
      </c>
    </row>
    <row r="100">
      <c r="A100" s="30">
        <f>ROW()-2</f>
        <v/>
      </c>
      <c r="B100" s="31" t="inlineStr">
        <is>
          <t>S1</t>
        </is>
      </c>
      <c r="C100" s="31" t="inlineStr">
        <is>
          <t>Méthodologie d'apprentissage - Terminologie</t>
        </is>
      </c>
      <c r="D100" s="31" t="inlineStr">
        <is>
          <t>Terminologie</t>
        </is>
      </c>
      <c r="E100" s="31" t="inlineStr">
        <is>
          <t>Terminologie médicale (préfixe, suffixe, racine)</t>
        </is>
      </c>
      <c r="F100" s="18" t="n"/>
      <c r="G100" s="19" t="n"/>
      <c r="H100" s="20">
        <f>IF($G100="",1,IF($G100=0,1,IF($G100=1,3,IF($G100=2,7,IF($G100=3,14,IF($G100=4,30,60))))))</f>
        <v/>
      </c>
      <c r="I100" s="21">
        <f>IF($F100="","",$F100+$H100)</f>
        <v/>
      </c>
      <c r="J100">
        <f>IF($F100="","⚪ NEW",IF($G100&gt;=5,"✅ DONE",IF($I100&lt;TODAY(),"🔴 OVERDUE",IF($I100=TODAY(),"🟢 TODAY",IF($I100=TODAY()+1,"🔵 TOMORROW",IF($I100&lt;=TODAY()+7,"📅 THIS WEEK","⏳ SCHEDULED"))))))</f>
        <v/>
      </c>
      <c r="K100" s="20">
        <f>IF($F100="",999,IF($G100&gt;=5,9999,IF($I100="",999,$I100-TODAY())))</f>
        <v/>
      </c>
    </row>
    <row r="101">
      <c r="A101" s="30">
        <f>ROW()-2</f>
        <v/>
      </c>
      <c r="B101" s="31" t="inlineStr">
        <is>
          <t>S1</t>
        </is>
      </c>
      <c r="C101" s="31" t="inlineStr">
        <is>
          <t>Méthodologie d'apprentissage - Terminologie</t>
        </is>
      </c>
      <c r="D101" s="31" t="inlineStr">
        <is>
          <t>Terminologie</t>
        </is>
      </c>
      <c r="E101" s="31" t="inlineStr">
        <is>
          <t>Terminologie spécifique maxillo-faciale</t>
        </is>
      </c>
      <c r="F101" s="18" t="n"/>
      <c r="G101" s="19" t="n"/>
      <c r="H101" s="20">
        <f>IF($G101="",1,IF($G101=0,1,IF($G101=1,3,IF($G101=2,7,IF($G101=3,14,IF($G101=4,30,60))))))</f>
        <v/>
      </c>
      <c r="I101" s="21">
        <f>IF($F101="","",$F101+$H101)</f>
        <v/>
      </c>
      <c r="J101">
        <f>IF($F101="","⚪ NEW",IF($G101&gt;=5,"✅ DONE",IF($I101&lt;TODAY(),"🔴 OVERDUE",IF($I101=TODAY(),"🟢 TODAY",IF($I101=TODAY()+1,"🔵 TOMORROW",IF($I101&lt;=TODAY()+7,"📅 THIS WEEK","⏳ SCHEDULED"))))))</f>
        <v/>
      </c>
      <c r="K101" s="20">
        <f>IF($F101="",999,IF($G101&gt;=5,9999,IF($I101="",999,$I101-TODAY())))</f>
        <v/>
      </c>
    </row>
    <row r="102">
      <c r="A102" s="30">
        <f>ROW()-2</f>
        <v/>
      </c>
      <c r="B102" s="31" t="inlineStr">
        <is>
          <t>S1</t>
        </is>
      </c>
      <c r="C102" s="31" t="inlineStr">
        <is>
          <t>Méthodologie d'apprentissage - Terminologie</t>
        </is>
      </c>
      <c r="D102" s="31" t="inlineStr">
        <is>
          <t>Terminologie</t>
        </is>
      </c>
      <c r="E102" s="31" t="inlineStr">
        <is>
          <t>Terminologie spécifique ORL</t>
        </is>
      </c>
      <c r="F102" s="18" t="n"/>
      <c r="G102" s="19" t="n"/>
      <c r="H102" s="20">
        <f>IF($G102="",1,IF($G102=0,1,IF($G102=1,3,IF($G102=2,7,IF($G102=3,14,IF($G102=4,30,60))))))</f>
        <v/>
      </c>
      <c r="I102" s="21">
        <f>IF($F102="","",$F102+$H102)</f>
        <v/>
      </c>
      <c r="J102">
        <f>IF($F102="","⚪ NEW",IF($G102&gt;=5,"✅ DONE",IF($I102&lt;TODAY(),"🔴 OVERDUE",IF($I102=TODAY(),"🟢 TODAY",IF($I102=TODAY()+1,"🔵 TOMORROW",IF($I102&lt;=TODAY()+7,"📅 THIS WEEK","⏳ SCHEDULED"))))))</f>
        <v/>
      </c>
      <c r="K102" s="20">
        <f>IF($F102="",999,IF($G102&gt;=5,9999,IF($I102="",999,$I102-TODAY())))</f>
        <v/>
      </c>
    </row>
    <row r="103">
      <c r="A103" s="30">
        <f>ROW()-2</f>
        <v/>
      </c>
      <c r="B103" s="31" t="inlineStr">
        <is>
          <t>S1</t>
        </is>
      </c>
      <c r="C103" s="31" t="inlineStr">
        <is>
          <t>Méthodologie d'apprentissage - Terminologie</t>
        </is>
      </c>
      <c r="D103" s="31" t="inlineStr">
        <is>
          <t>Terminologie</t>
        </is>
      </c>
      <c r="E103" s="31" t="inlineStr">
        <is>
          <t>Terminologie de l'appareil locomoteur</t>
        </is>
      </c>
      <c r="F103" s="18" t="n"/>
      <c r="G103" s="19" t="n"/>
      <c r="H103" s="20">
        <f>IF($G103="",1,IF($G103=0,1,IF($G103=1,3,IF($G103=2,7,IF($G103=3,14,IF($G103=4,30,60))))))</f>
        <v/>
      </c>
      <c r="I103" s="21">
        <f>IF($F103="","",$F103+$H103)</f>
        <v/>
      </c>
      <c r="J103">
        <f>IF($F103="","⚪ NEW",IF($G103&gt;=5,"✅ DONE",IF($I103&lt;TODAY(),"🔴 OVERDUE",IF($I103=TODAY(),"🟢 TODAY",IF($I103=TODAY()+1,"🔵 TOMORROW",IF($I103&lt;=TODAY()+7,"📅 THIS WEEK","⏳ SCHEDULED"))))))</f>
        <v/>
      </c>
      <c r="K103" s="20">
        <f>IF($F103="",999,IF($G103&gt;=5,9999,IF($I103="",999,$I103-TODAY())))</f>
        <v/>
      </c>
    </row>
    <row r="104">
      <c r="A104" s="30">
        <f>ROW()-2</f>
        <v/>
      </c>
      <c r="B104" s="31" t="inlineStr">
        <is>
          <t>S1</t>
        </is>
      </c>
      <c r="C104" s="31" t="inlineStr">
        <is>
          <t>Méthodologie d'apprentissage - Terminologie</t>
        </is>
      </c>
      <c r="D104" s="31" t="inlineStr">
        <is>
          <t>Terminologie</t>
        </is>
      </c>
      <c r="E104" s="31" t="inlineStr">
        <is>
          <t>Terminologie radiologique</t>
        </is>
      </c>
      <c r="F104" s="18" t="n"/>
      <c r="G104" s="19" t="n"/>
      <c r="H104" s="20">
        <f>IF($G104="",1,IF($G104=0,1,IF($G104=1,3,IF($G104=2,7,IF($G104=3,14,IF($G104=4,30,60))))))</f>
        <v/>
      </c>
      <c r="I104" s="21">
        <f>IF($F104="","",$F104+$H104)</f>
        <v/>
      </c>
      <c r="J104">
        <f>IF($F104="","⚪ NEW",IF($G104&gt;=5,"✅ DONE",IF($I104&lt;TODAY(),"🔴 OVERDUE",IF($I104=TODAY(),"🟢 TODAY",IF($I104=TODAY()+1,"🔵 TOMORROW",IF($I104&lt;=TODAY()+7,"📅 THIS WEEK","⏳ SCHEDULED"))))))</f>
        <v/>
      </c>
      <c r="K104" s="20">
        <f>IF($F104="",999,IF($G104&gt;=5,9999,IF($I104="",999,$I104-TODAY())))</f>
        <v/>
      </c>
    </row>
    <row r="105">
      <c r="A105" s="30">
        <f>ROW()-2</f>
        <v/>
      </c>
      <c r="B105" s="31" t="inlineStr">
        <is>
          <t>S1</t>
        </is>
      </c>
      <c r="C105" s="31" t="inlineStr">
        <is>
          <t>Méthodologie d'apprentissage - Terminologie</t>
        </is>
      </c>
      <c r="D105" s="31" t="inlineStr">
        <is>
          <t>Terminologie</t>
        </is>
      </c>
      <c r="E105" s="31" t="inlineStr">
        <is>
          <t>Terminologie gynécologique</t>
        </is>
      </c>
      <c r="F105" s="18" t="n"/>
      <c r="G105" s="19" t="n"/>
      <c r="H105" s="20">
        <f>IF($G105="",1,IF($G105=0,1,IF($G105=1,3,IF($G105=2,7,IF($G105=3,14,IF($G105=4,30,60))))))</f>
        <v/>
      </c>
      <c r="I105" s="21">
        <f>IF($F105="","",$F105+$H105)</f>
        <v/>
      </c>
      <c r="J105">
        <f>IF($F105="","⚪ NEW",IF($G105&gt;=5,"✅ DONE",IF($I105&lt;TODAY(),"🔴 OVERDUE",IF($I105=TODAY(),"🟢 TODAY",IF($I105=TODAY()+1,"🔵 TOMORROW",IF($I105&lt;=TODAY()+7,"📅 THIS WEEK","⏳ SCHEDULED"))))))</f>
        <v/>
      </c>
      <c r="K105" s="20">
        <f>IF($F105="",999,IF($G105&gt;=5,9999,IF($I105="",999,$I105-TODAY())))</f>
        <v/>
      </c>
    </row>
    <row r="106">
      <c r="A106" s="30">
        <f>ROW()-2</f>
        <v/>
      </c>
      <c r="B106" s="31" t="inlineStr">
        <is>
          <t>S1</t>
        </is>
      </c>
      <c r="C106" s="31" t="inlineStr">
        <is>
          <t>Méthodologie d'apprentissage - Terminologie</t>
        </is>
      </c>
      <c r="D106" s="31" t="inlineStr">
        <is>
          <t>Terminologie</t>
        </is>
      </c>
      <c r="E106" s="31" t="inlineStr">
        <is>
          <t>Terminologie spécifique de l'appareil respiratoire</t>
        </is>
      </c>
      <c r="F106" s="18" t="n"/>
      <c r="G106" s="19" t="n"/>
      <c r="H106" s="20">
        <f>IF($G106="",1,IF($G106=0,1,IF($G106=1,3,IF($G106=2,7,IF($G106=3,14,IF($G106=4,30,60))))))</f>
        <v/>
      </c>
      <c r="I106" s="21">
        <f>IF($F106="","",$F106+$H106)</f>
        <v/>
      </c>
      <c r="J106">
        <f>IF($F106="","⚪ NEW",IF($G106&gt;=5,"✅ DONE",IF($I106&lt;TODAY(),"🔴 OVERDUE",IF($I106=TODAY(),"🟢 TODAY",IF($I106=TODAY()+1,"🔵 TOMORROW",IF($I106&lt;=TODAY()+7,"📅 THIS WEEK","⏳ SCHEDULED"))))))</f>
        <v/>
      </c>
      <c r="K106" s="20">
        <f>IF($F106="",999,IF($G106&gt;=5,9999,IF($I106="",999,$I106-TODAY())))</f>
        <v/>
      </c>
    </row>
    <row r="107">
      <c r="A107" s="30">
        <f>ROW()-2</f>
        <v/>
      </c>
      <c r="B107" s="31" t="inlineStr">
        <is>
          <t>S1</t>
        </is>
      </c>
      <c r="C107" s="31" t="inlineStr">
        <is>
          <t>Méthodologie d'apprentissage - Terminologie</t>
        </is>
      </c>
      <c r="D107" s="31" t="inlineStr">
        <is>
          <t>Terminologie</t>
        </is>
      </c>
      <c r="E107" s="31" t="inlineStr">
        <is>
          <t>Terminologie spécifique de l'appareil cardio-respiratoire</t>
        </is>
      </c>
      <c r="F107" s="18" t="n"/>
      <c r="G107" s="19" t="n"/>
      <c r="H107" s="20">
        <f>IF($G107="",1,IF($G107=0,1,IF($G107=1,3,IF($G107=2,7,IF($G107=3,14,IF($G107=4,30,60))))))</f>
        <v/>
      </c>
      <c r="I107" s="21">
        <f>IF($F107="","",$F107+$H107)</f>
        <v/>
      </c>
      <c r="J107">
        <f>IF($F107="","⚪ NEW",IF($G107&gt;=5,"✅ DONE",IF($I107&lt;TODAY(),"🔴 OVERDUE",IF($I107=TODAY(),"🟢 TODAY",IF($I107=TODAY()+1,"🔵 TOMORROW",IF($I107&lt;=TODAY()+7,"📅 THIS WEEK","⏳ SCHEDULED"))))))</f>
        <v/>
      </c>
      <c r="K107" s="20">
        <f>IF($F107="",999,IF($G107&gt;=5,9999,IF($I107="",999,$I107-TODAY())))</f>
        <v/>
      </c>
    </row>
    <row r="108">
      <c r="A108" s="32">
        <f>ROW()-2</f>
        <v/>
      </c>
      <c r="B108" s="33" t="inlineStr">
        <is>
          <t>S2</t>
        </is>
      </c>
      <c r="C108" s="33" t="inlineStr">
        <is>
          <t>Anatomie II</t>
        </is>
      </c>
      <c r="D108" s="33" t="inlineStr"/>
      <c r="E108" s="33" t="inlineStr">
        <is>
          <t>Anatomie de la cavité abdominale</t>
        </is>
      </c>
      <c r="F108" s="18" t="n"/>
      <c r="G108" s="19" t="n"/>
      <c r="H108" s="20">
        <f>IF($G108="",1,IF($G108=0,1,IF($G108=1,3,IF($G108=2,7,IF($G108=3,14,IF($G108=4,30,60))))))</f>
        <v/>
      </c>
      <c r="I108" s="21">
        <f>IF($F108="","",$F108+$H108)</f>
        <v/>
      </c>
      <c r="J108">
        <f>IF($F108="","⚪ NEW",IF($G108&gt;=5,"✅ DONE",IF($I108&lt;TODAY(),"🔴 OVERDUE",IF($I108=TODAY(),"🟢 TODAY",IF($I108=TODAY()+1,"🔵 TOMORROW",IF($I108&lt;=TODAY()+7,"📅 THIS WEEK","⏳ SCHEDULED"))))))</f>
        <v/>
      </c>
      <c r="K108" s="20">
        <f>IF($F108="",999,IF($G108&gt;=5,9999,IF($I108="",999,$I108-TODAY())))</f>
        <v/>
      </c>
    </row>
    <row r="109">
      <c r="A109" s="32">
        <f>ROW()-2</f>
        <v/>
      </c>
      <c r="B109" s="33" t="inlineStr">
        <is>
          <t>S2</t>
        </is>
      </c>
      <c r="C109" s="33" t="inlineStr">
        <is>
          <t>Anatomie II</t>
        </is>
      </c>
      <c r="D109" s="33" t="inlineStr"/>
      <c r="E109" s="33" t="inlineStr">
        <is>
          <t>Anatomie de la paroi abdominale</t>
        </is>
      </c>
      <c r="F109" s="18" t="n"/>
      <c r="G109" s="19" t="n"/>
      <c r="H109" s="20">
        <f>IF($G109="",1,IF($G109=0,1,IF($G109=1,3,IF($G109=2,7,IF($G109=3,14,IF($G109=4,30,60))))))</f>
        <v/>
      </c>
      <c r="I109" s="21">
        <f>IF($F109="","",$F109+$H109)</f>
        <v/>
      </c>
      <c r="J109">
        <f>IF($F109="","⚪ NEW",IF($G109&gt;=5,"✅ DONE",IF($I109&lt;TODAY(),"🔴 OVERDUE",IF($I109=TODAY(),"🟢 TODAY",IF($I109=TODAY()+1,"🔵 TOMORROW",IF($I109&lt;=TODAY()+7,"📅 THIS WEEK","⏳ SCHEDULED"))))))</f>
        <v/>
      </c>
      <c r="K109" s="20">
        <f>IF($F109="",999,IF($G109&gt;=5,9999,IF($I109="",999,$I109-TODAY())))</f>
        <v/>
      </c>
    </row>
    <row r="110">
      <c r="A110" s="32">
        <f>ROW()-2</f>
        <v/>
      </c>
      <c r="B110" s="33" t="inlineStr">
        <is>
          <t>S2</t>
        </is>
      </c>
      <c r="C110" s="33" t="inlineStr">
        <is>
          <t>Anatomie II</t>
        </is>
      </c>
      <c r="D110" s="33" t="inlineStr"/>
      <c r="E110" s="33" t="inlineStr">
        <is>
          <t>Anatomie de l'estomac</t>
        </is>
      </c>
      <c r="F110" s="18" t="n"/>
      <c r="G110" s="19" t="n"/>
      <c r="H110" s="20">
        <f>IF($G110="",1,IF($G110=0,1,IF($G110=1,3,IF($G110=2,7,IF($G110=3,14,IF($G110=4,30,60))))))</f>
        <v/>
      </c>
      <c r="I110" s="21">
        <f>IF($F110="","",$F110+$H110)</f>
        <v/>
      </c>
      <c r="J110">
        <f>IF($F110="","⚪ NEW",IF($G110&gt;=5,"✅ DONE",IF($I110&lt;TODAY(),"🔴 OVERDUE",IF($I110=TODAY(),"🟢 TODAY",IF($I110=TODAY()+1,"🔵 TOMORROW",IF($I110&lt;=TODAY()+7,"📅 THIS WEEK","⏳ SCHEDULED"))))))</f>
        <v/>
      </c>
      <c r="K110" s="20">
        <f>IF($F110="",999,IF($G110&gt;=5,9999,IF($I110="",999,$I110-TODAY())))</f>
        <v/>
      </c>
    </row>
    <row r="111">
      <c r="A111" s="32">
        <f>ROW()-2</f>
        <v/>
      </c>
      <c r="B111" s="33" t="inlineStr">
        <is>
          <t>S2</t>
        </is>
      </c>
      <c r="C111" s="33" t="inlineStr">
        <is>
          <t>Anatomie II</t>
        </is>
      </c>
      <c r="D111" s="33" t="inlineStr"/>
      <c r="E111" s="33" t="inlineStr">
        <is>
          <t>Anatomie du colon</t>
        </is>
      </c>
      <c r="F111" s="18" t="n"/>
      <c r="G111" s="19" t="n"/>
      <c r="H111" s="20">
        <f>IF($G111="",1,IF($G111=0,1,IF($G111=1,3,IF($G111=2,7,IF($G111=3,14,IF($G111=4,30,60))))))</f>
        <v/>
      </c>
      <c r="I111" s="21">
        <f>IF($F111="","",$F111+$H111)</f>
        <v/>
      </c>
      <c r="J111">
        <f>IF($F111="","⚪ NEW",IF($G111&gt;=5,"✅ DONE",IF($I111&lt;TODAY(),"🔴 OVERDUE",IF($I111=TODAY(),"🟢 TODAY",IF($I111=TODAY()+1,"🔵 TOMORROW",IF($I111&lt;=TODAY()+7,"📅 THIS WEEK","⏳ SCHEDULED"))))))</f>
        <v/>
      </c>
      <c r="K111" s="20">
        <f>IF($F111="",999,IF($G111&gt;=5,9999,IF($I111="",999,$I111-TODAY())))</f>
        <v/>
      </c>
    </row>
    <row r="112">
      <c r="A112" s="32">
        <f>ROW()-2</f>
        <v/>
      </c>
      <c r="B112" s="33" t="inlineStr">
        <is>
          <t>S2</t>
        </is>
      </c>
      <c r="C112" s="33" t="inlineStr">
        <is>
          <t>Anatomie II</t>
        </is>
      </c>
      <c r="D112" s="33" t="inlineStr"/>
      <c r="E112" s="33" t="inlineStr">
        <is>
          <t>Anatomie du rectum</t>
        </is>
      </c>
      <c r="F112" s="18" t="n"/>
      <c r="G112" s="19" t="n"/>
      <c r="H112" s="20">
        <f>IF($G112="",1,IF($G112=0,1,IF($G112=1,3,IF($G112=2,7,IF($G112=3,14,IF($G112=4,30,60))))))</f>
        <v/>
      </c>
      <c r="I112" s="21">
        <f>IF($F112="","",$F112+$H112)</f>
        <v/>
      </c>
      <c r="J112">
        <f>IF($F112="","⚪ NEW",IF($G112&gt;=5,"✅ DONE",IF($I112&lt;TODAY(),"🔴 OVERDUE",IF($I112=TODAY(),"🟢 TODAY",IF($I112=TODAY()+1,"🔵 TOMORROW",IF($I112&lt;=TODAY()+7,"📅 THIS WEEK","⏳ SCHEDULED"))))))</f>
        <v/>
      </c>
      <c r="K112" s="20">
        <f>IF($F112="",999,IF($G112&gt;=5,9999,IF($I112="",999,$I112-TODAY())))</f>
        <v/>
      </c>
    </row>
    <row r="113">
      <c r="A113" s="32">
        <f>ROW()-2</f>
        <v/>
      </c>
      <c r="B113" s="33" t="inlineStr">
        <is>
          <t>S2</t>
        </is>
      </c>
      <c r="C113" s="33" t="inlineStr">
        <is>
          <t>Anatomie II</t>
        </is>
      </c>
      <c r="D113" s="33" t="inlineStr"/>
      <c r="E113" s="33" t="inlineStr">
        <is>
          <t>Anatomie du jéjunum et de l'iléon</t>
        </is>
      </c>
      <c r="F113" s="18" t="n"/>
      <c r="G113" s="19" t="n"/>
      <c r="H113" s="20">
        <f>IF($G113="",1,IF($G113=0,1,IF($G113=1,3,IF($G113=2,7,IF($G113=3,14,IF($G113=4,30,60))))))</f>
        <v/>
      </c>
      <c r="I113" s="21">
        <f>IF($F113="","",$F113+$H113)</f>
        <v/>
      </c>
      <c r="J113">
        <f>IF($F113="","⚪ NEW",IF($G113&gt;=5,"✅ DONE",IF($I113&lt;TODAY(),"🔴 OVERDUE",IF($I113=TODAY(),"🟢 TODAY",IF($I113=TODAY()+1,"🔵 TOMORROW",IF($I113&lt;=TODAY()+7,"📅 THIS WEEK","⏳ SCHEDULED"))))))</f>
        <v/>
      </c>
      <c r="K113" s="20">
        <f>IF($F113="",999,IF($G113&gt;=5,9999,IF($I113="",999,$I113-TODAY())))</f>
        <v/>
      </c>
    </row>
    <row r="114">
      <c r="A114" s="32">
        <f>ROW()-2</f>
        <v/>
      </c>
      <c r="B114" s="33" t="inlineStr">
        <is>
          <t>S2</t>
        </is>
      </c>
      <c r="C114" s="33" t="inlineStr">
        <is>
          <t>Anatomie II</t>
        </is>
      </c>
      <c r="D114" s="33" t="inlineStr"/>
      <c r="E114" s="33" t="inlineStr">
        <is>
          <t>Anatomie de la rate</t>
        </is>
      </c>
      <c r="F114" s="18" t="n"/>
      <c r="G114" s="19" t="n"/>
      <c r="H114" s="20">
        <f>IF($G114="",1,IF($G114=0,1,IF($G114=1,3,IF($G114=2,7,IF($G114=3,14,IF($G114=4,30,60))))))</f>
        <v/>
      </c>
      <c r="I114" s="21">
        <f>IF($F114="","",$F114+$H114)</f>
        <v/>
      </c>
      <c r="J114">
        <f>IF($F114="","⚪ NEW",IF($G114&gt;=5,"✅ DONE",IF($I114&lt;TODAY(),"🔴 OVERDUE",IF($I114=TODAY(),"🟢 TODAY",IF($I114=TODAY()+1,"🔵 TOMORROW",IF($I114&lt;=TODAY()+7,"📅 THIS WEEK","⏳ SCHEDULED"))))))</f>
        <v/>
      </c>
      <c r="K114" s="20">
        <f>IF($F114="",999,IF($G114&gt;=5,9999,IF($I114="",999,$I114-TODAY())))</f>
        <v/>
      </c>
    </row>
    <row r="115">
      <c r="A115" s="32">
        <f>ROW()-2</f>
        <v/>
      </c>
      <c r="B115" s="33" t="inlineStr">
        <is>
          <t>S2</t>
        </is>
      </c>
      <c r="C115" s="33" t="inlineStr">
        <is>
          <t>Anatomie II</t>
        </is>
      </c>
      <c r="D115" s="33" t="inlineStr"/>
      <c r="E115" s="33" t="inlineStr">
        <is>
          <t>Anatomie du duodénum</t>
        </is>
      </c>
      <c r="F115" s="18" t="n"/>
      <c r="G115" s="19" t="n"/>
      <c r="H115" s="20">
        <f>IF($G115="",1,IF($G115=0,1,IF($G115=1,3,IF($G115=2,7,IF($G115=3,14,IF($G115=4,30,60))))))</f>
        <v/>
      </c>
      <c r="I115" s="21">
        <f>IF($F115="","",$F115+$H115)</f>
        <v/>
      </c>
      <c r="J115">
        <f>IF($F115="","⚪ NEW",IF($G115&gt;=5,"✅ DONE",IF($I115&lt;TODAY(),"🔴 OVERDUE",IF($I115=TODAY(),"🟢 TODAY",IF($I115=TODAY()+1,"🔵 TOMORROW",IF($I115&lt;=TODAY()+7,"📅 THIS WEEK","⏳ SCHEDULED"))))))</f>
        <v/>
      </c>
      <c r="K115" s="20">
        <f>IF($F115="",999,IF($G115&gt;=5,9999,IF($I115="",999,$I115-TODAY())))</f>
        <v/>
      </c>
    </row>
    <row r="116">
      <c r="A116" s="32">
        <f>ROW()-2</f>
        <v/>
      </c>
      <c r="B116" s="33" t="inlineStr">
        <is>
          <t>S2</t>
        </is>
      </c>
      <c r="C116" s="33" t="inlineStr">
        <is>
          <t>Anatomie II</t>
        </is>
      </c>
      <c r="D116" s="33" t="inlineStr"/>
      <c r="E116" s="33" t="inlineStr">
        <is>
          <t>Anatomie du pancréas</t>
        </is>
      </c>
      <c r="F116" s="18" t="n"/>
      <c r="G116" s="19" t="n"/>
      <c r="H116" s="20">
        <f>IF($G116="",1,IF($G116=0,1,IF($G116=1,3,IF($G116=2,7,IF($G116=3,14,IF($G116=4,30,60))))))</f>
        <v/>
      </c>
      <c r="I116" s="21">
        <f>IF($F116="","",$F116+$H116)</f>
        <v/>
      </c>
      <c r="J116">
        <f>IF($F116="","⚪ NEW",IF($G116&gt;=5,"✅ DONE",IF($I116&lt;TODAY(),"🔴 OVERDUE",IF($I116=TODAY(),"🟢 TODAY",IF($I116=TODAY()+1,"🔵 TOMORROW",IF($I116&lt;=TODAY()+7,"📅 THIS WEEK","⏳ SCHEDULED"))))))</f>
        <v/>
      </c>
      <c r="K116" s="20">
        <f>IF($F116="",999,IF($G116&gt;=5,9999,IF($I116="",999,$I116-TODAY())))</f>
        <v/>
      </c>
    </row>
    <row r="117">
      <c r="A117" s="32">
        <f>ROW()-2</f>
        <v/>
      </c>
      <c r="B117" s="33" t="inlineStr">
        <is>
          <t>S2</t>
        </is>
      </c>
      <c r="C117" s="33" t="inlineStr">
        <is>
          <t>Anatomie II</t>
        </is>
      </c>
      <c r="D117" s="33" t="inlineStr"/>
      <c r="E117" s="33" t="inlineStr">
        <is>
          <t>Anatomie du foie</t>
        </is>
      </c>
      <c r="F117" s="18" t="n"/>
      <c r="G117" s="19" t="n"/>
      <c r="H117" s="20">
        <f>IF($G117="",1,IF($G117=0,1,IF($G117=1,3,IF($G117=2,7,IF($G117=3,14,IF($G117=4,30,60))))))</f>
        <v/>
      </c>
      <c r="I117" s="21">
        <f>IF($F117="","",$F117+$H117)</f>
        <v/>
      </c>
      <c r="J117">
        <f>IF($F117="","⚪ NEW",IF($G117&gt;=5,"✅ DONE",IF($I117&lt;TODAY(),"🔴 OVERDUE",IF($I117=TODAY(),"🟢 TODAY",IF($I117=TODAY()+1,"🔵 TOMORROW",IF($I117&lt;=TODAY()+7,"📅 THIS WEEK","⏳ SCHEDULED"))))))</f>
        <v/>
      </c>
      <c r="K117" s="20">
        <f>IF($F117="",999,IF($G117&gt;=5,9999,IF($I117="",999,$I117-TODAY())))</f>
        <v/>
      </c>
    </row>
    <row r="118">
      <c r="A118" s="32">
        <f>ROW()-2</f>
        <v/>
      </c>
      <c r="B118" s="33" t="inlineStr">
        <is>
          <t>S2</t>
        </is>
      </c>
      <c r="C118" s="33" t="inlineStr">
        <is>
          <t>Anatomie II</t>
        </is>
      </c>
      <c r="D118" s="33" t="inlineStr"/>
      <c r="E118" s="33" t="inlineStr">
        <is>
          <t>Anatomie du rein</t>
        </is>
      </c>
      <c r="F118" s="18" t="n"/>
      <c r="G118" s="19" t="n"/>
      <c r="H118" s="20">
        <f>IF($G118="",1,IF($G118=0,1,IF($G118=1,3,IF($G118=2,7,IF($G118=3,14,IF($G118=4,30,60))))))</f>
        <v/>
      </c>
      <c r="I118" s="21">
        <f>IF($F118="","",$F118+$H118)</f>
        <v/>
      </c>
      <c r="J118">
        <f>IF($F118="","⚪ NEW",IF($G118&gt;=5,"✅ DONE",IF($I118&lt;TODAY(),"🔴 OVERDUE",IF($I118=TODAY(),"🟢 TODAY",IF($I118=TODAY()+1,"🔵 TOMORROW",IF($I118&lt;=TODAY()+7,"📅 THIS WEEK","⏳ SCHEDULED"))))))</f>
        <v/>
      </c>
      <c r="K118" s="20">
        <f>IF($F118="",999,IF($G118&gt;=5,9999,IF($I118="",999,$I118-TODAY())))</f>
        <v/>
      </c>
    </row>
    <row r="119">
      <c r="A119" s="32">
        <f>ROW()-2</f>
        <v/>
      </c>
      <c r="B119" s="33" t="inlineStr">
        <is>
          <t>S2</t>
        </is>
      </c>
      <c r="C119" s="33" t="inlineStr">
        <is>
          <t>Anatomie II</t>
        </is>
      </c>
      <c r="D119" s="33" t="inlineStr"/>
      <c r="E119" s="33" t="inlineStr">
        <is>
          <t>Les voies excrétrices urinaires</t>
        </is>
      </c>
      <c r="F119" s="18" t="n"/>
      <c r="G119" s="19" t="n"/>
      <c r="H119" s="20">
        <f>IF($G119="",1,IF($G119=0,1,IF($G119=1,3,IF($G119=2,7,IF($G119=3,14,IF($G119=4,30,60))))))</f>
        <v/>
      </c>
      <c r="I119" s="21">
        <f>IF($F119="","",$F119+$H119)</f>
        <v/>
      </c>
      <c r="J119">
        <f>IF($F119="","⚪ NEW",IF($G119&gt;=5,"✅ DONE",IF($I119&lt;TODAY(),"🔴 OVERDUE",IF($I119=TODAY(),"🟢 TODAY",IF($I119=TODAY()+1,"🔵 TOMORROW",IF($I119&lt;=TODAY()+7,"📅 THIS WEEK","⏳ SCHEDULED"))))))</f>
        <v/>
      </c>
      <c r="K119" s="20">
        <f>IF($F119="",999,IF($G119&gt;=5,9999,IF($I119="",999,$I119-TODAY())))</f>
        <v/>
      </c>
    </row>
    <row r="120">
      <c r="A120" s="32">
        <f>ROW()-2</f>
        <v/>
      </c>
      <c r="B120" s="33" t="inlineStr">
        <is>
          <t>S2</t>
        </is>
      </c>
      <c r="C120" s="33" t="inlineStr">
        <is>
          <t>Anatomie II</t>
        </is>
      </c>
      <c r="D120" s="33" t="inlineStr"/>
      <c r="E120" s="33" t="inlineStr">
        <is>
          <t>Anatomie de l'appareil génital masculin</t>
        </is>
      </c>
      <c r="F120" s="18" t="n"/>
      <c r="G120" s="19" t="n"/>
      <c r="H120" s="20">
        <f>IF($G120="",1,IF($G120=0,1,IF($G120=1,3,IF($G120=2,7,IF($G120=3,14,IF($G120=4,30,60))))))</f>
        <v/>
      </c>
      <c r="I120" s="21">
        <f>IF($F120="","",$F120+$H120)</f>
        <v/>
      </c>
      <c r="J120">
        <f>IF($F120="","⚪ NEW",IF($G120&gt;=5,"✅ DONE",IF($I120&lt;TODAY(),"🔴 OVERDUE",IF($I120=TODAY(),"🟢 TODAY",IF($I120=TODAY()+1,"🔵 TOMORROW",IF($I120&lt;=TODAY()+7,"📅 THIS WEEK","⏳ SCHEDULED"))))))</f>
        <v/>
      </c>
      <c r="K120" s="20">
        <f>IF($F120="",999,IF($G120&gt;=5,9999,IF($I120="",999,$I120-TODAY())))</f>
        <v/>
      </c>
    </row>
    <row r="121">
      <c r="A121" s="32">
        <f>ROW()-2</f>
        <v/>
      </c>
      <c r="B121" s="33" t="inlineStr">
        <is>
          <t>S2</t>
        </is>
      </c>
      <c r="C121" s="33" t="inlineStr">
        <is>
          <t>Anatomie II</t>
        </is>
      </c>
      <c r="D121" s="33" t="inlineStr"/>
      <c r="E121" s="33" t="inlineStr">
        <is>
          <t>Anatomie des glandes surrénales</t>
        </is>
      </c>
      <c r="F121" s="18" t="n"/>
      <c r="G121" s="19" t="n"/>
      <c r="H121" s="20">
        <f>IF($G121="",1,IF($G121=0,1,IF($G121=1,3,IF($G121=2,7,IF($G121=3,14,IF($G121=4,30,60))))))</f>
        <v/>
      </c>
      <c r="I121" s="21">
        <f>IF($F121="","",$F121+$H121)</f>
        <v/>
      </c>
      <c r="J121">
        <f>IF($F121="","⚪ NEW",IF($G121&gt;=5,"✅ DONE",IF($I121&lt;TODAY(),"🔴 OVERDUE",IF($I121=TODAY(),"🟢 TODAY",IF($I121=TODAY()+1,"🔵 TOMORROW",IF($I121&lt;=TODAY()+7,"📅 THIS WEEK","⏳ SCHEDULED"))))))</f>
        <v/>
      </c>
      <c r="K121" s="20">
        <f>IF($F121="",999,IF($G121&gt;=5,9999,IF($I121="",999,$I121-TODAY())))</f>
        <v/>
      </c>
    </row>
    <row r="122">
      <c r="A122" s="32">
        <f>ROW()-2</f>
        <v/>
      </c>
      <c r="B122" s="33" t="inlineStr">
        <is>
          <t>S2</t>
        </is>
      </c>
      <c r="C122" s="33" t="inlineStr">
        <is>
          <t>Anatomie II</t>
        </is>
      </c>
      <c r="D122" s="33" t="inlineStr"/>
      <c r="E122" s="33" t="inlineStr">
        <is>
          <t>Anatomie du sein</t>
        </is>
      </c>
      <c r="F122" s="18" t="n"/>
      <c r="G122" s="19" t="n"/>
      <c r="H122" s="20">
        <f>IF($G122="",1,IF($G122=0,1,IF($G122=1,3,IF($G122=2,7,IF($G122=3,14,IF($G122=4,30,60))))))</f>
        <v/>
      </c>
      <c r="I122" s="21">
        <f>IF($F122="","",$F122+$H122)</f>
        <v/>
      </c>
      <c r="J122">
        <f>IF($F122="","⚪ NEW",IF($G122&gt;=5,"✅ DONE",IF($I122&lt;TODAY(),"🔴 OVERDUE",IF($I122=TODAY(),"🟢 TODAY",IF($I122=TODAY()+1,"🔵 TOMORROW",IF($I122&lt;=TODAY()+7,"📅 THIS WEEK","⏳ SCHEDULED"))))))</f>
        <v/>
      </c>
      <c r="K122" s="20">
        <f>IF($F122="",999,IF($G122&gt;=5,9999,IF($I122="",999,$I122-TODAY())))</f>
        <v/>
      </c>
    </row>
    <row r="123">
      <c r="A123" s="32">
        <f>ROW()-2</f>
        <v/>
      </c>
      <c r="B123" s="33" t="inlineStr">
        <is>
          <t>S2</t>
        </is>
      </c>
      <c r="C123" s="33" t="inlineStr">
        <is>
          <t>Anatomie II</t>
        </is>
      </c>
      <c r="D123" s="33" t="inlineStr"/>
      <c r="E123" s="33" t="inlineStr">
        <is>
          <t>Anatomie de l'utérus</t>
        </is>
      </c>
      <c r="F123" s="18" t="n"/>
      <c r="G123" s="19" t="n"/>
      <c r="H123" s="20">
        <f>IF($G123="",1,IF($G123=0,1,IF($G123=1,3,IF($G123=2,7,IF($G123=3,14,IF($G123=4,30,60))))))</f>
        <v/>
      </c>
      <c r="I123" s="21">
        <f>IF($F123="","",$F123+$H123)</f>
        <v/>
      </c>
      <c r="J123">
        <f>IF($F123="","⚪ NEW",IF($G123&gt;=5,"✅ DONE",IF($I123&lt;TODAY(),"🔴 OVERDUE",IF($I123=TODAY(),"🟢 TODAY",IF($I123=TODAY()+1,"🔵 TOMORROW",IF($I123&lt;=TODAY()+7,"📅 THIS WEEK","⏳ SCHEDULED"))))))</f>
        <v/>
      </c>
      <c r="K123" s="20">
        <f>IF($F123="",999,IF($G123&gt;=5,9999,IF($I123="",999,$I123-TODAY())))</f>
        <v/>
      </c>
    </row>
    <row r="124">
      <c r="A124" s="32">
        <f>ROW()-2</f>
        <v/>
      </c>
      <c r="B124" s="33" t="inlineStr">
        <is>
          <t>S2</t>
        </is>
      </c>
      <c r="C124" s="33" t="inlineStr">
        <is>
          <t>Anatomie II</t>
        </is>
      </c>
      <c r="D124" s="33" t="inlineStr"/>
      <c r="E124" s="33" t="inlineStr">
        <is>
          <t>Anatomie des annexes</t>
        </is>
      </c>
      <c r="F124" s="18" t="n"/>
      <c r="G124" s="19" t="n"/>
      <c r="H124" s="20">
        <f>IF($G124="",1,IF($G124=0,1,IF($G124=1,3,IF($G124=2,7,IF($G124=3,14,IF($G124=4,30,60))))))</f>
        <v/>
      </c>
      <c r="I124" s="21">
        <f>IF($F124="","",$F124+$H124)</f>
        <v/>
      </c>
      <c r="J124">
        <f>IF($F124="","⚪ NEW",IF($G124&gt;=5,"✅ DONE",IF($I124&lt;TODAY(),"🔴 OVERDUE",IF($I124=TODAY(),"🟢 TODAY",IF($I124=TODAY()+1,"🔵 TOMORROW",IF($I124&lt;=TODAY()+7,"📅 THIS WEEK","⏳ SCHEDULED"))))))</f>
        <v/>
      </c>
      <c r="K124" s="20">
        <f>IF($F124="",999,IF($G124&gt;=5,9999,IF($I124="",999,$I124-TODAY())))</f>
        <v/>
      </c>
    </row>
    <row r="125">
      <c r="A125" s="32">
        <f>ROW()-2</f>
        <v/>
      </c>
      <c r="B125" s="33" t="inlineStr">
        <is>
          <t>S2</t>
        </is>
      </c>
      <c r="C125" s="33" t="inlineStr">
        <is>
          <t>Anatomie II</t>
        </is>
      </c>
      <c r="D125" s="33" t="inlineStr"/>
      <c r="E125" s="33" t="inlineStr">
        <is>
          <t>Anatomie du vagin</t>
        </is>
      </c>
      <c r="F125" s="18" t="n"/>
      <c r="G125" s="19" t="n"/>
      <c r="H125" s="20">
        <f>IF($G125="",1,IF($G125=0,1,IF($G125=1,3,IF($G125=2,7,IF($G125=3,14,IF($G125=4,30,60))))))</f>
        <v/>
      </c>
      <c r="I125" s="21">
        <f>IF($F125="","",$F125+$H125)</f>
        <v/>
      </c>
      <c r="J125">
        <f>IF($F125="","⚪ NEW",IF($G125&gt;=5,"✅ DONE",IF($I125&lt;TODAY(),"🔴 OVERDUE",IF($I125=TODAY(),"🟢 TODAY",IF($I125=TODAY()+1,"🔵 TOMORROW",IF($I125&lt;=TODAY()+7,"📅 THIS WEEK","⏳ SCHEDULED"))))))</f>
        <v/>
      </c>
      <c r="K125" s="20">
        <f>IF($F125="",999,IF($G125&gt;=5,9999,IF($I125="",999,$I125-TODAY())))</f>
        <v/>
      </c>
    </row>
    <row r="126">
      <c r="A126" s="32">
        <f>ROW()-2</f>
        <v/>
      </c>
      <c r="B126" s="33" t="inlineStr">
        <is>
          <t>S2</t>
        </is>
      </c>
      <c r="C126" s="33" t="inlineStr">
        <is>
          <t>Anatomie II</t>
        </is>
      </c>
      <c r="D126" s="33" t="inlineStr"/>
      <c r="E126" s="33" t="inlineStr">
        <is>
          <t>Anatomie de la vulve</t>
        </is>
      </c>
      <c r="F126" s="18" t="n"/>
      <c r="G126" s="19" t="n"/>
      <c r="H126" s="20">
        <f>IF($G126="",1,IF($G126=0,1,IF($G126=1,3,IF($G126=2,7,IF($G126=3,14,IF($G126=4,30,60))))))</f>
        <v/>
      </c>
      <c r="I126" s="21">
        <f>IF($F126="","",$F126+$H126)</f>
        <v/>
      </c>
      <c r="J126">
        <f>IF($F126="","⚪ NEW",IF($G126&gt;=5,"✅ DONE",IF($I126&lt;TODAY(),"🔴 OVERDUE",IF($I126=TODAY(),"🟢 TODAY",IF($I126=TODAY()+1,"🔵 TOMORROW",IF($I126&lt;=TODAY()+7,"📅 THIS WEEK","⏳ SCHEDULED"))))))</f>
        <v/>
      </c>
      <c r="K126" s="20">
        <f>IF($F126="",999,IF($G126&gt;=5,9999,IF($I126="",999,$I126-TODAY())))</f>
        <v/>
      </c>
    </row>
    <row r="127">
      <c r="A127" s="32">
        <f>ROW()-2</f>
        <v/>
      </c>
      <c r="B127" s="33" t="inlineStr">
        <is>
          <t>S2</t>
        </is>
      </c>
      <c r="C127" s="33" t="inlineStr">
        <is>
          <t>Anatomie II</t>
        </is>
      </c>
      <c r="D127" s="33" t="inlineStr"/>
      <c r="E127" s="33" t="inlineStr">
        <is>
          <t>L'aorte</t>
        </is>
      </c>
      <c r="F127" s="18" t="n"/>
      <c r="G127" s="19" t="n"/>
      <c r="H127" s="20">
        <f>IF($G127="",1,IF($G127=0,1,IF($G127=1,3,IF($G127=2,7,IF($G127=3,14,IF($G127=4,30,60))))))</f>
        <v/>
      </c>
      <c r="I127" s="21">
        <f>IF($F127="","",$F127+$H127)</f>
        <v/>
      </c>
      <c r="J127">
        <f>IF($F127="","⚪ NEW",IF($G127&gt;=5,"✅ DONE",IF($I127&lt;TODAY(),"🔴 OVERDUE",IF($I127=TODAY(),"🟢 TODAY",IF($I127=TODAY()+1,"🔵 TOMORROW",IF($I127&lt;=TODAY()+7,"📅 THIS WEEK","⏳ SCHEDULED"))))))</f>
        <v/>
      </c>
      <c r="K127" s="20">
        <f>IF($F127="",999,IF($G127&gt;=5,9999,IF($I127="",999,$I127-TODAY())))</f>
        <v/>
      </c>
    </row>
    <row r="128">
      <c r="A128" s="32">
        <f>ROW()-2</f>
        <v/>
      </c>
      <c r="B128" s="33" t="inlineStr">
        <is>
          <t>S2</t>
        </is>
      </c>
      <c r="C128" s="33" t="inlineStr">
        <is>
          <t>Anatomie II</t>
        </is>
      </c>
      <c r="D128" s="33" t="inlineStr"/>
      <c r="E128" s="33" t="inlineStr">
        <is>
          <t>Veine cave inférieure</t>
        </is>
      </c>
      <c r="F128" s="18" t="n"/>
      <c r="G128" s="19" t="n"/>
      <c r="H128" s="20">
        <f>IF($G128="",1,IF($G128=0,1,IF($G128=1,3,IF($G128=2,7,IF($G128=3,14,IF($G128=4,30,60))))))</f>
        <v/>
      </c>
      <c r="I128" s="21">
        <f>IF($F128="","",$F128+$H128)</f>
        <v/>
      </c>
      <c r="J128">
        <f>IF($F128="","⚪ NEW",IF($G128&gt;=5,"✅ DONE",IF($I128&lt;TODAY(),"🔴 OVERDUE",IF($I128=TODAY(),"🟢 TODAY",IF($I128=TODAY()+1,"🔵 TOMORROW",IF($I128&lt;=TODAY()+7,"📅 THIS WEEK","⏳ SCHEDULED"))))))</f>
        <v/>
      </c>
      <c r="K128" s="20">
        <f>IF($F128="",999,IF($G128&gt;=5,9999,IF($I128="",999,$I128-TODAY())))</f>
        <v/>
      </c>
    </row>
    <row r="129">
      <c r="A129" s="32">
        <f>ROW()-2</f>
        <v/>
      </c>
      <c r="B129" s="33" t="inlineStr">
        <is>
          <t>S2</t>
        </is>
      </c>
      <c r="C129" s="33" t="inlineStr">
        <is>
          <t>Anatomie II</t>
        </is>
      </c>
      <c r="D129" s="33" t="inlineStr"/>
      <c r="E129" s="33" t="inlineStr">
        <is>
          <t>Les veines iliaques</t>
        </is>
      </c>
      <c r="F129" s="18" t="n"/>
      <c r="G129" s="19" t="n"/>
      <c r="H129" s="20">
        <f>IF($G129="",1,IF($G129=0,1,IF($G129=1,3,IF($G129=2,7,IF($G129=3,14,IF($G129=4,30,60))))))</f>
        <v/>
      </c>
      <c r="I129" s="21">
        <f>IF($F129="","",$F129+$H129)</f>
        <v/>
      </c>
      <c r="J129">
        <f>IF($F129="","⚪ NEW",IF($G129&gt;=5,"✅ DONE",IF($I129&lt;TODAY(),"🔴 OVERDUE",IF($I129=TODAY(),"🟢 TODAY",IF($I129=TODAY()+1,"🔵 TOMORROW",IF($I129&lt;=TODAY()+7,"📅 THIS WEEK","⏳ SCHEDULED"))))))</f>
        <v/>
      </c>
      <c r="K129" s="20">
        <f>IF($F129="",999,IF($G129&gt;=5,9999,IF($I129="",999,$I129-TODAY())))</f>
        <v/>
      </c>
    </row>
    <row r="130">
      <c r="A130" s="34">
        <f>ROW()-2</f>
        <v/>
      </c>
      <c r="B130" s="35" t="inlineStr">
        <is>
          <t>S2</t>
        </is>
      </c>
      <c r="C130" s="35" t="inlineStr">
        <is>
          <t>Histologie-Embryologie I</t>
        </is>
      </c>
      <c r="D130" s="35" t="inlineStr">
        <is>
          <t>Histologie</t>
        </is>
      </c>
      <c r="E130" s="35" t="inlineStr">
        <is>
          <t>Tissu épithélial</t>
        </is>
      </c>
      <c r="F130" s="18" t="n"/>
      <c r="G130" s="19" t="n"/>
      <c r="H130" s="20">
        <f>IF($G130="",1,IF($G130=0,1,IF($G130=1,3,IF($G130=2,7,IF($G130=3,14,IF($G130=4,30,60))))))</f>
        <v/>
      </c>
      <c r="I130" s="21">
        <f>IF($F130="","",$F130+$H130)</f>
        <v/>
      </c>
      <c r="J130">
        <f>IF($F130="","⚪ NEW",IF($G130&gt;=5,"✅ DONE",IF($I130&lt;TODAY(),"🔴 OVERDUE",IF($I130=TODAY(),"🟢 TODAY",IF($I130=TODAY()+1,"🔵 TOMORROW",IF($I130&lt;=TODAY()+7,"📅 THIS WEEK","⏳ SCHEDULED"))))))</f>
        <v/>
      </c>
      <c r="K130" s="20">
        <f>IF($F130="",999,IF($G130&gt;=5,9999,IF($I130="",999,$I130-TODAY())))</f>
        <v/>
      </c>
    </row>
    <row r="131">
      <c r="A131" s="34">
        <f>ROW()-2</f>
        <v/>
      </c>
      <c r="B131" s="35" t="inlineStr">
        <is>
          <t>S2</t>
        </is>
      </c>
      <c r="C131" s="35" t="inlineStr">
        <is>
          <t>Histologie-Embryologie I</t>
        </is>
      </c>
      <c r="D131" s="35" t="inlineStr">
        <is>
          <t>Histologie</t>
        </is>
      </c>
      <c r="E131" s="35" t="inlineStr">
        <is>
          <t>Tissu conjonctif ordinaire</t>
        </is>
      </c>
      <c r="F131" s="18" t="n"/>
      <c r="G131" s="19" t="n"/>
      <c r="H131" s="20">
        <f>IF($G131="",1,IF($G131=0,1,IF($G131=1,3,IF($G131=2,7,IF($G131=3,14,IF($G131=4,30,60))))))</f>
        <v/>
      </c>
      <c r="I131" s="21">
        <f>IF($F131="","",$F131+$H131)</f>
        <v/>
      </c>
      <c r="J131">
        <f>IF($F131="","⚪ NEW",IF($G131&gt;=5,"✅ DONE",IF($I131&lt;TODAY(),"🔴 OVERDUE",IF($I131=TODAY(),"🟢 TODAY",IF($I131=TODAY()+1,"🔵 TOMORROW",IF($I131&lt;=TODAY()+7,"📅 THIS WEEK","⏳ SCHEDULED"))))))</f>
        <v/>
      </c>
      <c r="K131" s="20">
        <f>IF($F131="",999,IF($G131&gt;=5,9999,IF($I131="",999,$I131-TODAY())))</f>
        <v/>
      </c>
    </row>
    <row r="132">
      <c r="A132" s="34">
        <f>ROW()-2</f>
        <v/>
      </c>
      <c r="B132" s="35" t="inlineStr">
        <is>
          <t>S2</t>
        </is>
      </c>
      <c r="C132" s="35" t="inlineStr">
        <is>
          <t>Histologie-Embryologie I</t>
        </is>
      </c>
      <c r="D132" s="35" t="inlineStr">
        <is>
          <t>Histologie</t>
        </is>
      </c>
      <c r="E132" s="35" t="inlineStr">
        <is>
          <t>Tissu cartilagineux</t>
        </is>
      </c>
      <c r="F132" s="18" t="n"/>
      <c r="G132" s="19" t="n"/>
      <c r="H132" s="20">
        <f>IF($G132="",1,IF($G132=0,1,IF($G132=1,3,IF($G132=2,7,IF($G132=3,14,IF($G132=4,30,60))))))</f>
        <v/>
      </c>
      <c r="I132" s="21">
        <f>IF($F132="","",$F132+$H132)</f>
        <v/>
      </c>
      <c r="J132">
        <f>IF($F132="","⚪ NEW",IF($G132&gt;=5,"✅ DONE",IF($I132&lt;TODAY(),"🔴 OVERDUE",IF($I132=TODAY(),"🟢 TODAY",IF($I132=TODAY()+1,"🔵 TOMORROW",IF($I132&lt;=TODAY()+7,"📅 THIS WEEK","⏳ SCHEDULED"))))))</f>
        <v/>
      </c>
      <c r="K132" s="20">
        <f>IF($F132="",999,IF($G132&gt;=5,9999,IF($I132="",999,$I132-TODAY())))</f>
        <v/>
      </c>
    </row>
    <row r="133">
      <c r="A133" s="34">
        <f>ROW()-2</f>
        <v/>
      </c>
      <c r="B133" s="35" t="inlineStr">
        <is>
          <t>S2</t>
        </is>
      </c>
      <c r="C133" s="35" t="inlineStr">
        <is>
          <t>Histologie-Embryologie I</t>
        </is>
      </c>
      <c r="D133" s="35" t="inlineStr">
        <is>
          <t>Histologie</t>
        </is>
      </c>
      <c r="E133" s="35" t="inlineStr">
        <is>
          <t>Tissu osseux</t>
        </is>
      </c>
      <c r="F133" s="18" t="n"/>
      <c r="G133" s="19" t="n"/>
      <c r="H133" s="20">
        <f>IF($G133="",1,IF($G133=0,1,IF($G133=1,3,IF($G133=2,7,IF($G133=3,14,IF($G133=4,30,60))))))</f>
        <v/>
      </c>
      <c r="I133" s="21">
        <f>IF($F133="","",$F133+$H133)</f>
        <v/>
      </c>
      <c r="J133">
        <f>IF($F133="","⚪ NEW",IF($G133&gt;=5,"✅ DONE",IF($I133&lt;TODAY(),"🔴 OVERDUE",IF($I133=TODAY(),"🟢 TODAY",IF($I133=TODAY()+1,"🔵 TOMORROW",IF($I133&lt;=TODAY()+7,"📅 THIS WEEK","⏳ SCHEDULED"))))))</f>
        <v/>
      </c>
      <c r="K133" s="20">
        <f>IF($F133="",999,IF($G133&gt;=5,9999,IF($I133="",999,$I133-TODAY())))</f>
        <v/>
      </c>
    </row>
    <row r="134">
      <c r="A134" s="34">
        <f>ROW()-2</f>
        <v/>
      </c>
      <c r="B134" s="35" t="inlineStr">
        <is>
          <t>S2</t>
        </is>
      </c>
      <c r="C134" s="35" t="inlineStr">
        <is>
          <t>Histologie-Embryologie I</t>
        </is>
      </c>
      <c r="D134" s="35" t="inlineStr">
        <is>
          <t>Histologie</t>
        </is>
      </c>
      <c r="E134" s="35" t="inlineStr">
        <is>
          <t>Tissu musculaire</t>
        </is>
      </c>
      <c r="F134" s="18" t="n"/>
      <c r="G134" s="19" t="n"/>
      <c r="H134" s="20">
        <f>IF($G134="",1,IF($G134=0,1,IF($G134=1,3,IF($G134=2,7,IF($G134=3,14,IF($G134=4,30,60))))))</f>
        <v/>
      </c>
      <c r="I134" s="21">
        <f>IF($F134="","",$F134+$H134)</f>
        <v/>
      </c>
      <c r="J134">
        <f>IF($F134="","⚪ NEW",IF($G134&gt;=5,"✅ DONE",IF($I134&lt;TODAY(),"🔴 OVERDUE",IF($I134=TODAY(),"🟢 TODAY",IF($I134=TODAY()+1,"🔵 TOMORROW",IF($I134&lt;=TODAY()+7,"📅 THIS WEEK","⏳ SCHEDULED"))))))</f>
        <v/>
      </c>
      <c r="K134" s="20">
        <f>IF($F134="",999,IF($G134&gt;=5,9999,IF($I134="",999,$I134-TODAY())))</f>
        <v/>
      </c>
    </row>
    <row r="135">
      <c r="A135" s="34">
        <f>ROW()-2</f>
        <v/>
      </c>
      <c r="B135" s="35" t="inlineStr">
        <is>
          <t>S2</t>
        </is>
      </c>
      <c r="C135" s="35" t="inlineStr">
        <is>
          <t>Histologie-Embryologie I</t>
        </is>
      </c>
      <c r="D135" s="35" t="inlineStr">
        <is>
          <t>Histologie</t>
        </is>
      </c>
      <c r="E135" s="35" t="inlineStr">
        <is>
          <t>Tissu nerveux</t>
        </is>
      </c>
      <c r="F135" s="18" t="n"/>
      <c r="G135" s="19" t="n"/>
      <c r="H135" s="20">
        <f>IF($G135="",1,IF($G135=0,1,IF($G135=1,3,IF($G135=2,7,IF($G135=3,14,IF($G135=4,30,60))))))</f>
        <v/>
      </c>
      <c r="I135" s="21">
        <f>IF($F135="","",$F135+$H135)</f>
        <v/>
      </c>
      <c r="J135">
        <f>IF($F135="","⚪ NEW",IF($G135&gt;=5,"✅ DONE",IF($I135&lt;TODAY(),"🔴 OVERDUE",IF($I135=TODAY(),"🟢 TODAY",IF($I135=TODAY()+1,"🔵 TOMORROW",IF($I135&lt;=TODAY()+7,"📅 THIS WEEK","⏳ SCHEDULED"))))))</f>
        <v/>
      </c>
      <c r="K135" s="20">
        <f>IF($F135="",999,IF($G135&gt;=5,9999,IF($I135="",999,$I135-TODAY())))</f>
        <v/>
      </c>
    </row>
    <row r="136">
      <c r="A136" s="34">
        <f>ROW()-2</f>
        <v/>
      </c>
      <c r="B136" s="35" t="inlineStr">
        <is>
          <t>S2</t>
        </is>
      </c>
      <c r="C136" s="35" t="inlineStr">
        <is>
          <t>Histologie-Embryologie I</t>
        </is>
      </c>
      <c r="D136" s="35" t="inlineStr">
        <is>
          <t>Histologie</t>
        </is>
      </c>
      <c r="E136" s="35" t="inlineStr">
        <is>
          <t>Appareil circulatoire</t>
        </is>
      </c>
      <c r="F136" s="18" t="n"/>
      <c r="G136" s="19" t="n"/>
      <c r="H136" s="20">
        <f>IF($G136="",1,IF($G136=0,1,IF($G136=1,3,IF($G136=2,7,IF($G136=3,14,IF($G136=4,30,60))))))</f>
        <v/>
      </c>
      <c r="I136" s="21">
        <f>IF($F136="","",$F136+$H136)</f>
        <v/>
      </c>
      <c r="J136">
        <f>IF($F136="","⚪ NEW",IF($G136&gt;=5,"✅ DONE",IF($I136&lt;TODAY(),"🔴 OVERDUE",IF($I136=TODAY(),"🟢 TODAY",IF($I136=TODAY()+1,"🔵 TOMORROW",IF($I136&lt;=TODAY()+7,"📅 THIS WEEK","⏳ SCHEDULED"))))))</f>
        <v/>
      </c>
      <c r="K136" s="20">
        <f>IF($F136="",999,IF($G136&gt;=5,9999,IF($I136="",999,$I136-TODAY())))</f>
        <v/>
      </c>
    </row>
    <row r="137">
      <c r="A137" s="34">
        <f>ROW()-2</f>
        <v/>
      </c>
      <c r="B137" s="35" t="inlineStr">
        <is>
          <t>S2</t>
        </is>
      </c>
      <c r="C137" s="35" t="inlineStr">
        <is>
          <t>Histologie-Embryologie I</t>
        </is>
      </c>
      <c r="D137" s="35" t="inlineStr">
        <is>
          <t>Embryologie I</t>
        </is>
      </c>
      <c r="E137" s="35" t="inlineStr">
        <is>
          <t>Première semaine du développement embryonnaire</t>
        </is>
      </c>
      <c r="F137" s="18" t="n"/>
      <c r="G137" s="19" t="n"/>
      <c r="H137" s="20">
        <f>IF($G137="",1,IF($G137=0,1,IF($G137=1,3,IF($G137=2,7,IF($G137=3,14,IF($G137=4,30,60))))))</f>
        <v/>
      </c>
      <c r="I137" s="21">
        <f>IF($F137="","",$F137+$H137)</f>
        <v/>
      </c>
      <c r="J137">
        <f>IF($F137="","⚪ NEW",IF($G137&gt;=5,"✅ DONE",IF($I137&lt;TODAY(),"🔴 OVERDUE",IF($I137=TODAY(),"🟢 TODAY",IF($I137=TODAY()+1,"🔵 TOMORROW",IF($I137&lt;=TODAY()+7,"📅 THIS WEEK","⏳ SCHEDULED"))))))</f>
        <v/>
      </c>
      <c r="K137" s="20">
        <f>IF($F137="",999,IF($G137&gt;=5,9999,IF($I137="",999,$I137-TODAY())))</f>
        <v/>
      </c>
    </row>
    <row r="138">
      <c r="A138" s="34">
        <f>ROW()-2</f>
        <v/>
      </c>
      <c r="B138" s="35" t="inlineStr">
        <is>
          <t>S2</t>
        </is>
      </c>
      <c r="C138" s="35" t="inlineStr">
        <is>
          <t>Histologie-Embryologie I</t>
        </is>
      </c>
      <c r="D138" s="35" t="inlineStr">
        <is>
          <t>Embryologie I</t>
        </is>
      </c>
      <c r="E138" s="35" t="inlineStr">
        <is>
          <t>Deuxième semaine du développement embryonnaire</t>
        </is>
      </c>
      <c r="F138" s="18" t="n"/>
      <c r="G138" s="19" t="n"/>
      <c r="H138" s="20">
        <f>IF($G138="",1,IF($G138=0,1,IF($G138=1,3,IF($G138=2,7,IF($G138=3,14,IF($G138=4,30,60))))))</f>
        <v/>
      </c>
      <c r="I138" s="21">
        <f>IF($F138="","",$F138+$H138)</f>
        <v/>
      </c>
      <c r="J138">
        <f>IF($F138="","⚪ NEW",IF($G138&gt;=5,"✅ DONE",IF($I138&lt;TODAY(),"🔴 OVERDUE",IF($I138=TODAY(),"🟢 TODAY",IF($I138=TODAY()+1,"🔵 TOMORROW",IF($I138&lt;=TODAY()+7,"📅 THIS WEEK","⏳ SCHEDULED"))))))</f>
        <v/>
      </c>
      <c r="K138" s="20">
        <f>IF($F138="",999,IF($G138&gt;=5,9999,IF($I138="",999,$I138-TODAY())))</f>
        <v/>
      </c>
    </row>
    <row r="139">
      <c r="A139" s="34">
        <f>ROW()-2</f>
        <v/>
      </c>
      <c r="B139" s="35" t="inlineStr">
        <is>
          <t>S2</t>
        </is>
      </c>
      <c r="C139" s="35" t="inlineStr">
        <is>
          <t>Histologie-Embryologie I</t>
        </is>
      </c>
      <c r="D139" s="35" t="inlineStr">
        <is>
          <t>Embryologie I</t>
        </is>
      </c>
      <c r="E139" s="35" t="inlineStr">
        <is>
          <t>Troisième semaine du développement embryonnaire</t>
        </is>
      </c>
      <c r="F139" s="18" t="n"/>
      <c r="G139" s="19" t="n"/>
      <c r="H139" s="20">
        <f>IF($G139="",1,IF($G139=0,1,IF($G139=1,3,IF($G139=2,7,IF($G139=3,14,IF($G139=4,30,60))))))</f>
        <v/>
      </c>
      <c r="I139" s="21">
        <f>IF($F139="","",$F139+$H139)</f>
        <v/>
      </c>
      <c r="J139">
        <f>IF($F139="","⚪ NEW",IF($G139&gt;=5,"✅ DONE",IF($I139&lt;TODAY(),"🔴 OVERDUE",IF($I139=TODAY(),"🟢 TODAY",IF($I139=TODAY()+1,"🔵 TOMORROW",IF($I139&lt;=TODAY()+7,"📅 THIS WEEK","⏳ SCHEDULED"))))))</f>
        <v/>
      </c>
      <c r="K139" s="20">
        <f>IF($F139="",999,IF($G139&gt;=5,9999,IF($I139="",999,$I139-TODAY())))</f>
        <v/>
      </c>
    </row>
    <row r="140">
      <c r="A140" s="34">
        <f>ROW()-2</f>
        <v/>
      </c>
      <c r="B140" s="35" t="inlineStr">
        <is>
          <t>S2</t>
        </is>
      </c>
      <c r="C140" s="35" t="inlineStr">
        <is>
          <t>Histologie-Embryologie I</t>
        </is>
      </c>
      <c r="D140" s="35" t="inlineStr">
        <is>
          <t>Embryologie I</t>
        </is>
      </c>
      <c r="E140" s="35" t="inlineStr">
        <is>
          <t>Quatrième semaine du développement embryonnaire</t>
        </is>
      </c>
      <c r="F140" s="18" t="n"/>
      <c r="G140" s="19" t="n"/>
      <c r="H140" s="20">
        <f>IF($G140="",1,IF($G140=0,1,IF($G140=1,3,IF($G140=2,7,IF($G140=3,14,IF($G140=4,30,60))))))</f>
        <v/>
      </c>
      <c r="I140" s="21">
        <f>IF($F140="","",$F140+$H140)</f>
        <v/>
      </c>
      <c r="J140">
        <f>IF($F140="","⚪ NEW",IF($G140&gt;=5,"✅ DONE",IF($I140&lt;TODAY(),"🔴 OVERDUE",IF($I140=TODAY(),"🟢 TODAY",IF($I140=TODAY()+1,"🔵 TOMORROW",IF($I140&lt;=TODAY()+7,"📅 THIS WEEK","⏳ SCHEDULED"))))))</f>
        <v/>
      </c>
      <c r="K140" s="20">
        <f>IF($F140="",999,IF($G140&gt;=5,9999,IF($I140="",999,$I140-TODAY())))</f>
        <v/>
      </c>
    </row>
    <row r="141">
      <c r="A141" s="34">
        <f>ROW()-2</f>
        <v/>
      </c>
      <c r="B141" s="35" t="inlineStr">
        <is>
          <t>S2</t>
        </is>
      </c>
      <c r="C141" s="35" t="inlineStr">
        <is>
          <t>Histologie-Embryologie I</t>
        </is>
      </c>
      <c r="D141" s="35" t="inlineStr">
        <is>
          <t>Embryologie I</t>
        </is>
      </c>
      <c r="E141" s="35" t="inlineStr">
        <is>
          <t>Placenta et membranes amniotiques</t>
        </is>
      </c>
      <c r="F141" s="18" t="n"/>
      <c r="G141" s="19" t="n"/>
      <c r="H141" s="20">
        <f>IF($G141="",1,IF($G141=0,1,IF($G141=1,3,IF($G141=2,7,IF($G141=3,14,IF($G141=4,30,60))))))</f>
        <v/>
      </c>
      <c r="I141" s="21">
        <f>IF($F141="","",$F141+$H141)</f>
        <v/>
      </c>
      <c r="J141">
        <f>IF($F141="","⚪ NEW",IF($G141&gt;=5,"✅ DONE",IF($I141&lt;TODAY(),"🔴 OVERDUE",IF($I141=TODAY(),"🟢 TODAY",IF($I141=TODAY()+1,"🔵 TOMORROW",IF($I141&lt;=TODAY()+7,"📅 THIS WEEK","⏳ SCHEDULED"))))))</f>
        <v/>
      </c>
      <c r="K141" s="20">
        <f>IF($F141="",999,IF($G141&gt;=5,9999,IF($I141="",999,$I141-TODAY())))</f>
        <v/>
      </c>
    </row>
    <row r="142">
      <c r="A142" s="34">
        <f>ROW()-2</f>
        <v/>
      </c>
      <c r="B142" s="35" t="inlineStr">
        <is>
          <t>S2</t>
        </is>
      </c>
      <c r="C142" s="35" t="inlineStr">
        <is>
          <t>Histologie-Embryologie I</t>
        </is>
      </c>
      <c r="D142" s="35" t="inlineStr">
        <is>
          <t>Embryologie I</t>
        </is>
      </c>
      <c r="E142" s="35" t="inlineStr">
        <is>
          <t>Grossesse gémellaire</t>
        </is>
      </c>
      <c r="F142" s="18" t="n"/>
      <c r="G142" s="19" t="n"/>
      <c r="H142" s="20">
        <f>IF($G142="",1,IF($G142=0,1,IF($G142=1,3,IF($G142=2,7,IF($G142=3,14,IF($G142=4,30,60))))))</f>
        <v/>
      </c>
      <c r="I142" s="21">
        <f>IF($F142="","",$F142+$H142)</f>
        <v/>
      </c>
      <c r="J142">
        <f>IF($F142="","⚪ NEW",IF($G142&gt;=5,"✅ DONE",IF($I142&lt;TODAY(),"🔴 OVERDUE",IF($I142=TODAY(),"🟢 TODAY",IF($I142=TODAY()+1,"🔵 TOMORROW",IF($I142&lt;=TODAY()+7,"📅 THIS WEEK","⏳ SCHEDULED"))))))</f>
        <v/>
      </c>
      <c r="K142" s="20">
        <f>IF($F142="",999,IF($G142&gt;=5,9999,IF($I142="",999,$I142-TODAY())))</f>
        <v/>
      </c>
    </row>
    <row r="143">
      <c r="A143" s="34">
        <f>ROW()-2</f>
        <v/>
      </c>
      <c r="B143" s="35" t="inlineStr">
        <is>
          <t>S2</t>
        </is>
      </c>
      <c r="C143" s="35" t="inlineStr">
        <is>
          <t>Histologie-Embryologie I</t>
        </is>
      </c>
      <c r="D143" s="35" t="inlineStr">
        <is>
          <t>Biologie de la reproduction</t>
        </is>
      </c>
      <c r="E143" s="35" t="inlineStr">
        <is>
          <t>La spermatogenèse humaine</t>
        </is>
      </c>
      <c r="F143" s="18" t="n"/>
      <c r="G143" s="19" t="n"/>
      <c r="H143" s="20">
        <f>IF($G143="",1,IF($G143=0,1,IF($G143=1,3,IF($G143=2,7,IF($G143=3,14,IF($G143=4,30,60))))))</f>
        <v/>
      </c>
      <c r="I143" s="21">
        <f>IF($F143="","",$F143+$H143)</f>
        <v/>
      </c>
      <c r="J143">
        <f>IF($F143="","⚪ NEW",IF($G143&gt;=5,"✅ DONE",IF($I143&lt;TODAY(),"🔴 OVERDUE",IF($I143=TODAY(),"🟢 TODAY",IF($I143=TODAY()+1,"🔵 TOMORROW",IF($I143&lt;=TODAY()+7,"📅 THIS WEEK","⏳ SCHEDULED"))))))</f>
        <v/>
      </c>
      <c r="K143" s="20">
        <f>IF($F143="",999,IF($G143&gt;=5,9999,IF($I143="",999,$I143-TODAY())))</f>
        <v/>
      </c>
    </row>
    <row r="144">
      <c r="A144" s="34">
        <f>ROW()-2</f>
        <v/>
      </c>
      <c r="B144" s="35" t="inlineStr">
        <is>
          <t>S2</t>
        </is>
      </c>
      <c r="C144" s="35" t="inlineStr">
        <is>
          <t>Histologie-Embryologie I</t>
        </is>
      </c>
      <c r="D144" s="35" t="inlineStr">
        <is>
          <t>Biologie de la reproduction</t>
        </is>
      </c>
      <c r="E144" s="35" t="inlineStr">
        <is>
          <t>L'ovogenèse et la folliculogenèse</t>
        </is>
      </c>
      <c r="F144" s="18" t="n"/>
      <c r="G144" s="19" t="n"/>
      <c r="H144" s="20">
        <f>IF($G144="",1,IF($G144=0,1,IF($G144=1,3,IF($G144=2,7,IF($G144=3,14,IF($G144=4,30,60))))))</f>
        <v/>
      </c>
      <c r="I144" s="21">
        <f>IF($F144="","",$F144+$H144)</f>
        <v/>
      </c>
      <c r="J144">
        <f>IF($F144="","⚪ NEW",IF($G144&gt;=5,"✅ DONE",IF($I144&lt;TODAY(),"🔴 OVERDUE",IF($I144=TODAY(),"🟢 TODAY",IF($I144=TODAY()+1,"🔵 TOMORROW",IF($I144&lt;=TODAY()+7,"📅 THIS WEEK","⏳ SCHEDULED"))))))</f>
        <v/>
      </c>
      <c r="K144" s="20">
        <f>IF($F144="",999,IF($G144&gt;=5,9999,IF($I144="",999,$I144-TODAY())))</f>
        <v/>
      </c>
    </row>
    <row r="145">
      <c r="A145" s="34">
        <f>ROW()-2</f>
        <v/>
      </c>
      <c r="B145" s="35" t="inlineStr">
        <is>
          <t>S2</t>
        </is>
      </c>
      <c r="C145" s="35" t="inlineStr">
        <is>
          <t>Histologie-Embryologie I</t>
        </is>
      </c>
      <c r="D145" s="35" t="inlineStr">
        <is>
          <t>Biologie de la reproduction</t>
        </is>
      </c>
      <c r="E145" s="35" t="inlineStr">
        <is>
          <t>La fécondation</t>
        </is>
      </c>
      <c r="F145" s="18" t="n"/>
      <c r="G145" s="19" t="n"/>
      <c r="H145" s="20">
        <f>IF($G145="",1,IF($G145=0,1,IF($G145=1,3,IF($G145=2,7,IF($G145=3,14,IF($G145=4,30,60))))))</f>
        <v/>
      </c>
      <c r="I145" s="21">
        <f>IF($F145="","",$F145+$H145)</f>
        <v/>
      </c>
      <c r="J145">
        <f>IF($F145="","⚪ NEW",IF($G145&gt;=5,"✅ DONE",IF($I145&lt;TODAY(),"🔴 OVERDUE",IF($I145=TODAY(),"🟢 TODAY",IF($I145=TODAY()+1,"🔵 TOMORROW",IF($I145&lt;=TODAY()+7,"📅 THIS WEEK","⏳ SCHEDULED"))))))</f>
        <v/>
      </c>
      <c r="K145" s="20">
        <f>IF($F145="",999,IF($G145&gt;=5,9999,IF($I145="",999,$I145-TODAY())))</f>
        <v/>
      </c>
    </row>
    <row r="146">
      <c r="A146" s="36">
        <f>ROW()-2</f>
        <v/>
      </c>
      <c r="B146" s="37" t="inlineStr">
        <is>
          <t>S2</t>
        </is>
      </c>
      <c r="C146" s="37" t="inlineStr">
        <is>
          <t>Biophysique</t>
        </is>
      </c>
      <c r="D146" s="37" t="inlineStr"/>
      <c r="E146" s="37" t="inlineStr">
        <is>
          <t>Atomes (rappel)</t>
        </is>
      </c>
      <c r="F146" s="18" t="n"/>
      <c r="G146" s="19" t="n"/>
      <c r="H146" s="20">
        <f>IF($G146="",1,IF($G146=0,1,IF($G146=1,3,IF($G146=2,7,IF($G146=3,14,IF($G146=4,30,60))))))</f>
        <v/>
      </c>
      <c r="I146" s="21">
        <f>IF($F146="","",$F146+$H146)</f>
        <v/>
      </c>
      <c r="J146">
        <f>IF($F146="","⚪ NEW",IF($G146&gt;=5,"✅ DONE",IF($I146&lt;TODAY(),"🔴 OVERDUE",IF($I146=TODAY(),"🟢 TODAY",IF($I146=TODAY()+1,"🔵 TOMORROW",IF($I146&lt;=TODAY()+7,"📅 THIS WEEK","⏳ SCHEDULED"))))))</f>
        <v/>
      </c>
      <c r="K146" s="20">
        <f>IF($F146="",999,IF($G146&gt;=5,9999,IF($I146="",999,$I146-TODAY())))</f>
        <v/>
      </c>
    </row>
    <row r="147">
      <c r="A147" s="36">
        <f>ROW()-2</f>
        <v/>
      </c>
      <c r="B147" s="37" t="inlineStr">
        <is>
          <t>S2</t>
        </is>
      </c>
      <c r="C147" s="37" t="inlineStr">
        <is>
          <t>Biophysique</t>
        </is>
      </c>
      <c r="D147" s="37" t="inlineStr"/>
      <c r="E147" s="37" t="inlineStr">
        <is>
          <t>Phénomènes de radioactivité</t>
        </is>
      </c>
      <c r="F147" s="18" t="n"/>
      <c r="G147" s="19" t="n"/>
      <c r="H147" s="20">
        <f>IF($G147="",1,IF($G147=0,1,IF($G147=1,3,IF($G147=2,7,IF($G147=3,14,IF($G147=4,30,60))))))</f>
        <v/>
      </c>
      <c r="I147" s="21">
        <f>IF($F147="","",$F147+$H147)</f>
        <v/>
      </c>
      <c r="J147">
        <f>IF($F147="","⚪ NEW",IF($G147&gt;=5,"✅ DONE",IF($I147&lt;TODAY(),"🔴 OVERDUE",IF($I147=TODAY(),"🟢 TODAY",IF($I147=TODAY()+1,"🔵 TOMORROW",IF($I147&lt;=TODAY()+7,"📅 THIS WEEK","⏳ SCHEDULED"))))))</f>
        <v/>
      </c>
      <c r="K147" s="20">
        <f>IF($F147="",999,IF($G147&gt;=5,9999,IF($I147="",999,$I147-TODAY())))</f>
        <v/>
      </c>
    </row>
    <row r="148">
      <c r="A148" s="36">
        <f>ROW()-2</f>
        <v/>
      </c>
      <c r="B148" s="37" t="inlineStr">
        <is>
          <t>S2</t>
        </is>
      </c>
      <c r="C148" s="37" t="inlineStr">
        <is>
          <t>Biophysique</t>
        </is>
      </c>
      <c r="D148" s="37" t="inlineStr"/>
      <c r="E148" s="37" t="inlineStr">
        <is>
          <t>Cinétique des transformations radioactives</t>
        </is>
      </c>
      <c r="F148" s="18" t="n"/>
      <c r="G148" s="19" t="n"/>
      <c r="H148" s="20">
        <f>IF($G148="",1,IF($G148=0,1,IF($G148=1,3,IF($G148=2,7,IF($G148=3,14,IF($G148=4,30,60))))))</f>
        <v/>
      </c>
      <c r="I148" s="21">
        <f>IF($F148="","",$F148+$H148)</f>
        <v/>
      </c>
      <c r="J148">
        <f>IF($F148="","⚪ NEW",IF($G148&gt;=5,"✅ DONE",IF($I148&lt;TODAY(),"🔴 OVERDUE",IF($I148=TODAY(),"🟢 TODAY",IF($I148=TODAY()+1,"🔵 TOMORROW",IF($I148&lt;=TODAY()+7,"📅 THIS WEEK","⏳ SCHEDULED"))))))</f>
        <v/>
      </c>
      <c r="K148" s="20">
        <f>IF($F148="",999,IF($G148&gt;=5,9999,IF($I148="",999,$I148-TODAY())))</f>
        <v/>
      </c>
    </row>
    <row r="149">
      <c r="A149" s="36">
        <f>ROW()-2</f>
        <v/>
      </c>
      <c r="B149" s="37" t="inlineStr">
        <is>
          <t>S2</t>
        </is>
      </c>
      <c r="C149" s="37" t="inlineStr">
        <is>
          <t>Biophysique</t>
        </is>
      </c>
      <c r="D149" s="37" t="inlineStr"/>
      <c r="E149" s="37" t="inlineStr">
        <is>
          <t>Interaction des rayonnements ionisants avec la matière</t>
        </is>
      </c>
      <c r="F149" s="18" t="n"/>
      <c r="G149" s="19" t="n"/>
      <c r="H149" s="20">
        <f>IF($G149="",1,IF($G149=0,1,IF($G149=1,3,IF($G149=2,7,IF($G149=3,14,IF($G149=4,30,60))))))</f>
        <v/>
      </c>
      <c r="I149" s="21">
        <f>IF($F149="","",$F149+$H149)</f>
        <v/>
      </c>
      <c r="J149">
        <f>IF($F149="","⚪ NEW",IF($G149&gt;=5,"✅ DONE",IF($I149&lt;TODAY(),"🔴 OVERDUE",IF($I149=TODAY(),"🟢 TODAY",IF($I149=TODAY()+1,"🔵 TOMORROW",IF($I149&lt;=TODAY()+7,"📅 THIS WEEK","⏳ SCHEDULED"))))))</f>
        <v/>
      </c>
      <c r="K149" s="20">
        <f>IF($F149="",999,IF($G149&gt;=5,9999,IF($I149="",999,$I149-TODAY())))</f>
        <v/>
      </c>
    </row>
    <row r="150">
      <c r="A150" s="36">
        <f>ROW()-2</f>
        <v/>
      </c>
      <c r="B150" s="37" t="inlineStr">
        <is>
          <t>S2</t>
        </is>
      </c>
      <c r="C150" s="37" t="inlineStr">
        <is>
          <t>Biophysique</t>
        </is>
      </c>
      <c r="D150" s="37" t="inlineStr"/>
      <c r="E150" s="37" t="inlineStr">
        <is>
          <t>Les détecteurs des rayonnements ionisants</t>
        </is>
      </c>
      <c r="F150" s="18" t="n"/>
      <c r="G150" s="19" t="n"/>
      <c r="H150" s="20">
        <f>IF($G150="",1,IF($G150=0,1,IF($G150=1,3,IF($G150=2,7,IF($G150=3,14,IF($G150=4,30,60))))))</f>
        <v/>
      </c>
      <c r="I150" s="21">
        <f>IF($F150="","",$F150+$H150)</f>
        <v/>
      </c>
      <c r="J150">
        <f>IF($F150="","⚪ NEW",IF($G150&gt;=5,"✅ DONE",IF($I150&lt;TODAY(),"🔴 OVERDUE",IF($I150=TODAY(),"🟢 TODAY",IF($I150=TODAY()+1,"🔵 TOMORROW",IF($I150&lt;=TODAY()+7,"📅 THIS WEEK","⏳ SCHEDULED"))))))</f>
        <v/>
      </c>
      <c r="K150" s="20">
        <f>IF($F150="",999,IF($G150&gt;=5,9999,IF($I150="",999,$I150-TODAY())))</f>
        <v/>
      </c>
    </row>
    <row r="151">
      <c r="A151" s="36">
        <f>ROW()-2</f>
        <v/>
      </c>
      <c r="B151" s="37" t="inlineStr">
        <is>
          <t>S2</t>
        </is>
      </c>
      <c r="C151" s="37" t="inlineStr">
        <is>
          <t>Biophysique</t>
        </is>
      </c>
      <c r="D151" s="37" t="inlineStr"/>
      <c r="E151" s="37" t="inlineStr">
        <is>
          <t>Biophysique de la vision</t>
        </is>
      </c>
      <c r="F151" s="18" t="n"/>
      <c r="G151" s="19" t="n"/>
      <c r="H151" s="20">
        <f>IF($G151="",1,IF($G151=0,1,IF($G151=1,3,IF($G151=2,7,IF($G151=3,14,IF($G151=4,30,60))))))</f>
        <v/>
      </c>
      <c r="I151" s="21">
        <f>IF($F151="","",$F151+$H151)</f>
        <v/>
      </c>
      <c r="J151">
        <f>IF($F151="","⚪ NEW",IF($G151&gt;=5,"✅ DONE",IF($I151&lt;TODAY(),"🔴 OVERDUE",IF($I151=TODAY(),"🟢 TODAY",IF($I151=TODAY()+1,"🔵 TOMORROW",IF($I151&lt;=TODAY()+7,"📅 THIS WEEK","⏳ SCHEDULED"))))))</f>
        <v/>
      </c>
      <c r="K151" s="20">
        <f>IF($F151="",999,IF($G151&gt;=5,9999,IF($I151="",999,$I151-TODAY())))</f>
        <v/>
      </c>
    </row>
    <row r="152">
      <c r="A152" s="36">
        <f>ROW()-2</f>
        <v/>
      </c>
      <c r="B152" s="37" t="inlineStr">
        <is>
          <t>S2</t>
        </is>
      </c>
      <c r="C152" s="37" t="inlineStr">
        <is>
          <t>Biophysique</t>
        </is>
      </c>
      <c r="D152" s="37" t="inlineStr"/>
      <c r="E152" s="37" t="inlineStr">
        <is>
          <t>Biophysique de l'audition</t>
        </is>
      </c>
      <c r="F152" s="18" t="n"/>
      <c r="G152" s="19" t="n"/>
      <c r="H152" s="20">
        <f>IF($G152="",1,IF($G152=0,1,IF($G152=1,3,IF($G152=2,7,IF($G152=3,14,IF($G152=4,30,60))))))</f>
        <v/>
      </c>
      <c r="I152" s="21">
        <f>IF($F152="","",$F152+$H152)</f>
        <v/>
      </c>
      <c r="J152">
        <f>IF($F152="","⚪ NEW",IF($G152&gt;=5,"✅ DONE",IF($I152&lt;TODAY(),"🔴 OVERDUE",IF($I152=TODAY(),"🟢 TODAY",IF($I152=TODAY()+1,"🔵 TOMORROW",IF($I152&lt;=TODAY()+7,"📅 THIS WEEK","⏳ SCHEDULED"))))))</f>
        <v/>
      </c>
      <c r="K152" s="20">
        <f>IF($F152="",999,IF($G152&gt;=5,9999,IF($I152="",999,$I152-TODAY())))</f>
        <v/>
      </c>
    </row>
    <row r="153">
      <c r="A153" s="36">
        <f>ROW()-2</f>
        <v/>
      </c>
      <c r="B153" s="37" t="inlineStr">
        <is>
          <t>S2</t>
        </is>
      </c>
      <c r="C153" s="37" t="inlineStr">
        <is>
          <t>Biophysique</t>
        </is>
      </c>
      <c r="D153" s="37" t="inlineStr"/>
      <c r="E153" s="37" t="inlineStr">
        <is>
          <t>Grandeurs extensives</t>
        </is>
      </c>
      <c r="F153" s="18" t="n"/>
      <c r="G153" s="19" t="n"/>
      <c r="H153" s="20">
        <f>IF($G153="",1,IF($G153=0,1,IF($G153=1,3,IF($G153=2,7,IF($G153=3,14,IF($G153=4,30,60))))))</f>
        <v/>
      </c>
      <c r="I153" s="21">
        <f>IF($F153="","",$F153+$H153)</f>
        <v/>
      </c>
      <c r="J153">
        <f>IF($F153="","⚪ NEW",IF($G153&gt;=5,"✅ DONE",IF($I153&lt;TODAY(),"🔴 OVERDUE",IF($I153=TODAY(),"🟢 TODAY",IF($I153=TODAY()+1,"🔵 TOMORROW",IF($I153&lt;=TODAY()+7,"📅 THIS WEEK","⏳ SCHEDULED"))))))</f>
        <v/>
      </c>
      <c r="K153" s="20">
        <f>IF($F153="",999,IF($G153&gt;=5,9999,IF($I153="",999,$I153-TODAY())))</f>
        <v/>
      </c>
    </row>
    <row r="154">
      <c r="A154" s="36">
        <f>ROW()-2</f>
        <v/>
      </c>
      <c r="B154" s="37" t="inlineStr">
        <is>
          <t>S2</t>
        </is>
      </c>
      <c r="C154" s="37" t="inlineStr">
        <is>
          <t>Biophysique</t>
        </is>
      </c>
      <c r="D154" s="37" t="inlineStr"/>
      <c r="E154" s="37" t="inlineStr">
        <is>
          <t>Forces et grandeurs dérivées</t>
        </is>
      </c>
      <c r="F154" s="18" t="n"/>
      <c r="G154" s="19" t="n"/>
      <c r="H154" s="20">
        <f>IF($G154="",1,IF($G154=0,1,IF($G154=1,3,IF($G154=2,7,IF($G154=3,14,IF($G154=4,30,60))))))</f>
        <v/>
      </c>
      <c r="I154" s="21">
        <f>IF($F154="","",$F154+$H154)</f>
        <v/>
      </c>
      <c r="J154">
        <f>IF($F154="","⚪ NEW",IF($G154&gt;=5,"✅ DONE",IF($I154&lt;TODAY(),"🔴 OVERDUE",IF($I154=TODAY(),"🟢 TODAY",IF($I154=TODAY()+1,"🔵 TOMORROW",IF($I154&lt;=TODAY()+7,"📅 THIS WEEK","⏳ SCHEDULED"))))))</f>
        <v/>
      </c>
      <c r="K154" s="20">
        <f>IF($F154="",999,IF($G154&gt;=5,9999,IF($I154="",999,$I154-TODAY())))</f>
        <v/>
      </c>
    </row>
    <row r="155">
      <c r="A155" s="36">
        <f>ROW()-2</f>
        <v/>
      </c>
      <c r="B155" s="37" t="inlineStr">
        <is>
          <t>S2</t>
        </is>
      </c>
      <c r="C155" s="37" t="inlineStr">
        <is>
          <t>Biophysique</t>
        </is>
      </c>
      <c r="D155" s="37" t="inlineStr"/>
      <c r="E155" s="37" t="inlineStr">
        <is>
          <t>États gazeux</t>
        </is>
      </c>
      <c r="F155" s="18" t="n"/>
      <c r="G155" s="19" t="n"/>
      <c r="H155" s="20">
        <f>IF($G155="",1,IF($G155=0,1,IF($G155=1,3,IF($G155=2,7,IF($G155=3,14,IF($G155=4,30,60))))))</f>
        <v/>
      </c>
      <c r="I155" s="21">
        <f>IF($F155="","",$F155+$H155)</f>
        <v/>
      </c>
      <c r="J155">
        <f>IF($F155="","⚪ NEW",IF($G155&gt;=5,"✅ DONE",IF($I155&lt;TODAY(),"🔴 OVERDUE",IF($I155=TODAY(),"🟢 TODAY",IF($I155=TODAY()+1,"🔵 TOMORROW",IF($I155&lt;=TODAY()+7,"📅 THIS WEEK","⏳ SCHEDULED"))))))</f>
        <v/>
      </c>
      <c r="K155" s="20">
        <f>IF($F155="",999,IF($G155&gt;=5,9999,IF($I155="",999,$I155-TODAY())))</f>
        <v/>
      </c>
    </row>
    <row r="156">
      <c r="A156" s="36">
        <f>ROW()-2</f>
        <v/>
      </c>
      <c r="B156" s="37" t="inlineStr">
        <is>
          <t>S2</t>
        </is>
      </c>
      <c r="C156" s="37" t="inlineStr">
        <is>
          <t>Biophysique</t>
        </is>
      </c>
      <c r="D156" s="37" t="inlineStr"/>
      <c r="E156" s="37" t="inlineStr">
        <is>
          <t>Les solutions</t>
        </is>
      </c>
      <c r="F156" s="18" t="n"/>
      <c r="G156" s="19" t="n"/>
      <c r="H156" s="20">
        <f>IF($G156="",1,IF($G156=0,1,IF($G156=1,3,IF($G156=2,7,IF($G156=3,14,IF($G156=4,30,60))))))</f>
        <v/>
      </c>
      <c r="I156" s="21">
        <f>IF($F156="","",$F156+$H156)</f>
        <v/>
      </c>
      <c r="J156">
        <f>IF($F156="","⚪ NEW",IF($G156&gt;=5,"✅ DONE",IF($I156&lt;TODAY(),"🔴 OVERDUE",IF($I156=TODAY(),"🟢 TODAY",IF($I156=TODAY()+1,"🔵 TOMORROW",IF($I156&lt;=TODAY()+7,"📅 THIS WEEK","⏳ SCHEDULED"))))))</f>
        <v/>
      </c>
      <c r="K156" s="20">
        <f>IF($F156="",999,IF($G156&gt;=5,9999,IF($I156="",999,$I156-TODAY())))</f>
        <v/>
      </c>
    </row>
    <row r="157">
      <c r="A157" s="36">
        <f>ROW()-2</f>
        <v/>
      </c>
      <c r="B157" s="37" t="inlineStr">
        <is>
          <t>S2</t>
        </is>
      </c>
      <c r="C157" s="37" t="inlineStr">
        <is>
          <t>Biophysique</t>
        </is>
      </c>
      <c r="D157" s="37" t="inlineStr"/>
      <c r="E157" s="37" t="inlineStr">
        <is>
          <t>Mouvement de convection d'un fluide</t>
        </is>
      </c>
      <c r="F157" s="18" t="n"/>
      <c r="G157" s="19" t="n"/>
      <c r="H157" s="20">
        <f>IF($G157="",1,IF($G157=0,1,IF($G157=1,3,IF($G157=2,7,IF($G157=3,14,IF($G157=4,30,60))))))</f>
        <v/>
      </c>
      <c r="I157" s="21">
        <f>IF($F157="","",$F157+$H157)</f>
        <v/>
      </c>
      <c r="J157">
        <f>IF($F157="","⚪ NEW",IF($G157&gt;=5,"✅ DONE",IF($I157&lt;TODAY(),"🔴 OVERDUE",IF($I157=TODAY(),"🟢 TODAY",IF($I157=TODAY()+1,"🔵 TOMORROW",IF($I157&lt;=TODAY()+7,"📅 THIS WEEK","⏳ SCHEDULED"))))))</f>
        <v/>
      </c>
      <c r="K157" s="20">
        <f>IF($F157="",999,IF($G157&gt;=5,9999,IF($I157="",999,$I157-TODAY())))</f>
        <v/>
      </c>
    </row>
    <row r="158">
      <c r="A158" s="36">
        <f>ROW()-2</f>
        <v/>
      </c>
      <c r="B158" s="37" t="inlineStr">
        <is>
          <t>S2</t>
        </is>
      </c>
      <c r="C158" s="37" t="inlineStr">
        <is>
          <t>Biophysique</t>
        </is>
      </c>
      <c r="D158" s="37" t="inlineStr"/>
      <c r="E158" s="37" t="inlineStr">
        <is>
          <t>Biophysique de la circulation sanguine</t>
        </is>
      </c>
      <c r="F158" s="18" t="n"/>
      <c r="G158" s="19" t="n"/>
      <c r="H158" s="20">
        <f>IF($G158="",1,IF($G158=0,1,IF($G158=1,3,IF($G158=2,7,IF($G158=3,14,IF($G158=4,30,60))))))</f>
        <v/>
      </c>
      <c r="I158" s="21">
        <f>IF($F158="","",$F158+$H158)</f>
        <v/>
      </c>
      <c r="J158">
        <f>IF($F158="","⚪ NEW",IF($G158&gt;=5,"✅ DONE",IF($I158&lt;TODAY(),"🔴 OVERDUE",IF($I158=TODAY(),"🟢 TODAY",IF($I158=TODAY()+1,"🔵 TOMORROW",IF($I158&lt;=TODAY()+7,"📅 THIS WEEK","⏳ SCHEDULED"))))))</f>
        <v/>
      </c>
      <c r="K158" s="20">
        <f>IF($F158="",999,IF($G158&gt;=5,9999,IF($I158="",999,$I158-TODAY())))</f>
        <v/>
      </c>
    </row>
    <row r="159">
      <c r="A159" s="36">
        <f>ROW()-2</f>
        <v/>
      </c>
      <c r="B159" s="37" t="inlineStr">
        <is>
          <t>S2</t>
        </is>
      </c>
      <c r="C159" s="37" t="inlineStr">
        <is>
          <t>Biophysique</t>
        </is>
      </c>
      <c r="D159" s="37" t="inlineStr"/>
      <c r="E159" s="37" t="inlineStr">
        <is>
          <t>Mouvement de migration à l'intérieur des fluides</t>
        </is>
      </c>
      <c r="F159" s="18" t="n"/>
      <c r="G159" s="19" t="n"/>
      <c r="H159" s="20">
        <f>IF($G159="",1,IF($G159=0,1,IF($G159=1,3,IF($G159=2,7,IF($G159=3,14,IF($G159=4,30,60))))))</f>
        <v/>
      </c>
      <c r="I159" s="21">
        <f>IF($F159="","",$F159+$H159)</f>
        <v/>
      </c>
      <c r="J159">
        <f>IF($F159="","⚪ NEW",IF($G159&gt;=5,"✅ DONE",IF($I159&lt;TODAY(),"🔴 OVERDUE",IF($I159=TODAY(),"🟢 TODAY",IF($I159=TODAY()+1,"🔵 TOMORROW",IF($I159&lt;=TODAY()+7,"📅 THIS WEEK","⏳ SCHEDULED"))))))</f>
        <v/>
      </c>
      <c r="K159" s="20">
        <f>IF($F159="",999,IF($G159&gt;=5,9999,IF($I159="",999,$I159-TODAY())))</f>
        <v/>
      </c>
    </row>
    <row r="160">
      <c r="A160" s="36">
        <f>ROW()-2</f>
        <v/>
      </c>
      <c r="B160" s="37" t="inlineStr">
        <is>
          <t>S2</t>
        </is>
      </c>
      <c r="C160" s="37" t="inlineStr">
        <is>
          <t>Biophysique</t>
        </is>
      </c>
      <c r="D160" s="37" t="inlineStr"/>
      <c r="E160" s="37" t="inlineStr">
        <is>
          <t>Potentiel de membrane</t>
        </is>
      </c>
      <c r="F160" s="18" t="n"/>
      <c r="G160" s="19" t="n"/>
      <c r="H160" s="20">
        <f>IF($G160="",1,IF($G160=0,1,IF($G160=1,3,IF($G160=2,7,IF($G160=3,14,IF($G160=4,30,60))))))</f>
        <v/>
      </c>
      <c r="I160" s="21">
        <f>IF($F160="","",$F160+$H160)</f>
        <v/>
      </c>
      <c r="J160">
        <f>IF($F160="","⚪ NEW",IF($G160&gt;=5,"✅ DONE",IF($I160&lt;TODAY(),"🔴 OVERDUE",IF($I160=TODAY(),"🟢 TODAY",IF($I160=TODAY()+1,"🔵 TOMORROW",IF($I160&lt;=TODAY()+7,"📅 THIS WEEK","⏳ SCHEDULED"))))))</f>
        <v/>
      </c>
      <c r="K160" s="20">
        <f>IF($F160="",999,IF($G160&gt;=5,9999,IF($I160="",999,$I160-TODAY())))</f>
        <v/>
      </c>
    </row>
    <row r="161">
      <c r="A161" s="36">
        <f>ROW()-2</f>
        <v/>
      </c>
      <c r="B161" s="37" t="inlineStr">
        <is>
          <t>S2</t>
        </is>
      </c>
      <c r="C161" s="37" t="inlineStr">
        <is>
          <t>Biophysique</t>
        </is>
      </c>
      <c r="D161" s="37" t="inlineStr"/>
      <c r="E161" s="37" t="inlineStr">
        <is>
          <t>Phénomènes osmotiques</t>
        </is>
      </c>
      <c r="F161" s="18" t="n"/>
      <c r="G161" s="19" t="n"/>
      <c r="H161" s="20">
        <f>IF($G161="",1,IF($G161=0,1,IF($G161=1,3,IF($G161=2,7,IF($G161=3,14,IF($G161=4,30,60))))))</f>
        <v/>
      </c>
      <c r="I161" s="21">
        <f>IF($F161="","",$F161+$H161)</f>
        <v/>
      </c>
      <c r="J161">
        <f>IF($F161="","⚪ NEW",IF($G161&gt;=5,"✅ DONE",IF($I161&lt;TODAY(),"🔴 OVERDUE",IF($I161=TODAY(),"🟢 TODAY",IF($I161=TODAY()+1,"🔵 TOMORROW",IF($I161&lt;=TODAY()+7,"📅 THIS WEEK","⏳ SCHEDULED"))))))</f>
        <v/>
      </c>
      <c r="K161" s="20">
        <f>IF($F161="",999,IF($G161&gt;=5,9999,IF($I161="",999,$I161-TODAY())))</f>
        <v/>
      </c>
    </row>
    <row r="162">
      <c r="A162" s="36">
        <f>ROW()-2</f>
        <v/>
      </c>
      <c r="B162" s="37" t="inlineStr">
        <is>
          <t>S2</t>
        </is>
      </c>
      <c r="C162" s="37" t="inlineStr">
        <is>
          <t>Biophysique</t>
        </is>
      </c>
      <c r="D162" s="37" t="inlineStr"/>
      <c r="E162" s="37" t="inlineStr">
        <is>
          <t>L'équilibre acido-basique</t>
        </is>
      </c>
      <c r="F162" s="18" t="n"/>
      <c r="G162" s="19" t="n"/>
      <c r="H162" s="20">
        <f>IF($G162="",1,IF($G162=0,1,IF($G162=1,3,IF($G162=2,7,IF($G162=3,14,IF($G162=4,30,60))))))</f>
        <v/>
      </c>
      <c r="I162" s="21">
        <f>IF($F162="","",$F162+$H162)</f>
        <v/>
      </c>
      <c r="J162">
        <f>IF($F162="","⚪ NEW",IF($G162&gt;=5,"✅ DONE",IF($I162&lt;TODAY(),"🔴 OVERDUE",IF($I162=TODAY(),"🟢 TODAY",IF($I162=TODAY()+1,"🔵 TOMORROW",IF($I162&lt;=TODAY()+7,"📅 THIS WEEK","⏳ SCHEDULED"))))))</f>
        <v/>
      </c>
      <c r="K162" s="20">
        <f>IF($F162="",999,IF($G162&gt;=5,9999,IF($I162="",999,$I162-TODAY())))</f>
        <v/>
      </c>
    </row>
    <row r="163">
      <c r="A163" s="36">
        <f>ROW()-2</f>
        <v/>
      </c>
      <c r="B163" s="37" t="inlineStr">
        <is>
          <t>S2</t>
        </is>
      </c>
      <c r="C163" s="37" t="inlineStr">
        <is>
          <t>Biophysique</t>
        </is>
      </c>
      <c r="D163" s="37" t="inlineStr"/>
      <c r="E163" s="37" t="inlineStr">
        <is>
          <t>Activité électrique du cœur (électrocardiographie)</t>
        </is>
      </c>
      <c r="F163" s="18" t="n"/>
      <c r="G163" s="19" t="n"/>
      <c r="H163" s="20">
        <f>IF($G163="",1,IF($G163=0,1,IF($G163=1,3,IF($G163=2,7,IF($G163=3,14,IF($G163=4,30,60))))))</f>
        <v/>
      </c>
      <c r="I163" s="21">
        <f>IF($F163="","",$F163+$H163)</f>
        <v/>
      </c>
      <c r="J163">
        <f>IF($F163="","⚪ NEW",IF($G163&gt;=5,"✅ DONE",IF($I163&lt;TODAY(),"🔴 OVERDUE",IF($I163=TODAY(),"🟢 TODAY",IF($I163=TODAY()+1,"🔵 TOMORROW",IF($I163&lt;=TODAY()+7,"📅 THIS WEEK","⏳ SCHEDULED"))))))</f>
        <v/>
      </c>
      <c r="K163" s="20">
        <f>IF($F163="",999,IF($G163&gt;=5,9999,IF($I163="",999,$I163-TODAY())))</f>
        <v/>
      </c>
    </row>
    <row r="164">
      <c r="A164" s="36">
        <f>ROW()-2</f>
        <v/>
      </c>
      <c r="B164" s="37" t="inlineStr">
        <is>
          <t>S2</t>
        </is>
      </c>
      <c r="C164" s="37" t="inlineStr">
        <is>
          <t>Biophysique</t>
        </is>
      </c>
      <c r="D164" s="37" t="inlineStr"/>
      <c r="E164" s="37" t="inlineStr">
        <is>
          <t>Bases physiques de la radiographie</t>
        </is>
      </c>
      <c r="F164" s="18" t="n"/>
      <c r="G164" s="19" t="n"/>
      <c r="H164" s="20">
        <f>IF($G164="",1,IF($G164=0,1,IF($G164=1,3,IF($G164=2,7,IF($G164=3,14,IF($G164=4,30,60))))))</f>
        <v/>
      </c>
      <c r="I164" s="21">
        <f>IF($F164="","",$F164+$H164)</f>
        <v/>
      </c>
      <c r="J164">
        <f>IF($F164="","⚪ NEW",IF($G164&gt;=5,"✅ DONE",IF($I164&lt;TODAY(),"🔴 OVERDUE",IF($I164=TODAY(),"🟢 TODAY",IF($I164=TODAY()+1,"🔵 TOMORROW",IF($I164&lt;=TODAY()+7,"📅 THIS WEEK","⏳ SCHEDULED"))))))</f>
        <v/>
      </c>
      <c r="K164" s="20">
        <f>IF($F164="",999,IF($G164&gt;=5,9999,IF($I164="",999,$I164-TODAY())))</f>
        <v/>
      </c>
    </row>
    <row r="165">
      <c r="A165" s="36">
        <f>ROW()-2</f>
        <v/>
      </c>
      <c r="B165" s="37" t="inlineStr">
        <is>
          <t>S2</t>
        </is>
      </c>
      <c r="C165" s="37" t="inlineStr">
        <is>
          <t>Biophysique</t>
        </is>
      </c>
      <c r="D165" s="37" t="inlineStr"/>
      <c r="E165" s="37" t="inlineStr">
        <is>
          <t>Bases physiques du scanner</t>
        </is>
      </c>
      <c r="F165" s="18" t="n"/>
      <c r="G165" s="19" t="n"/>
      <c r="H165" s="20">
        <f>IF($G165="",1,IF($G165=0,1,IF($G165=1,3,IF($G165=2,7,IF($G165=3,14,IF($G165=4,30,60))))))</f>
        <v/>
      </c>
      <c r="I165" s="21">
        <f>IF($F165="","",$F165+$H165)</f>
        <v/>
      </c>
      <c r="J165">
        <f>IF($F165="","⚪ NEW",IF($G165&gt;=5,"✅ DONE",IF($I165&lt;TODAY(),"🔴 OVERDUE",IF($I165=TODAY(),"🟢 TODAY",IF($I165=TODAY()+1,"🔵 TOMORROW",IF($I165&lt;=TODAY()+7,"📅 THIS WEEK","⏳ SCHEDULED"))))))</f>
        <v/>
      </c>
      <c r="K165" s="20">
        <f>IF($F165="",999,IF($G165&gt;=5,9999,IF($I165="",999,$I165-TODAY())))</f>
        <v/>
      </c>
    </row>
    <row r="166">
      <c r="A166" s="36">
        <f>ROW()-2</f>
        <v/>
      </c>
      <c r="B166" s="37" t="inlineStr">
        <is>
          <t>S2</t>
        </is>
      </c>
      <c r="C166" s="37" t="inlineStr">
        <is>
          <t>Biophysique</t>
        </is>
      </c>
      <c r="D166" s="37" t="inlineStr"/>
      <c r="E166" s="37" t="inlineStr">
        <is>
          <t>Bases physiques de l'IRM</t>
        </is>
      </c>
      <c r="F166" s="18" t="n"/>
      <c r="G166" s="19" t="n"/>
      <c r="H166" s="20">
        <f>IF($G166="",1,IF($G166=0,1,IF($G166=1,3,IF($G166=2,7,IF($G166=3,14,IF($G166=4,30,60))))))</f>
        <v/>
      </c>
      <c r="I166" s="21">
        <f>IF($F166="","",$F166+$H166)</f>
        <v/>
      </c>
      <c r="J166">
        <f>IF($F166="","⚪ NEW",IF($G166&gt;=5,"✅ DONE",IF($I166&lt;TODAY(),"🔴 OVERDUE",IF($I166=TODAY(),"🟢 TODAY",IF($I166=TODAY()+1,"🔵 TOMORROW",IF($I166&lt;=TODAY()+7,"📅 THIS WEEK","⏳ SCHEDULED"))))))</f>
        <v/>
      </c>
      <c r="K166" s="20">
        <f>IF($F166="",999,IF($G166&gt;=5,9999,IF($I166="",999,$I166-TODAY())))</f>
        <v/>
      </c>
    </row>
    <row r="167">
      <c r="A167" s="36">
        <f>ROW()-2</f>
        <v/>
      </c>
      <c r="B167" s="37" t="inlineStr">
        <is>
          <t>S2</t>
        </is>
      </c>
      <c r="C167" s="37" t="inlineStr">
        <is>
          <t>Biophysique</t>
        </is>
      </c>
      <c r="D167" s="37" t="inlineStr"/>
      <c r="E167" s="37" t="inlineStr">
        <is>
          <t>Bases physiques des ultrasons</t>
        </is>
      </c>
      <c r="F167" s="18" t="n"/>
      <c r="G167" s="19" t="n"/>
      <c r="H167" s="20">
        <f>IF($G167="",1,IF($G167=0,1,IF($G167=1,3,IF($G167=2,7,IF($G167=3,14,IF($G167=4,30,60))))))</f>
        <v/>
      </c>
      <c r="I167" s="21">
        <f>IF($F167="","",$F167+$H167)</f>
        <v/>
      </c>
      <c r="J167">
        <f>IF($F167="","⚪ NEW",IF($G167&gt;=5,"✅ DONE",IF($I167&lt;TODAY(),"🔴 OVERDUE",IF($I167=TODAY(),"🟢 TODAY",IF($I167=TODAY()+1,"🔵 TOMORROW",IF($I167&lt;=TODAY()+7,"📅 THIS WEEK","⏳ SCHEDULED"))))))</f>
        <v/>
      </c>
      <c r="K167" s="20">
        <f>IF($F167="",999,IF($G167&gt;=5,9999,IF($I167="",999,$I167-TODAY())))</f>
        <v/>
      </c>
    </row>
    <row r="168">
      <c r="A168" s="36">
        <f>ROW()-2</f>
        <v/>
      </c>
      <c r="B168" s="37" t="inlineStr">
        <is>
          <t>S2</t>
        </is>
      </c>
      <c r="C168" s="37" t="inlineStr">
        <is>
          <t>Biophysique</t>
        </is>
      </c>
      <c r="D168" s="37" t="inlineStr"/>
      <c r="E168" s="37" t="inlineStr">
        <is>
          <t>Échodoppler</t>
        </is>
      </c>
      <c r="F168" s="18" t="n"/>
      <c r="G168" s="19" t="n"/>
      <c r="H168" s="20">
        <f>IF($G168="",1,IF($G168=0,1,IF($G168=1,3,IF($G168=2,7,IF($G168=3,14,IF($G168=4,30,60))))))</f>
        <v/>
      </c>
      <c r="I168" s="21">
        <f>IF($F168="","",$F168+$H168)</f>
        <v/>
      </c>
      <c r="J168">
        <f>IF($F168="","⚪ NEW",IF($G168&gt;=5,"✅ DONE",IF($I168&lt;TODAY(),"🔴 OVERDUE",IF($I168=TODAY(),"🟢 TODAY",IF($I168=TODAY()+1,"🔵 TOMORROW",IF($I168&lt;=TODAY()+7,"📅 THIS WEEK","⏳ SCHEDULED"))))))</f>
        <v/>
      </c>
      <c r="K168" s="20">
        <f>IF($F168="",999,IF($G168&gt;=5,9999,IF($I168="",999,$I168-TODAY())))</f>
        <v/>
      </c>
    </row>
    <row r="169">
      <c r="A169" s="36">
        <f>ROW()-2</f>
        <v/>
      </c>
      <c r="B169" s="37" t="inlineStr">
        <is>
          <t>S2</t>
        </is>
      </c>
      <c r="C169" s="37" t="inlineStr">
        <is>
          <t>Biophysique</t>
        </is>
      </c>
      <c r="D169" s="37" t="inlineStr"/>
      <c r="E169" s="37" t="inlineStr">
        <is>
          <t>Effets biologiques des rayonnements ionisants</t>
        </is>
      </c>
      <c r="F169" s="18" t="n"/>
      <c r="G169" s="19" t="n"/>
      <c r="H169" s="20">
        <f>IF($G169="",1,IF($G169=0,1,IF($G169=1,3,IF($G169=2,7,IF($G169=3,14,IF($G169=4,30,60))))))</f>
        <v/>
      </c>
      <c r="I169" s="21">
        <f>IF($F169="","",$F169+$H169)</f>
        <v/>
      </c>
      <c r="J169">
        <f>IF($F169="","⚪ NEW",IF($G169&gt;=5,"✅ DONE",IF($I169&lt;TODAY(),"🔴 OVERDUE",IF($I169=TODAY(),"🟢 TODAY",IF($I169=TODAY()+1,"🔵 TOMORROW",IF($I169&lt;=TODAY()+7,"📅 THIS WEEK","⏳ SCHEDULED"))))))</f>
        <v/>
      </c>
      <c r="K169" s="20">
        <f>IF($F169="",999,IF($G169&gt;=5,9999,IF($I169="",999,$I169-TODAY())))</f>
        <v/>
      </c>
    </row>
    <row r="170">
      <c r="A170" s="36">
        <f>ROW()-2</f>
        <v/>
      </c>
      <c r="B170" s="37" t="inlineStr">
        <is>
          <t>S2</t>
        </is>
      </c>
      <c r="C170" s="37" t="inlineStr">
        <is>
          <t>Biophysique</t>
        </is>
      </c>
      <c r="D170" s="37" t="inlineStr"/>
      <c r="E170" s="37" t="inlineStr">
        <is>
          <t>Radiopathologie</t>
        </is>
      </c>
      <c r="F170" s="18" t="n"/>
      <c r="G170" s="19" t="n"/>
      <c r="H170" s="20">
        <f>IF($G170="",1,IF($G170=0,1,IF($G170=1,3,IF($G170=2,7,IF($G170=3,14,IF($G170=4,30,60))))))</f>
        <v/>
      </c>
      <c r="I170" s="21">
        <f>IF($F170="","",$F170+$H170)</f>
        <v/>
      </c>
      <c r="J170">
        <f>IF($F170="","⚪ NEW",IF($G170&gt;=5,"✅ DONE",IF($I170&lt;TODAY(),"🔴 OVERDUE",IF($I170=TODAY(),"🟢 TODAY",IF($I170=TODAY()+1,"🔵 TOMORROW",IF($I170&lt;=TODAY()+7,"📅 THIS WEEK","⏳ SCHEDULED"))))))</f>
        <v/>
      </c>
      <c r="K170" s="20">
        <f>IF($F170="",999,IF($G170&gt;=5,9999,IF($I170="",999,$I170-TODAY())))</f>
        <v/>
      </c>
    </row>
    <row r="171">
      <c r="A171" s="36">
        <f>ROW()-2</f>
        <v/>
      </c>
      <c r="B171" s="37" t="inlineStr">
        <is>
          <t>S2</t>
        </is>
      </c>
      <c r="C171" s="37" t="inlineStr">
        <is>
          <t>Biophysique</t>
        </is>
      </c>
      <c r="D171" s="37" t="inlineStr"/>
      <c r="E171" s="37" t="inlineStr">
        <is>
          <t>Radioprotection</t>
        </is>
      </c>
      <c r="F171" s="18" t="n"/>
      <c r="G171" s="19" t="n"/>
      <c r="H171" s="20">
        <f>IF($G171="",1,IF($G171=0,1,IF($G171=1,3,IF($G171=2,7,IF($G171=3,14,IF($G171=4,30,60))))))</f>
        <v/>
      </c>
      <c r="I171" s="21">
        <f>IF($F171="","",$F171+$H171)</f>
        <v/>
      </c>
      <c r="J171">
        <f>IF($F171="","⚪ NEW",IF($G171&gt;=5,"✅ DONE",IF($I171&lt;TODAY(),"🔴 OVERDUE",IF($I171=TODAY(),"🟢 TODAY",IF($I171=TODAY()+1,"🔵 TOMORROW",IF($I171&lt;=TODAY()+7,"📅 THIS WEEK","⏳ SCHEDULED"))))))</f>
        <v/>
      </c>
      <c r="K171" s="20">
        <f>IF($F171="",999,IF($G171&gt;=5,9999,IF($I171="",999,$I171-TODAY())))</f>
        <v/>
      </c>
    </row>
    <row r="172">
      <c r="A172" s="38">
        <f>ROW()-2</f>
        <v/>
      </c>
      <c r="B172" s="39" t="inlineStr">
        <is>
          <t>S2</t>
        </is>
      </c>
      <c r="C172" s="39" t="inlineStr">
        <is>
          <t>Histoire et psycho-social</t>
        </is>
      </c>
      <c r="D172" s="39" t="inlineStr">
        <is>
          <t>Histoire de la médecine</t>
        </is>
      </c>
      <c r="E172" s="39" t="inlineStr">
        <is>
          <t>Histoire de la médecine arabo-musulmane</t>
        </is>
      </c>
      <c r="F172" s="18" t="n"/>
      <c r="G172" s="19" t="n"/>
      <c r="H172" s="20">
        <f>IF($G172="",1,IF($G172=0,1,IF($G172=1,3,IF($G172=2,7,IF($G172=3,14,IF($G172=4,30,60))))))</f>
        <v/>
      </c>
      <c r="I172" s="21">
        <f>IF($F172="","",$F172+$H172)</f>
        <v/>
      </c>
      <c r="J172">
        <f>IF($F172="","⚪ NEW",IF($G172&gt;=5,"✅ DONE",IF($I172&lt;TODAY(),"🔴 OVERDUE",IF($I172=TODAY(),"🟢 TODAY",IF($I172=TODAY()+1,"🔵 TOMORROW",IF($I172&lt;=TODAY()+7,"📅 THIS WEEK","⏳ SCHEDULED"))))))</f>
        <v/>
      </c>
      <c r="K172" s="20">
        <f>IF($F172="",999,IF($G172&gt;=5,9999,IF($I172="",999,$I172-TODAY())))</f>
        <v/>
      </c>
    </row>
    <row r="173">
      <c r="A173" s="38">
        <f>ROW()-2</f>
        <v/>
      </c>
      <c r="B173" s="39" t="inlineStr">
        <is>
          <t>S2</t>
        </is>
      </c>
      <c r="C173" s="39" t="inlineStr">
        <is>
          <t>Histoire et psycho-social</t>
        </is>
      </c>
      <c r="D173" s="39" t="inlineStr">
        <is>
          <t>Histoire de la médecine</t>
        </is>
      </c>
      <c r="E173" s="39" t="inlineStr">
        <is>
          <t>Histoire de la chirurgie</t>
        </is>
      </c>
      <c r="F173" s="18" t="n"/>
      <c r="G173" s="19" t="n"/>
      <c r="H173" s="20">
        <f>IF($G173="",1,IF($G173=0,1,IF($G173=1,3,IF($G173=2,7,IF($G173=3,14,IF($G173=4,30,60))))))</f>
        <v/>
      </c>
      <c r="I173" s="21">
        <f>IF($F173="","",$F173+$H173)</f>
        <v/>
      </c>
      <c r="J173">
        <f>IF($F173="","⚪ NEW",IF($G173&gt;=5,"✅ DONE",IF($I173&lt;TODAY(),"🔴 OVERDUE",IF($I173=TODAY(),"🟢 TODAY",IF($I173=TODAY()+1,"🔵 TOMORROW",IF($I173&lt;=TODAY()+7,"📅 THIS WEEK","⏳ SCHEDULED"))))))</f>
        <v/>
      </c>
      <c r="K173" s="20">
        <f>IF($F173="",999,IF($G173&gt;=5,9999,IF($I173="",999,$I173-TODAY())))</f>
        <v/>
      </c>
    </row>
    <row r="174">
      <c r="A174" s="38">
        <f>ROW()-2</f>
        <v/>
      </c>
      <c r="B174" s="39" t="inlineStr">
        <is>
          <t>S2</t>
        </is>
      </c>
      <c r="C174" s="39" t="inlineStr">
        <is>
          <t>Histoire et psycho-social</t>
        </is>
      </c>
      <c r="D174" s="39" t="inlineStr">
        <is>
          <t>Histoire de la médecine</t>
        </is>
      </c>
      <c r="E174" s="39" t="inlineStr">
        <is>
          <t>Histoire des hôpitaux</t>
        </is>
      </c>
      <c r="F174" s="18" t="n"/>
      <c r="G174" s="19" t="n"/>
      <c r="H174" s="20">
        <f>IF($G174="",1,IF($G174=0,1,IF($G174=1,3,IF($G174=2,7,IF($G174=3,14,IF($G174=4,30,60))))))</f>
        <v/>
      </c>
      <c r="I174" s="21">
        <f>IF($F174="","",$F174+$H174)</f>
        <v/>
      </c>
      <c r="J174">
        <f>IF($F174="","⚪ NEW",IF($G174&gt;=5,"✅ DONE",IF($I174&lt;TODAY(),"🔴 OVERDUE",IF($I174=TODAY(),"🟢 TODAY",IF($I174=TODAY()+1,"🔵 TOMORROW",IF($I174&lt;=TODAY()+7,"📅 THIS WEEK","⏳ SCHEDULED"))))))</f>
        <v/>
      </c>
      <c r="K174" s="20">
        <f>IF($F174="",999,IF($G174&gt;=5,9999,IF($I174="",999,$I174-TODAY())))</f>
        <v/>
      </c>
    </row>
    <row r="175">
      <c r="A175" s="38">
        <f>ROW()-2</f>
        <v/>
      </c>
      <c r="B175" s="39" t="inlineStr">
        <is>
          <t>S2</t>
        </is>
      </c>
      <c r="C175" s="39" t="inlineStr">
        <is>
          <t>Histoire et psycho-social</t>
        </is>
      </c>
      <c r="D175" s="39" t="inlineStr">
        <is>
          <t>Histoire de la médecine</t>
        </is>
      </c>
      <c r="E175" s="39" t="inlineStr">
        <is>
          <t>Histoire de la médecine</t>
        </is>
      </c>
      <c r="F175" s="18" t="n"/>
      <c r="G175" s="19" t="n"/>
      <c r="H175" s="20">
        <f>IF($G175="",1,IF($G175=0,1,IF($G175=1,3,IF($G175=2,7,IF($G175=3,14,IF($G175=4,30,60))))))</f>
        <v/>
      </c>
      <c r="I175" s="21">
        <f>IF($F175="","",$F175+$H175)</f>
        <v/>
      </c>
      <c r="J175">
        <f>IF($F175="","⚪ NEW",IF($G175&gt;=5,"✅ DONE",IF($I175&lt;TODAY(),"🔴 OVERDUE",IF($I175=TODAY(),"🟢 TODAY",IF($I175=TODAY()+1,"🔵 TOMORROW",IF($I175&lt;=TODAY()+7,"📅 THIS WEEK","⏳ SCHEDULED"))))))</f>
        <v/>
      </c>
      <c r="K175" s="20">
        <f>IF($F175="",999,IF($G175&gt;=5,9999,IF($I175="",999,$I175-TODAY())))</f>
        <v/>
      </c>
    </row>
    <row r="176">
      <c r="A176" s="38">
        <f>ROW()-2</f>
        <v/>
      </c>
      <c r="B176" s="39" t="inlineStr">
        <is>
          <t>S2</t>
        </is>
      </c>
      <c r="C176" s="39" t="inlineStr">
        <is>
          <t>Histoire et psycho-social</t>
        </is>
      </c>
      <c r="D176" s="39" t="inlineStr">
        <is>
          <t>Histoire de la médecine</t>
        </is>
      </c>
      <c r="E176" s="39" t="inlineStr">
        <is>
          <t>La médecine primitive magique</t>
        </is>
      </c>
      <c r="F176" s="18" t="n"/>
      <c r="G176" s="19" t="n"/>
      <c r="H176" s="20">
        <f>IF($G176="",1,IF($G176=0,1,IF($G176=1,3,IF($G176=2,7,IF($G176=3,14,IF($G176=4,30,60))))))</f>
        <v/>
      </c>
      <c r="I176" s="21">
        <f>IF($F176="","",$F176+$H176)</f>
        <v/>
      </c>
      <c r="J176">
        <f>IF($F176="","⚪ NEW",IF($G176&gt;=5,"✅ DONE",IF($I176&lt;TODAY(),"🔴 OVERDUE",IF($I176=TODAY(),"🟢 TODAY",IF($I176=TODAY()+1,"🔵 TOMORROW",IF($I176&lt;=TODAY()+7,"📅 THIS WEEK","⏳ SCHEDULED"))))))</f>
        <v/>
      </c>
      <c r="K176" s="20">
        <f>IF($F176="",999,IF($G176&gt;=5,9999,IF($I176="",999,$I176-TODAY())))</f>
        <v/>
      </c>
    </row>
    <row r="177">
      <c r="A177" s="38">
        <f>ROW()-2</f>
        <v/>
      </c>
      <c r="B177" s="39" t="inlineStr">
        <is>
          <t>S2</t>
        </is>
      </c>
      <c r="C177" s="39" t="inlineStr">
        <is>
          <t>Histoire et psycho-social</t>
        </is>
      </c>
      <c r="D177" s="39" t="inlineStr">
        <is>
          <t>Histoire de la médecine</t>
        </is>
      </c>
      <c r="E177" s="39" t="inlineStr">
        <is>
          <t>La médecine archaïque</t>
        </is>
      </c>
      <c r="F177" s="18" t="n"/>
      <c r="G177" s="19" t="n"/>
      <c r="H177" s="20">
        <f>IF($G177="",1,IF($G177=0,1,IF($G177=1,3,IF($G177=2,7,IF($G177=3,14,IF($G177=4,30,60))))))</f>
        <v/>
      </c>
      <c r="I177" s="21">
        <f>IF($F177="","",$F177+$H177)</f>
        <v/>
      </c>
      <c r="J177">
        <f>IF($F177="","⚪ NEW",IF($G177&gt;=5,"✅ DONE",IF($I177&lt;TODAY(),"🔴 OVERDUE",IF($I177=TODAY(),"🟢 TODAY",IF($I177=TODAY()+1,"🔵 TOMORROW",IF($I177&lt;=TODAY()+7,"📅 THIS WEEK","⏳ SCHEDULED"))))))</f>
        <v/>
      </c>
      <c r="K177" s="20">
        <f>IF($F177="",999,IF($G177&gt;=5,9999,IF($I177="",999,$I177-TODAY())))</f>
        <v/>
      </c>
    </row>
    <row r="178">
      <c r="A178" s="38">
        <f>ROW()-2</f>
        <v/>
      </c>
      <c r="B178" s="39" t="inlineStr">
        <is>
          <t>S2</t>
        </is>
      </c>
      <c r="C178" s="39" t="inlineStr">
        <is>
          <t>Histoire et psycho-social</t>
        </is>
      </c>
      <c r="D178" s="39" t="inlineStr">
        <is>
          <t>Histoire de la médecine</t>
        </is>
      </c>
      <c r="E178" s="39" t="inlineStr">
        <is>
          <t>La médecine grecque hippocratique</t>
        </is>
      </c>
      <c r="F178" s="18" t="n"/>
      <c r="G178" s="19" t="n"/>
      <c r="H178" s="20">
        <f>IF($G178="",1,IF($G178=0,1,IF($G178=1,3,IF($G178=2,7,IF($G178=3,14,IF($G178=4,30,60))))))</f>
        <v/>
      </c>
      <c r="I178" s="21">
        <f>IF($F178="","",$F178+$H178)</f>
        <v/>
      </c>
      <c r="J178">
        <f>IF($F178="","⚪ NEW",IF($G178&gt;=5,"✅ DONE",IF($I178&lt;TODAY(),"🔴 OVERDUE",IF($I178=TODAY(),"🟢 TODAY",IF($I178=TODAY()+1,"🔵 TOMORROW",IF($I178&lt;=TODAY()+7,"📅 THIS WEEK","⏳ SCHEDULED"))))))</f>
        <v/>
      </c>
      <c r="K178" s="20">
        <f>IF($F178="",999,IF($G178&gt;=5,9999,IF($I178="",999,$I178-TODAY())))</f>
        <v/>
      </c>
    </row>
    <row r="179">
      <c r="A179" s="38">
        <f>ROW()-2</f>
        <v/>
      </c>
      <c r="B179" s="39" t="inlineStr">
        <is>
          <t>S2</t>
        </is>
      </c>
      <c r="C179" s="39" t="inlineStr">
        <is>
          <t>Histoire et psycho-social</t>
        </is>
      </c>
      <c r="D179" s="39" t="inlineStr">
        <is>
          <t>Histoire de la médecine</t>
        </is>
      </c>
      <c r="E179" s="39" t="inlineStr">
        <is>
          <t>La médecine byzantine</t>
        </is>
      </c>
      <c r="F179" s="18" t="n"/>
      <c r="G179" s="19" t="n"/>
      <c r="H179" s="20">
        <f>IF($G179="",1,IF($G179=0,1,IF($G179=1,3,IF($G179=2,7,IF($G179=3,14,IF($G179=4,30,60))))))</f>
        <v/>
      </c>
      <c r="I179" s="21">
        <f>IF($F179="","",$F179+$H179)</f>
        <v/>
      </c>
      <c r="J179">
        <f>IF($F179="","⚪ NEW",IF($G179&gt;=5,"✅ DONE",IF($I179&lt;TODAY(),"🔴 OVERDUE",IF($I179=TODAY(),"🟢 TODAY",IF($I179=TODAY()+1,"🔵 TOMORROW",IF($I179&lt;=TODAY()+7,"📅 THIS WEEK","⏳ SCHEDULED"))))))</f>
        <v/>
      </c>
      <c r="K179" s="20">
        <f>IF($F179="",999,IF($G179&gt;=5,9999,IF($I179="",999,$I179-TODAY())))</f>
        <v/>
      </c>
    </row>
    <row r="180">
      <c r="A180" s="38">
        <f>ROW()-2</f>
        <v/>
      </c>
      <c r="B180" s="39" t="inlineStr">
        <is>
          <t>S2</t>
        </is>
      </c>
      <c r="C180" s="39" t="inlineStr">
        <is>
          <t>Histoire et psycho-social</t>
        </is>
      </c>
      <c r="D180" s="39" t="inlineStr">
        <is>
          <t>Histoire de la médecine</t>
        </is>
      </c>
      <c r="E180" s="39" t="inlineStr">
        <is>
          <t>La médecine arabe</t>
        </is>
      </c>
      <c r="F180" s="18" t="n"/>
      <c r="G180" s="19" t="n"/>
      <c r="H180" s="20">
        <f>IF($G180="",1,IF($G180=0,1,IF($G180=1,3,IF($G180=2,7,IF($G180=3,14,IF($G180=4,30,60))))))</f>
        <v/>
      </c>
      <c r="I180" s="21">
        <f>IF($F180="","",$F180+$H180)</f>
        <v/>
      </c>
      <c r="J180">
        <f>IF($F180="","⚪ NEW",IF($G180&gt;=5,"✅ DONE",IF($I180&lt;TODAY(),"🔴 OVERDUE",IF($I180=TODAY(),"🟢 TODAY",IF($I180=TODAY()+1,"🔵 TOMORROW",IF($I180&lt;=TODAY()+7,"📅 THIS WEEK","⏳ SCHEDULED"))))))</f>
        <v/>
      </c>
      <c r="K180" s="20">
        <f>IF($F180="",999,IF($G180&gt;=5,9999,IF($I180="",999,$I180-TODAY())))</f>
        <v/>
      </c>
    </row>
    <row r="181">
      <c r="A181" s="38">
        <f>ROW()-2</f>
        <v/>
      </c>
      <c r="B181" s="39" t="inlineStr">
        <is>
          <t>S2</t>
        </is>
      </c>
      <c r="C181" s="39" t="inlineStr">
        <is>
          <t>Histoire et psycho-social</t>
        </is>
      </c>
      <c r="D181" s="39" t="inlineStr">
        <is>
          <t>Histoire de la médecine</t>
        </is>
      </c>
      <c r="E181" s="39" t="inlineStr">
        <is>
          <t>Médecine du Moyen Âge</t>
        </is>
      </c>
      <c r="F181" s="18" t="n"/>
      <c r="G181" s="19" t="n"/>
      <c r="H181" s="20">
        <f>IF($G181="",1,IF($G181=0,1,IF($G181=1,3,IF($G181=2,7,IF($G181=3,14,IF($G181=4,30,60))))))</f>
        <v/>
      </c>
      <c r="I181" s="21">
        <f>IF($F181="","",$F181+$H181)</f>
        <v/>
      </c>
      <c r="J181">
        <f>IF($F181="","⚪ NEW",IF($G181&gt;=5,"✅ DONE",IF($I181&lt;TODAY(),"🔴 OVERDUE",IF($I181=TODAY(),"🟢 TODAY",IF($I181=TODAY()+1,"🔵 TOMORROW",IF($I181&lt;=TODAY()+7,"📅 THIS WEEK","⏳ SCHEDULED"))))))</f>
        <v/>
      </c>
      <c r="K181" s="20">
        <f>IF($F181="",999,IF($G181&gt;=5,9999,IF($I181="",999,$I181-TODAY())))</f>
        <v/>
      </c>
    </row>
    <row r="182">
      <c r="A182" s="38">
        <f>ROW()-2</f>
        <v/>
      </c>
      <c r="B182" s="39" t="inlineStr">
        <is>
          <t>S2</t>
        </is>
      </c>
      <c r="C182" s="39" t="inlineStr">
        <is>
          <t>Histoire et psycho-social</t>
        </is>
      </c>
      <c r="D182" s="39" t="inlineStr">
        <is>
          <t>Histoire de la médecine</t>
        </is>
      </c>
      <c r="E182" s="39" t="inlineStr">
        <is>
          <t>Humanisme et phase pré-moderne</t>
        </is>
      </c>
      <c r="F182" s="18" t="n"/>
      <c r="G182" s="19" t="n"/>
      <c r="H182" s="20">
        <f>IF($G182="",1,IF($G182=0,1,IF($G182=1,3,IF($G182=2,7,IF($G182=3,14,IF($G182=4,30,60))))))</f>
        <v/>
      </c>
      <c r="I182" s="21">
        <f>IF($F182="","",$F182+$H182)</f>
        <v/>
      </c>
      <c r="J182">
        <f>IF($F182="","⚪ NEW",IF($G182&gt;=5,"✅ DONE",IF($I182&lt;TODAY(),"🔴 OVERDUE",IF($I182=TODAY(),"🟢 TODAY",IF($I182=TODAY()+1,"🔵 TOMORROW",IF($I182&lt;=TODAY()+7,"📅 THIS WEEK","⏳ SCHEDULED"))))))</f>
        <v/>
      </c>
      <c r="K182" s="20">
        <f>IF($F182="",999,IF($G182&gt;=5,9999,IF($I182="",999,$I182-TODAY())))</f>
        <v/>
      </c>
    </row>
    <row r="183">
      <c r="A183" s="38">
        <f>ROW()-2</f>
        <v/>
      </c>
      <c r="B183" s="39" t="inlineStr">
        <is>
          <t>S2</t>
        </is>
      </c>
      <c r="C183" s="39" t="inlineStr">
        <is>
          <t>Histoire et psycho-social</t>
        </is>
      </c>
      <c r="D183" s="39" t="inlineStr">
        <is>
          <t>Histoire de la médecine</t>
        </is>
      </c>
      <c r="E183" s="39" t="inlineStr">
        <is>
          <t>Médecine moderne et post-moderne</t>
        </is>
      </c>
      <c r="F183" s="18" t="n"/>
      <c r="G183" s="19" t="n"/>
      <c r="H183" s="20">
        <f>IF($G183="",1,IF($G183=0,1,IF($G183=1,3,IF($G183=2,7,IF($G183=3,14,IF($G183=4,30,60))))))</f>
        <v/>
      </c>
      <c r="I183" s="21">
        <f>IF($F183="","",$F183+$H183)</f>
        <v/>
      </c>
      <c r="J183">
        <f>IF($F183="","⚪ NEW",IF($G183&gt;=5,"✅ DONE",IF($I183&lt;TODAY(),"🔴 OVERDUE",IF($I183=TODAY(),"🟢 TODAY",IF($I183=TODAY()+1,"🔵 TOMORROW",IF($I183&lt;=TODAY()+7,"📅 THIS WEEK","⏳ SCHEDULED"))))))</f>
        <v/>
      </c>
      <c r="K183" s="20">
        <f>IF($F183="",999,IF($G183&gt;=5,9999,IF($I183="",999,$I183-TODAY())))</f>
        <v/>
      </c>
    </row>
    <row r="184">
      <c r="A184" s="38">
        <f>ROW()-2</f>
        <v/>
      </c>
      <c r="B184" s="39" t="inlineStr">
        <is>
          <t>S2</t>
        </is>
      </c>
      <c r="C184" s="39" t="inlineStr">
        <is>
          <t>Histoire et psycho-social</t>
        </is>
      </c>
      <c r="D184" s="39" t="inlineStr">
        <is>
          <t>Psycho-social</t>
        </is>
      </c>
      <c r="E184" s="39" t="inlineStr">
        <is>
          <t>Psychologie générale et médicale</t>
        </is>
      </c>
      <c r="F184" s="18" t="n"/>
      <c r="G184" s="19" t="n"/>
      <c r="H184" s="20">
        <f>IF($G184="",1,IF($G184=0,1,IF($G184=1,3,IF($G184=2,7,IF($G184=3,14,IF($G184=4,30,60))))))</f>
        <v/>
      </c>
      <c r="I184" s="21">
        <f>IF($F184="","",$F184+$H184)</f>
        <v/>
      </c>
      <c r="J184">
        <f>IF($F184="","⚪ NEW",IF($G184&gt;=5,"✅ DONE",IF($I184&lt;TODAY(),"🔴 OVERDUE",IF($I184=TODAY(),"🟢 TODAY",IF($I184=TODAY()+1,"🔵 TOMORROW",IF($I184&lt;=TODAY()+7,"📅 THIS WEEK","⏳ SCHEDULED"))))))</f>
        <v/>
      </c>
      <c r="K184" s="20">
        <f>IF($F184="",999,IF($G184&gt;=5,9999,IF($I184="",999,$I184-TODAY())))</f>
        <v/>
      </c>
    </row>
    <row r="185">
      <c r="A185" s="38">
        <f>ROW()-2</f>
        <v/>
      </c>
      <c r="B185" s="39" t="inlineStr">
        <is>
          <t>S2</t>
        </is>
      </c>
      <c r="C185" s="39" t="inlineStr">
        <is>
          <t>Histoire et psycho-social</t>
        </is>
      </c>
      <c r="D185" s="39" t="inlineStr">
        <is>
          <t>Psycho-social</t>
        </is>
      </c>
      <c r="E185" s="39" t="inlineStr">
        <is>
          <t>L'équipe médicale</t>
        </is>
      </c>
      <c r="F185" s="18" t="n"/>
      <c r="G185" s="19" t="n"/>
      <c r="H185" s="20">
        <f>IF($G185="",1,IF($G185=0,1,IF($G185=1,3,IF($G185=2,7,IF($G185=3,14,IF($G185=4,30,60))))))</f>
        <v/>
      </c>
      <c r="I185" s="21">
        <f>IF($F185="","",$F185+$H185)</f>
        <v/>
      </c>
      <c r="J185">
        <f>IF($F185="","⚪ NEW",IF($G185&gt;=5,"✅ DONE",IF($I185&lt;TODAY(),"🔴 OVERDUE",IF($I185=TODAY(),"🟢 TODAY",IF($I185=TODAY()+1,"🔵 TOMORROW",IF($I185&lt;=TODAY()+7,"📅 THIS WEEK","⏳ SCHEDULED"))))))</f>
        <v/>
      </c>
      <c r="K185" s="20">
        <f>IF($F185="",999,IF($G185&gt;=5,9999,IF($I185="",999,$I185-TODAY())))</f>
        <v/>
      </c>
    </row>
    <row r="186">
      <c r="A186" s="38">
        <f>ROW()-2</f>
        <v/>
      </c>
      <c r="B186" s="39" t="inlineStr">
        <is>
          <t>S2</t>
        </is>
      </c>
      <c r="C186" s="39" t="inlineStr">
        <is>
          <t>Histoire et psycho-social</t>
        </is>
      </c>
      <c r="D186" s="39" t="inlineStr">
        <is>
          <t>Psycho-social</t>
        </is>
      </c>
      <c r="E186" s="39" t="inlineStr">
        <is>
          <t>Relation médecin-malade</t>
        </is>
      </c>
      <c r="F186" s="18" t="n"/>
      <c r="G186" s="19" t="n"/>
      <c r="H186" s="20">
        <f>IF($G186="",1,IF($G186=0,1,IF($G186=1,3,IF($G186=2,7,IF($G186=3,14,IF($G186=4,30,60))))))</f>
        <v/>
      </c>
      <c r="I186" s="21">
        <f>IF($F186="","",$F186+$H186)</f>
        <v/>
      </c>
      <c r="J186">
        <f>IF($F186="","⚪ NEW",IF($G186&gt;=5,"✅ DONE",IF($I186&lt;TODAY(),"🔴 OVERDUE",IF($I186=TODAY(),"🟢 TODAY",IF($I186=TODAY()+1,"🔵 TOMORROW",IF($I186&lt;=TODAY()+7,"📅 THIS WEEK","⏳ SCHEDULED"))))))</f>
        <v/>
      </c>
      <c r="K186" s="20">
        <f>IF($F186="",999,IF($G186&gt;=5,9999,IF($I186="",999,$I186-TODAY())))</f>
        <v/>
      </c>
    </row>
    <row r="187">
      <c r="A187" s="38">
        <f>ROW()-2</f>
        <v/>
      </c>
      <c r="B187" s="39" t="inlineStr">
        <is>
          <t>S2</t>
        </is>
      </c>
      <c r="C187" s="39" t="inlineStr">
        <is>
          <t>Histoire et psycho-social</t>
        </is>
      </c>
      <c r="D187" s="39" t="inlineStr">
        <is>
          <t>Psycho-social</t>
        </is>
      </c>
      <c r="E187" s="39" t="inlineStr">
        <is>
          <t>Le malade et sa maladie</t>
        </is>
      </c>
      <c r="F187" s="18" t="n"/>
      <c r="G187" s="19" t="n"/>
      <c r="H187" s="20">
        <f>IF($G187="",1,IF($G187=0,1,IF($G187=1,3,IF($G187=2,7,IF($G187=3,14,IF($G187=4,30,60))))))</f>
        <v/>
      </c>
      <c r="I187" s="21">
        <f>IF($F187="","",$F187+$H187)</f>
        <v/>
      </c>
      <c r="J187">
        <f>IF($F187="","⚪ NEW",IF($G187&gt;=5,"✅ DONE",IF($I187&lt;TODAY(),"🔴 OVERDUE",IF($I187=TODAY(),"🟢 TODAY",IF($I187=TODAY()+1,"🔵 TOMORROW",IF($I187&lt;=TODAY()+7,"📅 THIS WEEK","⏳ SCHEDULED"))))))</f>
        <v/>
      </c>
      <c r="K187" s="20">
        <f>IF($F187="",999,IF($G187&gt;=5,9999,IF($I187="",999,$I187-TODAY())))</f>
        <v/>
      </c>
    </row>
    <row r="188">
      <c r="A188" s="38">
        <f>ROW()-2</f>
        <v/>
      </c>
      <c r="B188" s="39" t="inlineStr">
        <is>
          <t>S2</t>
        </is>
      </c>
      <c r="C188" s="39" t="inlineStr">
        <is>
          <t>Histoire et psycho-social</t>
        </is>
      </c>
      <c r="D188" s="39" t="inlineStr">
        <is>
          <t>Psycho-social</t>
        </is>
      </c>
      <c r="E188" s="39" t="inlineStr">
        <is>
          <t>Aspect psychologique des maladies graves et annonce diagnostique</t>
        </is>
      </c>
      <c r="F188" s="18" t="n"/>
      <c r="G188" s="19" t="n"/>
      <c r="H188" s="20">
        <f>IF($G188="",1,IF($G188=0,1,IF($G188=1,3,IF($G188=2,7,IF($G188=3,14,IF($G188=4,30,60))))))</f>
        <v/>
      </c>
      <c r="I188" s="21">
        <f>IF($F188="","",$F188+$H188)</f>
        <v/>
      </c>
      <c r="J188">
        <f>IF($F188="","⚪ NEW",IF($G188&gt;=5,"✅ DONE",IF($I188&lt;TODAY(),"🔴 OVERDUE",IF($I188=TODAY(),"🟢 TODAY",IF($I188=TODAY()+1,"🔵 TOMORROW",IF($I188&lt;=TODAY()+7,"📅 THIS WEEK","⏳ SCHEDULED"))))))</f>
        <v/>
      </c>
      <c r="K188" s="20">
        <f>IF($F188="",999,IF($G188&gt;=5,9999,IF($I188="",999,$I188-TODAY())))</f>
        <v/>
      </c>
    </row>
    <row r="189">
      <c r="A189" s="38">
        <f>ROW()-2</f>
        <v/>
      </c>
      <c r="B189" s="39" t="inlineStr">
        <is>
          <t>S2</t>
        </is>
      </c>
      <c r="C189" s="39" t="inlineStr">
        <is>
          <t>Histoire et psycho-social</t>
        </is>
      </c>
      <c r="D189" s="39" t="inlineStr">
        <is>
          <t>Psycho-social</t>
        </is>
      </c>
      <c r="E189" s="39" t="inlineStr">
        <is>
          <t>Aspect psychologique de la consultation et de l'hôpital</t>
        </is>
      </c>
      <c r="F189" s="18" t="n"/>
      <c r="G189" s="19" t="n"/>
      <c r="H189" s="20">
        <f>IF($G189="",1,IF($G189=0,1,IF($G189=1,3,IF($G189=2,7,IF($G189=3,14,IF($G189=4,30,60))))))</f>
        <v/>
      </c>
      <c r="I189" s="21">
        <f>IF($F189="","",$F189+$H189)</f>
        <v/>
      </c>
      <c r="J189">
        <f>IF($F189="","⚪ NEW",IF($G189&gt;=5,"✅ DONE",IF($I189&lt;TODAY(),"🔴 OVERDUE",IF($I189=TODAY(),"🟢 TODAY",IF($I189=TODAY()+1,"🔵 TOMORROW",IF($I189&lt;=TODAY()+7,"📅 THIS WEEK","⏳ SCHEDULED"))))))</f>
        <v/>
      </c>
      <c r="K189" s="20">
        <f>IF($F189="",999,IF($G189&gt;=5,9999,IF($I189="",999,$I189-TODAY())))</f>
        <v/>
      </c>
    </row>
    <row r="190">
      <c r="A190" s="38">
        <f>ROW()-2</f>
        <v/>
      </c>
      <c r="B190" s="39" t="inlineStr">
        <is>
          <t>S2</t>
        </is>
      </c>
      <c r="C190" s="39" t="inlineStr">
        <is>
          <t>Histoire et psycho-social</t>
        </is>
      </c>
      <c r="D190" s="39" t="inlineStr">
        <is>
          <t>Psycho-social</t>
        </is>
      </c>
      <c r="E190" s="39" t="inlineStr">
        <is>
          <t>Aspect psychologique du médicament</t>
        </is>
      </c>
      <c r="F190" s="18" t="n"/>
      <c r="G190" s="19" t="n"/>
      <c r="H190" s="20">
        <f>IF($G190="",1,IF($G190=0,1,IF($G190=1,3,IF($G190=2,7,IF($G190=3,14,IF($G190=4,30,60))))))</f>
        <v/>
      </c>
      <c r="I190" s="21">
        <f>IF($F190="","",$F190+$H190)</f>
        <v/>
      </c>
      <c r="J190">
        <f>IF($F190="","⚪ NEW",IF($G190&gt;=5,"✅ DONE",IF($I190&lt;TODAY(),"🔴 OVERDUE",IF($I190=TODAY(),"🟢 TODAY",IF($I190=TODAY()+1,"🔵 TOMORROW",IF($I190&lt;=TODAY()+7,"📅 THIS WEEK","⏳ SCHEDULED"))))))</f>
        <v/>
      </c>
      <c r="K190" s="20">
        <f>IF($F190="",999,IF($G190&gt;=5,9999,IF($I190="",999,$I190-TODAY())))</f>
        <v/>
      </c>
    </row>
    <row r="191">
      <c r="A191" s="38">
        <f>ROW()-2</f>
        <v/>
      </c>
      <c r="B191" s="39" t="inlineStr">
        <is>
          <t>S2</t>
        </is>
      </c>
      <c r="C191" s="39" t="inlineStr">
        <is>
          <t>Histoire et psycho-social</t>
        </is>
      </c>
      <c r="D191" s="39" t="inlineStr">
        <is>
          <t>Psycho-social</t>
        </is>
      </c>
      <c r="E191" s="39" t="inlineStr">
        <is>
          <t>Psychologie de l'adolescent</t>
        </is>
      </c>
      <c r="F191" s="18" t="n"/>
      <c r="G191" s="19" t="n"/>
      <c r="H191" s="20">
        <f>IF($G191="",1,IF($G191=0,1,IF($G191=1,3,IF($G191=2,7,IF($G191=3,14,IF($G191=4,30,60))))))</f>
        <v/>
      </c>
      <c r="I191" s="21">
        <f>IF($F191="","",$F191+$H191)</f>
        <v/>
      </c>
      <c r="J191">
        <f>IF($F191="","⚪ NEW",IF($G191&gt;=5,"✅ DONE",IF($I191&lt;TODAY(),"🔴 OVERDUE",IF($I191=TODAY(),"🟢 TODAY",IF($I191=TODAY()+1,"🔵 TOMORROW",IF($I191&lt;=TODAY()+7,"📅 THIS WEEK","⏳ SCHEDULED"))))))</f>
        <v/>
      </c>
      <c r="K191" s="20">
        <f>IF($F191="",999,IF($G191&gt;=5,9999,IF($I191="",999,$I191-TODAY())))</f>
        <v/>
      </c>
    </row>
    <row r="192">
      <c r="A192" s="38">
        <f>ROW()-2</f>
        <v/>
      </c>
      <c r="B192" s="39" t="inlineStr">
        <is>
          <t>S2</t>
        </is>
      </c>
      <c r="C192" s="39" t="inlineStr">
        <is>
          <t>Histoire et psycho-social</t>
        </is>
      </c>
      <c r="D192" s="39" t="inlineStr">
        <is>
          <t>Psycho-social</t>
        </is>
      </c>
      <c r="E192" s="39" t="inlineStr">
        <is>
          <t>Psychologie du sujet âgé</t>
        </is>
      </c>
      <c r="F192" s="18" t="n"/>
      <c r="G192" s="19" t="n"/>
      <c r="H192" s="20">
        <f>IF($G192="",1,IF($G192=0,1,IF($G192=1,3,IF($G192=2,7,IF($G192=3,14,IF($G192=4,30,60))))))</f>
        <v/>
      </c>
      <c r="I192" s="21">
        <f>IF($F192="","",$F192+$H192)</f>
        <v/>
      </c>
      <c r="J192">
        <f>IF($F192="","⚪ NEW",IF($G192&gt;=5,"✅ DONE",IF($I192&lt;TODAY(),"🔴 OVERDUE",IF($I192=TODAY(),"🟢 TODAY",IF($I192=TODAY()+1,"🔵 TOMORROW",IF($I192&lt;=TODAY()+7,"📅 THIS WEEK","⏳ SCHEDULED"))))))</f>
        <v/>
      </c>
      <c r="K192" s="20">
        <f>IF($F192="",999,IF($G192&gt;=5,9999,IF($I192="",999,$I192-TODAY())))</f>
        <v/>
      </c>
    </row>
    <row r="193">
      <c r="A193" s="38">
        <f>ROW()-2</f>
        <v/>
      </c>
      <c r="B193" s="39" t="inlineStr">
        <is>
          <t>S2</t>
        </is>
      </c>
      <c r="C193" s="39" t="inlineStr">
        <is>
          <t>Histoire et psycho-social</t>
        </is>
      </c>
      <c r="D193" s="39" t="inlineStr">
        <is>
          <t>Psycho-social</t>
        </is>
      </c>
      <c r="E193" s="39" t="inlineStr">
        <is>
          <t>Stress et santé</t>
        </is>
      </c>
      <c r="F193" s="18" t="n"/>
      <c r="G193" s="19" t="n"/>
      <c r="H193" s="20">
        <f>IF($G193="",1,IF($G193=0,1,IF($G193=1,3,IF($G193=2,7,IF($G193=3,14,IF($G193=4,30,60))))))</f>
        <v/>
      </c>
      <c r="I193" s="21">
        <f>IF($F193="","",$F193+$H193)</f>
        <v/>
      </c>
      <c r="J193">
        <f>IF($F193="","⚪ NEW",IF($G193&gt;=5,"✅ DONE",IF($I193&lt;TODAY(),"🔴 OVERDUE",IF($I193=TODAY(),"🟢 TODAY",IF($I193=TODAY()+1,"🔵 TOMORROW",IF($I193&lt;=TODAY()+7,"📅 THIS WEEK","⏳ SCHEDULED"))))))</f>
        <v/>
      </c>
      <c r="K193" s="20">
        <f>IF($F193="",999,IF($G193&gt;=5,9999,IF($I193="",999,$I193-TODAY())))</f>
        <v/>
      </c>
    </row>
    <row r="194">
      <c r="A194" s="38">
        <f>ROW()-2</f>
        <v/>
      </c>
      <c r="B194" s="39" t="inlineStr">
        <is>
          <t>S2</t>
        </is>
      </c>
      <c r="C194" s="39" t="inlineStr">
        <is>
          <t>Histoire et psycho-social</t>
        </is>
      </c>
      <c r="D194" s="39" t="inlineStr">
        <is>
          <t>Psycho-social</t>
        </is>
      </c>
      <c r="E194" s="39" t="inlineStr">
        <is>
          <t>Le développement psychomoteur de l'enfant et du nourrisson</t>
        </is>
      </c>
      <c r="F194" s="18" t="n"/>
      <c r="G194" s="19" t="n"/>
      <c r="H194" s="20">
        <f>IF($G194="",1,IF($G194=0,1,IF($G194=1,3,IF($G194=2,7,IF($G194=3,14,IF($G194=4,30,60))))))</f>
        <v/>
      </c>
      <c r="I194" s="21">
        <f>IF($F194="","",$F194+$H194)</f>
        <v/>
      </c>
      <c r="J194">
        <f>IF($F194="","⚪ NEW",IF($G194&gt;=5,"✅ DONE",IF($I194&lt;TODAY(),"🔴 OVERDUE",IF($I194=TODAY(),"🟢 TODAY",IF($I194=TODAY()+1,"🔵 TOMORROW",IF($I194&lt;=TODAY()+7,"📅 THIS WEEK","⏳ SCHEDULED"))))))</f>
        <v/>
      </c>
      <c r="K194" s="20">
        <f>IF($F194="",999,IF($G194&gt;=5,9999,IF($I194="",999,$I194-TODAY())))</f>
        <v/>
      </c>
    </row>
    <row r="195">
      <c r="A195" s="38">
        <f>ROW()-2</f>
        <v/>
      </c>
      <c r="B195" s="39" t="inlineStr">
        <is>
          <t>S2</t>
        </is>
      </c>
      <c r="C195" s="39" t="inlineStr">
        <is>
          <t>Histoire et psycho-social</t>
        </is>
      </c>
      <c r="D195" s="39" t="inlineStr">
        <is>
          <t>Psycho-social</t>
        </is>
      </c>
      <c r="E195" s="39" t="inlineStr">
        <is>
          <t>Le développement cognitif chez l'enfant</t>
        </is>
      </c>
      <c r="F195" s="18" t="n"/>
      <c r="G195" s="19" t="n"/>
      <c r="H195" s="20">
        <f>IF($G195="",1,IF($G195=0,1,IF($G195=1,3,IF($G195=2,7,IF($G195=3,14,IF($G195=4,30,60))))))</f>
        <v/>
      </c>
      <c r="I195" s="21">
        <f>IF($F195="","",$F195+$H195)</f>
        <v/>
      </c>
      <c r="J195">
        <f>IF($F195="","⚪ NEW",IF($G195&gt;=5,"✅ DONE",IF($I195&lt;TODAY(),"🔴 OVERDUE",IF($I195=TODAY(),"🟢 TODAY",IF($I195=TODAY()+1,"🔵 TOMORROW",IF($I195&lt;=TODAY()+7,"📅 THIS WEEK","⏳ SCHEDULED"))))))</f>
        <v/>
      </c>
      <c r="K195" s="20">
        <f>IF($F195="",999,IF($G195&gt;=5,9999,IF($I195="",999,$I195-TODAY())))</f>
        <v/>
      </c>
    </row>
    <row r="196">
      <c r="A196" s="38">
        <f>ROW()-2</f>
        <v/>
      </c>
      <c r="B196" s="39" t="inlineStr">
        <is>
          <t>S2</t>
        </is>
      </c>
      <c r="C196" s="39" t="inlineStr">
        <is>
          <t>Histoire et psycho-social</t>
        </is>
      </c>
      <c r="D196" s="39" t="inlineStr">
        <is>
          <t>Psycho-social</t>
        </is>
      </c>
      <c r="E196" s="39" t="inlineStr">
        <is>
          <t>Le développement psychoaffectif de l'enfant</t>
        </is>
      </c>
      <c r="F196" s="18" t="n"/>
      <c r="G196" s="19" t="n"/>
      <c r="H196" s="20">
        <f>IF($G196="",1,IF($G196=0,1,IF($G196=1,3,IF($G196=2,7,IF($G196=3,14,IF($G196=4,30,60))))))</f>
        <v/>
      </c>
      <c r="I196" s="21">
        <f>IF($F196="","",$F196+$H196)</f>
        <v/>
      </c>
      <c r="J196">
        <f>IF($F196="","⚪ NEW",IF($G196&gt;=5,"✅ DONE",IF($I196&lt;TODAY(),"🔴 OVERDUE",IF($I196=TODAY(),"🟢 TODAY",IF($I196=TODAY()+1,"🔵 TOMORROW",IF($I196&lt;=TODAY()+7,"📅 THIS WEEK","⏳ SCHEDULED"))))))</f>
        <v/>
      </c>
      <c r="K196" s="20">
        <f>IF($F196="",999,IF($G196&gt;=5,9999,IF($I196="",999,$I196-TODAY())))</f>
        <v/>
      </c>
    </row>
    <row r="197">
      <c r="A197" s="38">
        <f>ROW()-2</f>
        <v/>
      </c>
      <c r="B197" s="39" t="inlineStr">
        <is>
          <t>S2</t>
        </is>
      </c>
      <c r="C197" s="39" t="inlineStr">
        <is>
          <t>Histoire et psycho-social</t>
        </is>
      </c>
      <c r="D197" s="39" t="inlineStr">
        <is>
          <t>Psycho-social</t>
        </is>
      </c>
      <c r="E197" s="39" t="inlineStr">
        <is>
          <t>Le développement de la personnalité</t>
        </is>
      </c>
      <c r="F197" s="18" t="n"/>
      <c r="G197" s="19" t="n"/>
      <c r="H197" s="20">
        <f>IF($G197="",1,IF($G197=0,1,IF($G197=1,3,IF($G197=2,7,IF($G197=3,14,IF($G197=4,30,60))))))</f>
        <v/>
      </c>
      <c r="I197" s="21">
        <f>IF($F197="","",$F197+$H197)</f>
        <v/>
      </c>
      <c r="J197">
        <f>IF($F197="","⚪ NEW",IF($G197&gt;=5,"✅ DONE",IF($I197&lt;TODAY(),"🔴 OVERDUE",IF($I197=TODAY(),"🟢 TODAY",IF($I197=TODAY()+1,"🔵 TOMORROW",IF($I197&lt;=TODAY()+7,"📅 THIS WEEK","⏳ SCHEDULED"))))))</f>
        <v/>
      </c>
      <c r="K197" s="20">
        <f>IF($F197="",999,IF($G197&gt;=5,9999,IF($I197="",999,$I197-TODAY())))</f>
        <v/>
      </c>
    </row>
    <row r="198">
      <c r="A198" s="38">
        <f>ROW()-2</f>
        <v/>
      </c>
      <c r="B198" s="39" t="inlineStr">
        <is>
          <t>S2</t>
        </is>
      </c>
      <c r="C198" s="39" t="inlineStr">
        <is>
          <t>Histoire et psycho-social</t>
        </is>
      </c>
      <c r="D198" s="39" t="inlineStr">
        <is>
          <t>Psycho-social</t>
        </is>
      </c>
      <c r="E198" s="39" t="inlineStr">
        <is>
          <t>Psychologie de la mémoire</t>
        </is>
      </c>
      <c r="F198" s="18" t="n"/>
      <c r="G198" s="19" t="n"/>
      <c r="H198" s="20">
        <f>IF($G198="",1,IF($G198=0,1,IF($G198=1,3,IF($G198=2,7,IF($G198=3,14,IF($G198=4,30,60))))))</f>
        <v/>
      </c>
      <c r="I198" s="21">
        <f>IF($F198="","",$F198+$H198)</f>
        <v/>
      </c>
      <c r="J198">
        <f>IF($F198="","⚪ NEW",IF($G198&gt;=5,"✅ DONE",IF($I198&lt;TODAY(),"🔴 OVERDUE",IF($I198=TODAY(),"🟢 TODAY",IF($I198=TODAY()+1,"🔵 TOMORROW",IF($I198&lt;=TODAY()+7,"📅 THIS WEEK","⏳ SCHEDULED"))))))</f>
        <v/>
      </c>
      <c r="K198" s="20">
        <f>IF($F198="",999,IF($G198&gt;=5,9999,IF($I198="",999,$I198-TODAY())))</f>
        <v/>
      </c>
    </row>
    <row r="199">
      <c r="A199" s="38">
        <f>ROW()-2</f>
        <v/>
      </c>
      <c r="B199" s="39" t="inlineStr">
        <is>
          <t>S2</t>
        </is>
      </c>
      <c r="C199" s="39" t="inlineStr">
        <is>
          <t>Histoire et psycho-social</t>
        </is>
      </c>
      <c r="D199" s="39" t="inlineStr">
        <is>
          <t>Psycho-social</t>
        </is>
      </c>
      <c r="E199" s="39" t="inlineStr">
        <is>
          <t>Psychologie du comportement</t>
        </is>
      </c>
      <c r="F199" s="18" t="n"/>
      <c r="G199" s="19" t="n"/>
      <c r="H199" s="20">
        <f>IF($G199="",1,IF($G199=0,1,IF($G199=1,3,IF($G199=2,7,IF($G199=3,14,IF($G199=4,30,60))))))</f>
        <v/>
      </c>
      <c r="I199" s="21">
        <f>IF($F199="","",$F199+$H199)</f>
        <v/>
      </c>
      <c r="J199">
        <f>IF($F199="","⚪ NEW",IF($G199&gt;=5,"✅ DONE",IF($I199&lt;TODAY(),"🔴 OVERDUE",IF($I199=TODAY(),"🟢 TODAY",IF($I199=TODAY()+1,"🔵 TOMORROW",IF($I199&lt;=TODAY()+7,"📅 THIS WEEK","⏳ SCHEDULED"))))))</f>
        <v/>
      </c>
      <c r="K199" s="20">
        <f>IF($F199="",999,IF($G199&gt;=5,9999,IF($I199="",999,$I199-TODAY())))</f>
        <v/>
      </c>
    </row>
    <row r="200">
      <c r="A200" s="38">
        <f>ROW()-2</f>
        <v/>
      </c>
      <c r="B200" s="39" t="inlineStr">
        <is>
          <t>S2</t>
        </is>
      </c>
      <c r="C200" s="39" t="inlineStr">
        <is>
          <t>Histoire et psycho-social</t>
        </is>
      </c>
      <c r="D200" s="39" t="inlineStr">
        <is>
          <t>Psycho-social</t>
        </is>
      </c>
      <c r="E200" s="39" t="inlineStr">
        <is>
          <t>Les émotions</t>
        </is>
      </c>
      <c r="F200" s="18" t="n"/>
      <c r="G200" s="19" t="n"/>
      <c r="H200" s="20">
        <f>IF($G200="",1,IF($G200=0,1,IF($G200=1,3,IF($G200=2,7,IF($G200=3,14,IF($G200=4,30,60))))))</f>
        <v/>
      </c>
      <c r="I200" s="21">
        <f>IF($F200="","",$F200+$H200)</f>
        <v/>
      </c>
      <c r="J200">
        <f>IF($F200="","⚪ NEW",IF($G200&gt;=5,"✅ DONE",IF($I200&lt;TODAY(),"🔴 OVERDUE",IF($I200=TODAY(),"🟢 TODAY",IF($I200=TODAY()+1,"🔵 TOMORROW",IF($I200&lt;=TODAY()+7,"📅 THIS WEEK","⏳ SCHEDULED"))))))</f>
        <v/>
      </c>
      <c r="K200" s="20">
        <f>IF($F200="",999,IF($G200&gt;=5,9999,IF($I200="",999,$I200-TODAY())))</f>
        <v/>
      </c>
    </row>
    <row r="201">
      <c r="A201" s="38">
        <f>ROW()-2</f>
        <v/>
      </c>
      <c r="B201" s="39" t="inlineStr">
        <is>
          <t>S2</t>
        </is>
      </c>
      <c r="C201" s="39" t="inlineStr">
        <is>
          <t>Histoire et psycho-social</t>
        </is>
      </c>
      <c r="D201" s="39" t="inlineStr">
        <is>
          <t>Psycho-social</t>
        </is>
      </c>
      <c r="E201" s="39" t="inlineStr">
        <is>
          <t>Sociologie de la santé</t>
        </is>
      </c>
      <c r="F201" s="18" t="n"/>
      <c r="G201" s="19" t="n"/>
      <c r="H201" s="20">
        <f>IF($G201="",1,IF($G201=0,1,IF($G201=1,3,IF($G201=2,7,IF($G201=3,14,IF($G201=4,30,60))))))</f>
        <v/>
      </c>
      <c r="I201" s="21">
        <f>IF($F201="","",$F201+$H201)</f>
        <v/>
      </c>
      <c r="J201">
        <f>IF($F201="","⚪ NEW",IF($G201&gt;=5,"✅ DONE",IF($I201&lt;TODAY(),"🔴 OVERDUE",IF($I201=TODAY(),"🟢 TODAY",IF($I201=TODAY()+1,"🔵 TOMORROW",IF($I201&lt;=TODAY()+7,"📅 THIS WEEK","⏳ SCHEDULED"))))))</f>
        <v/>
      </c>
      <c r="K201" s="20">
        <f>IF($F201="",999,IF($G201&gt;=5,9999,IF($I201="",999,$I201-TODAY())))</f>
        <v/>
      </c>
    </row>
    <row r="202">
      <c r="A202" s="38">
        <f>ROW()-2</f>
        <v/>
      </c>
      <c r="B202" s="39" t="inlineStr">
        <is>
          <t>S2</t>
        </is>
      </c>
      <c r="C202" s="39" t="inlineStr">
        <is>
          <t>Histoire et psycho-social</t>
        </is>
      </c>
      <c r="D202" s="39" t="inlineStr">
        <is>
          <t>Psycho-social</t>
        </is>
      </c>
      <c r="E202" s="39" t="inlineStr">
        <is>
          <t>Déterminants sociaux de la santé</t>
        </is>
      </c>
      <c r="F202" s="18" t="n"/>
      <c r="G202" s="19" t="n"/>
      <c r="H202" s="20">
        <f>IF($G202="",1,IF($G202=0,1,IF($G202=1,3,IF($G202=2,7,IF($G202=3,14,IF($G202=4,30,60))))))</f>
        <v/>
      </c>
      <c r="I202" s="21">
        <f>IF($F202="","",$F202+$H202)</f>
        <v/>
      </c>
      <c r="J202">
        <f>IF($F202="","⚪ NEW",IF($G202&gt;=5,"✅ DONE",IF($I202&lt;TODAY(),"🔴 OVERDUE",IF($I202=TODAY(),"🟢 TODAY",IF($I202=TODAY()+1,"🔵 TOMORROW",IF($I202&lt;=TODAY()+7,"📅 THIS WEEK","⏳ SCHEDULED"))))))</f>
        <v/>
      </c>
      <c r="K202" s="20">
        <f>IF($F202="",999,IF($G202&gt;=5,9999,IF($I202="",999,$I202-TODAY())))</f>
        <v/>
      </c>
    </row>
    <row r="203">
      <c r="A203" s="38">
        <f>ROW()-2</f>
        <v/>
      </c>
      <c r="B203" s="39" t="inlineStr">
        <is>
          <t>S2</t>
        </is>
      </c>
      <c r="C203" s="39" t="inlineStr">
        <is>
          <t>Histoire et psycho-social</t>
        </is>
      </c>
      <c r="D203" s="39" t="inlineStr">
        <is>
          <t>Psycho-social</t>
        </is>
      </c>
      <c r="E203" s="39" t="inlineStr">
        <is>
          <t>Les approches</t>
        </is>
      </c>
      <c r="F203" s="18" t="n"/>
      <c r="G203" s="19" t="n"/>
      <c r="H203" s="20">
        <f>IF($G203="",1,IF($G203=0,1,IF($G203=1,3,IF($G203=2,7,IF($G203=3,14,IF($G203=4,30,60))))))</f>
        <v/>
      </c>
      <c r="I203" s="21">
        <f>IF($F203="","",$F203+$H203)</f>
        <v/>
      </c>
      <c r="J203">
        <f>IF($F203="","⚪ NEW",IF($G203&gt;=5,"✅ DONE",IF($I203&lt;TODAY(),"🔴 OVERDUE",IF($I203=TODAY(),"🟢 TODAY",IF($I203=TODAY()+1,"🔵 TOMORROW",IF($I203&lt;=TODAY()+7,"📅 THIS WEEK","⏳ SCHEDULED"))))))</f>
        <v/>
      </c>
      <c r="K203" s="20">
        <f>IF($F203="",999,IF($G203&gt;=5,9999,IF($I203="",999,$I203-TODAY())))</f>
        <v/>
      </c>
    </row>
    <row r="204">
      <c r="A204" s="38">
        <f>ROW()-2</f>
        <v/>
      </c>
      <c r="B204" s="39" t="inlineStr">
        <is>
          <t>S2</t>
        </is>
      </c>
      <c r="C204" s="39" t="inlineStr">
        <is>
          <t>Histoire et psycho-social</t>
        </is>
      </c>
      <c r="D204" s="39" t="inlineStr">
        <is>
          <t>Psycho-social</t>
        </is>
      </c>
      <c r="E204" s="39" t="inlineStr">
        <is>
          <t>Maladie chronique</t>
        </is>
      </c>
      <c r="F204" s="18" t="n"/>
      <c r="G204" s="19" t="n"/>
      <c r="H204" s="20">
        <f>IF($G204="",1,IF($G204=0,1,IF($G204=1,3,IF($G204=2,7,IF($G204=3,14,IF($G204=4,30,60))))))</f>
        <v/>
      </c>
      <c r="I204" s="21">
        <f>IF($F204="","",$F204+$H204)</f>
        <v/>
      </c>
      <c r="J204">
        <f>IF($F204="","⚪ NEW",IF($G204&gt;=5,"✅ DONE",IF($I204&lt;TODAY(),"🔴 OVERDUE",IF($I204=TODAY(),"🟢 TODAY",IF($I204=TODAY()+1,"🔵 TOMORROW",IF($I204&lt;=TODAY()+7,"📅 THIS WEEK","⏳ SCHEDULED"))))))</f>
        <v/>
      </c>
      <c r="K204" s="20">
        <f>IF($F204="",999,IF($G204&gt;=5,9999,IF($I204="",999,$I204-TODAY())))</f>
        <v/>
      </c>
    </row>
    <row r="205">
      <c r="A205" s="38">
        <f>ROW()-2</f>
        <v/>
      </c>
      <c r="B205" s="39" t="inlineStr">
        <is>
          <t>S2</t>
        </is>
      </c>
      <c r="C205" s="39" t="inlineStr">
        <is>
          <t>Histoire et psycho-social</t>
        </is>
      </c>
      <c r="D205" s="39" t="inlineStr">
        <is>
          <t>Psycho-social</t>
        </is>
      </c>
      <c r="E205" s="39" t="inlineStr">
        <is>
          <t>Psychologie sociale de la maladie</t>
        </is>
      </c>
      <c r="F205" s="18" t="n"/>
      <c r="G205" s="19" t="n"/>
      <c r="H205" s="20">
        <f>IF($G205="",1,IF($G205=0,1,IF($G205=1,3,IF($G205=2,7,IF($G205=3,14,IF($G205=4,30,60))))))</f>
        <v/>
      </c>
      <c r="I205" s="21">
        <f>IF($F205="","",$F205+$H205)</f>
        <v/>
      </c>
      <c r="J205">
        <f>IF($F205="","⚪ NEW",IF($G205&gt;=5,"✅ DONE",IF($I205&lt;TODAY(),"🔴 OVERDUE",IF($I205=TODAY(),"🟢 TODAY",IF($I205=TODAY()+1,"🔵 TOMORROW",IF($I205&lt;=TODAY()+7,"📅 THIS WEEK","⏳ SCHEDULED"))))))</f>
        <v/>
      </c>
      <c r="K205" s="20">
        <f>IF($F205="",999,IF($G205&gt;=5,9999,IF($I205="",999,$I205-TODAY())))</f>
        <v/>
      </c>
    </row>
    <row r="206">
      <c r="A206" s="38">
        <f>ROW()-2</f>
        <v/>
      </c>
      <c r="B206" s="39" t="inlineStr">
        <is>
          <t>S2</t>
        </is>
      </c>
      <c r="C206" s="39" t="inlineStr">
        <is>
          <t>Histoire et psycho-social</t>
        </is>
      </c>
      <c r="D206" s="39" t="inlineStr">
        <is>
          <t>Techniques de communication</t>
        </is>
      </c>
      <c r="E206" s="39" t="inlineStr">
        <is>
          <t>Les bases théoriques de la communication</t>
        </is>
      </c>
      <c r="F206" s="18" t="n"/>
      <c r="G206" s="19" t="n"/>
      <c r="H206" s="20">
        <f>IF($G206="",1,IF($G206=0,1,IF($G206=1,3,IF($G206=2,7,IF($G206=3,14,IF($G206=4,30,60))))))</f>
        <v/>
      </c>
      <c r="I206" s="21">
        <f>IF($F206="","",$F206+$H206)</f>
        <v/>
      </c>
      <c r="J206">
        <f>IF($F206="","⚪ NEW",IF($G206&gt;=5,"✅ DONE",IF($I206&lt;TODAY(),"🔴 OVERDUE",IF($I206=TODAY(),"🟢 TODAY",IF($I206=TODAY()+1,"🔵 TOMORROW",IF($I206&lt;=TODAY()+7,"📅 THIS WEEK","⏳ SCHEDULED"))))))</f>
        <v/>
      </c>
      <c r="K206" s="20">
        <f>IF($F206="",999,IF($G206&gt;=5,9999,IF($I206="",999,$I206-TODAY())))</f>
        <v/>
      </c>
    </row>
    <row r="207">
      <c r="A207" s="38">
        <f>ROW()-2</f>
        <v/>
      </c>
      <c r="B207" s="39" t="inlineStr">
        <is>
          <t>S2</t>
        </is>
      </c>
      <c r="C207" s="39" t="inlineStr">
        <is>
          <t>Histoire et psycho-social</t>
        </is>
      </c>
      <c r="D207" s="39" t="inlineStr">
        <is>
          <t>Techniques de communication</t>
        </is>
      </c>
      <c r="E207" s="39" t="inlineStr">
        <is>
          <t>La communication interpersonnelle (CIP)</t>
        </is>
      </c>
      <c r="F207" s="18" t="n"/>
      <c r="G207" s="19" t="n"/>
      <c r="H207" s="20">
        <f>IF($G207="",1,IF($G207=0,1,IF($G207=1,3,IF($G207=2,7,IF($G207=3,14,IF($G207=4,30,60))))))</f>
        <v/>
      </c>
      <c r="I207" s="21">
        <f>IF($F207="","",$F207+$H207)</f>
        <v/>
      </c>
      <c r="J207">
        <f>IF($F207="","⚪ NEW",IF($G207&gt;=5,"✅ DONE",IF($I207&lt;TODAY(),"🔴 OVERDUE",IF($I207=TODAY(),"🟢 TODAY",IF($I207=TODAY()+1,"🔵 TOMORROW",IF($I207&lt;=TODAY()+7,"📅 THIS WEEK","⏳ SCHEDULED"))))))</f>
        <v/>
      </c>
      <c r="K207" s="20">
        <f>IF($F207="",999,IF($G207&gt;=5,9999,IF($I207="",999,$I207-TODAY())))</f>
        <v/>
      </c>
    </row>
    <row r="208">
      <c r="A208" s="38">
        <f>ROW()-2</f>
        <v/>
      </c>
      <c r="B208" s="39" t="inlineStr">
        <is>
          <t>S2</t>
        </is>
      </c>
      <c r="C208" s="39" t="inlineStr">
        <is>
          <t>Histoire et psycho-social</t>
        </is>
      </c>
      <c r="D208" s="39" t="inlineStr">
        <is>
          <t>Techniques de communication</t>
        </is>
      </c>
      <c r="E208" s="39" t="inlineStr">
        <is>
          <t>Approche clinique centrée sur le patient</t>
        </is>
      </c>
      <c r="F208" s="18" t="n"/>
      <c r="G208" s="19" t="n"/>
      <c r="H208" s="20">
        <f>IF($G208="",1,IF($G208=0,1,IF($G208=1,3,IF($G208=2,7,IF($G208=3,14,IF($G208=4,30,60))))))</f>
        <v/>
      </c>
      <c r="I208" s="21">
        <f>IF($F208="","",$F208+$H208)</f>
        <v/>
      </c>
      <c r="J208">
        <f>IF($F208="","⚪ NEW",IF($G208&gt;=5,"✅ DONE",IF($I208&lt;TODAY(),"🔴 OVERDUE",IF($I208=TODAY(),"🟢 TODAY",IF($I208=TODAY()+1,"🔵 TOMORROW",IF($I208&lt;=TODAY()+7,"📅 THIS WEEK","⏳ SCHEDULED"))))))</f>
        <v/>
      </c>
      <c r="K208" s="20">
        <f>IF($F208="",999,IF($G208&gt;=5,9999,IF($I208="",999,$I208-TODAY())))</f>
        <v/>
      </c>
    </row>
    <row r="209">
      <c r="A209" s="38">
        <f>ROW()-2</f>
        <v/>
      </c>
      <c r="B209" s="39" t="inlineStr">
        <is>
          <t>S2</t>
        </is>
      </c>
      <c r="C209" s="39" t="inlineStr">
        <is>
          <t>Histoire et psycho-social</t>
        </is>
      </c>
      <c r="D209" s="39" t="inlineStr">
        <is>
          <t>Techniques de communication</t>
        </is>
      </c>
      <c r="E209" s="39" t="inlineStr">
        <is>
          <t>Éducation thérapeutique</t>
        </is>
      </c>
      <c r="F209" s="18" t="n"/>
      <c r="G209" s="19" t="n"/>
      <c r="H209" s="20">
        <f>IF($G209="",1,IF($G209=0,1,IF($G209=1,3,IF($G209=2,7,IF($G209=3,14,IF($G209=4,30,60))))))</f>
        <v/>
      </c>
      <c r="I209" s="21">
        <f>IF($F209="","",$F209+$H209)</f>
        <v/>
      </c>
      <c r="J209">
        <f>IF($F209="","⚪ NEW",IF($G209&gt;=5,"✅ DONE",IF($I209&lt;TODAY(),"🔴 OVERDUE",IF($I209=TODAY(),"🟢 TODAY",IF($I209=TODAY()+1,"🔵 TOMORROW",IF($I209&lt;=TODAY()+7,"📅 THIS WEEK","⏳ SCHEDULED"))))))</f>
        <v/>
      </c>
      <c r="K209" s="20">
        <f>IF($F209="",999,IF($G209&gt;=5,9999,IF($I209="",999,$I209-TODAY())))</f>
        <v/>
      </c>
    </row>
    <row r="210">
      <c r="A210" s="38">
        <f>ROW()-2</f>
        <v/>
      </c>
      <c r="B210" s="39" t="inlineStr">
        <is>
          <t>S2</t>
        </is>
      </c>
      <c r="C210" s="39" t="inlineStr">
        <is>
          <t>Histoire et psycho-social</t>
        </is>
      </c>
      <c r="D210" s="39" t="inlineStr">
        <is>
          <t>Techniques de communication</t>
        </is>
      </c>
      <c r="E210" s="39" t="inlineStr">
        <is>
          <t>Entretien motivationnel</t>
        </is>
      </c>
      <c r="F210" s="18" t="n"/>
      <c r="G210" s="19" t="n"/>
      <c r="H210" s="20">
        <f>IF($G210="",1,IF($G210=0,1,IF($G210=1,3,IF($G210=2,7,IF($G210=3,14,IF($G210=4,30,60))))))</f>
        <v/>
      </c>
      <c r="I210" s="21">
        <f>IF($F210="","",$F210+$H210)</f>
        <v/>
      </c>
      <c r="J210">
        <f>IF($F210="","⚪ NEW",IF($G210&gt;=5,"✅ DONE",IF($I210&lt;TODAY(),"🔴 OVERDUE",IF($I210=TODAY(),"🟢 TODAY",IF($I210=TODAY()+1,"🔵 TOMORROW",IF($I210&lt;=TODAY()+7,"📅 THIS WEEK","⏳ SCHEDULED"))))))</f>
        <v/>
      </c>
      <c r="K210" s="20">
        <f>IF($F210="",999,IF($G210&gt;=5,9999,IF($I210="",999,$I210-TODAY())))</f>
        <v/>
      </c>
    </row>
    <row r="211">
      <c r="A211" s="38">
        <f>ROW()-2</f>
        <v/>
      </c>
      <c r="B211" s="39" t="inlineStr">
        <is>
          <t>S2</t>
        </is>
      </c>
      <c r="C211" s="39" t="inlineStr">
        <is>
          <t>Histoire et psycho-social</t>
        </is>
      </c>
      <c r="D211" s="39" t="inlineStr">
        <is>
          <t>Techniques de communication</t>
        </is>
      </c>
      <c r="E211" s="39" t="inlineStr">
        <is>
          <t>Annonce d'une mauvaise nouvelle</t>
        </is>
      </c>
      <c r="F211" s="18" t="n"/>
      <c r="G211" s="19" t="n"/>
      <c r="H211" s="20">
        <f>IF($G211="",1,IF($G211=0,1,IF($G211=1,3,IF($G211=2,7,IF($G211=3,14,IF($G211=4,30,60))))))</f>
        <v/>
      </c>
      <c r="I211" s="21">
        <f>IF($F211="","",$F211+$H211)</f>
        <v/>
      </c>
      <c r="J211">
        <f>IF($F211="","⚪ NEW",IF($G211&gt;=5,"✅ DONE",IF($I211&lt;TODAY(),"🔴 OVERDUE",IF($I211=TODAY(),"🟢 TODAY",IF($I211=TODAY()+1,"🔵 TOMORROW",IF($I211&lt;=TODAY()+7,"📅 THIS WEEK","⏳ SCHEDULED"))))))</f>
        <v/>
      </c>
      <c r="K211" s="20">
        <f>IF($F211="",999,IF($G211&gt;=5,9999,IF($I211="",999,$I211-TODAY())))</f>
        <v/>
      </c>
    </row>
    <row r="212">
      <c r="A212" s="38">
        <f>ROW()-2</f>
        <v/>
      </c>
      <c r="B212" s="39" t="inlineStr">
        <is>
          <t>S2</t>
        </is>
      </c>
      <c r="C212" s="39" t="inlineStr">
        <is>
          <t>Histoire et psycho-social</t>
        </is>
      </c>
      <c r="D212" s="39" t="inlineStr">
        <is>
          <t>Techniques de communication</t>
        </is>
      </c>
      <c r="E212" s="39" t="inlineStr">
        <is>
          <t>Gestion des émotions</t>
        </is>
      </c>
      <c r="F212" s="18" t="n"/>
      <c r="G212" s="19" t="n"/>
      <c r="H212" s="20">
        <f>IF($G212="",1,IF($G212=0,1,IF($G212=1,3,IF($G212=2,7,IF($G212=3,14,IF($G212=4,30,60))))))</f>
        <v/>
      </c>
      <c r="I212" s="21">
        <f>IF($F212="","",$F212+$H212)</f>
        <v/>
      </c>
      <c r="J212">
        <f>IF($F212="","⚪ NEW",IF($G212&gt;=5,"✅ DONE",IF($I212&lt;TODAY(),"🔴 OVERDUE",IF($I212=TODAY(),"🟢 TODAY",IF($I212=TODAY()+1,"🔵 TOMORROW",IF($I212&lt;=TODAY()+7,"📅 THIS WEEK","⏳ SCHEDULED"))))))</f>
        <v/>
      </c>
      <c r="K212" s="20">
        <f>IF($F212="",999,IF($G212&gt;=5,9999,IF($I212="",999,$I212-TODAY())))</f>
        <v/>
      </c>
    </row>
    <row r="213">
      <c r="A213" s="38">
        <f>ROW()-2</f>
        <v/>
      </c>
      <c r="B213" s="39" t="inlineStr">
        <is>
          <t>S2</t>
        </is>
      </c>
      <c r="C213" s="39" t="inlineStr">
        <is>
          <t>Histoire et psycho-social</t>
        </is>
      </c>
      <c r="D213" s="39" t="inlineStr">
        <is>
          <t>Techniques de communication</t>
        </is>
      </c>
      <c r="E213" s="39" t="inlineStr">
        <is>
          <t>Entretiens triangulaires</t>
        </is>
      </c>
      <c r="F213" s="18" t="n"/>
      <c r="G213" s="19" t="n"/>
      <c r="H213" s="20">
        <f>IF($G213="",1,IF($G213=0,1,IF($G213=1,3,IF($G213=2,7,IF($G213=3,14,IF($G213=4,30,60))))))</f>
        <v/>
      </c>
      <c r="I213" s="21">
        <f>IF($F213="","",$F213+$H213)</f>
        <v/>
      </c>
      <c r="J213">
        <f>IF($F213="","⚪ NEW",IF($G213&gt;=5,"✅ DONE",IF($I213&lt;TODAY(),"🔴 OVERDUE",IF($I213=TODAY(),"🟢 TODAY",IF($I213=TODAY()+1,"🔵 TOMORROW",IF($I213&lt;=TODAY()+7,"📅 THIS WEEK","⏳ SCHEDULED"))))))</f>
        <v/>
      </c>
      <c r="K213" s="20">
        <f>IF($F213="",999,IF($G213&gt;=5,9999,IF($I213="",999,$I213-TODAY())))</f>
        <v/>
      </c>
    </row>
    <row r="214">
      <c r="A214" s="38">
        <f>ROW()-2</f>
        <v/>
      </c>
      <c r="B214" s="39" t="inlineStr">
        <is>
          <t>S2</t>
        </is>
      </c>
      <c r="C214" s="39" t="inlineStr">
        <is>
          <t>Histoire et psycho-social</t>
        </is>
      </c>
      <c r="D214" s="39" t="inlineStr">
        <is>
          <t>Techniques de communication</t>
        </is>
      </c>
      <c r="E214" s="39" t="inlineStr">
        <is>
          <t>Communication en équipe</t>
        </is>
      </c>
      <c r="F214" s="18" t="n"/>
      <c r="G214" s="19" t="n"/>
      <c r="H214" s="20">
        <f>IF($G214="",1,IF($G214=0,1,IF($G214=1,3,IF($G214=2,7,IF($G214=3,14,IF($G214=4,30,60))))))</f>
        <v/>
      </c>
      <c r="I214" s="21">
        <f>IF($F214="","",$F214+$H214)</f>
        <v/>
      </c>
      <c r="J214">
        <f>IF($F214="","⚪ NEW",IF($G214&gt;=5,"✅ DONE",IF($I214&lt;TODAY(),"🔴 OVERDUE",IF($I214=TODAY(),"🟢 TODAY",IF($I214=TODAY()+1,"🔵 TOMORROW",IF($I214&lt;=TODAY()+7,"📅 THIS WEEK","⏳ SCHEDULED"))))))</f>
        <v/>
      </c>
      <c r="K214" s="20">
        <f>IF($F214="",999,IF($G214&gt;=5,9999,IF($I214="",999,$I214-TODAY())))</f>
        <v/>
      </c>
    </row>
    <row r="215">
      <c r="A215" s="38">
        <f>ROW()-2</f>
        <v/>
      </c>
      <c r="B215" s="39" t="inlineStr">
        <is>
          <t>S2</t>
        </is>
      </c>
      <c r="C215" s="39" t="inlineStr">
        <is>
          <t>Histoire et psycho-social</t>
        </is>
      </c>
      <c r="D215" s="39" t="inlineStr">
        <is>
          <t>Techniques de communication</t>
        </is>
      </c>
      <c r="E215" s="39" t="inlineStr">
        <is>
          <t>Communication scientifique</t>
        </is>
      </c>
      <c r="F215" s="18" t="n"/>
      <c r="G215" s="19" t="n"/>
      <c r="H215" s="20">
        <f>IF($G215="",1,IF($G215=0,1,IF($G215=1,3,IF($G215=2,7,IF($G215=3,14,IF($G215=4,30,60))))))</f>
        <v/>
      </c>
      <c r="I215" s="21">
        <f>IF($F215="","",$F215+$H215)</f>
        <v/>
      </c>
      <c r="J215">
        <f>IF($F215="","⚪ NEW",IF($G215&gt;=5,"✅ DONE",IF($I215&lt;TODAY(),"🔴 OVERDUE",IF($I215=TODAY(),"🟢 TODAY",IF($I215=TODAY()+1,"🔵 TOMORROW",IF($I215&lt;=TODAY()+7,"📅 THIS WEEK","⏳ SCHEDULED"))))))</f>
        <v/>
      </c>
      <c r="K215" s="20">
        <f>IF($F215="",999,IF($G215&gt;=5,9999,IF($I215="",999,$I215-TODAY())))</f>
        <v/>
      </c>
    </row>
    <row r="216">
      <c r="A216" s="38">
        <f>ROW()-2</f>
        <v/>
      </c>
      <c r="B216" s="39" t="inlineStr">
        <is>
          <t>S2</t>
        </is>
      </c>
      <c r="C216" s="39" t="inlineStr">
        <is>
          <t>Histoire et psycho-social</t>
        </is>
      </c>
      <c r="D216" s="39" t="inlineStr">
        <is>
          <t>Techniques de communication</t>
        </is>
      </c>
      <c r="E216" s="39" t="inlineStr">
        <is>
          <t>L'article original</t>
        </is>
      </c>
      <c r="F216" s="18" t="n"/>
      <c r="G216" s="19" t="n"/>
      <c r="H216" s="20">
        <f>IF($G216="",1,IF($G216=0,1,IF($G216=1,3,IF($G216=2,7,IF($G216=3,14,IF($G216=4,30,60))))))</f>
        <v/>
      </c>
      <c r="I216" s="21">
        <f>IF($F216="","",$F216+$H216)</f>
        <v/>
      </c>
      <c r="J216">
        <f>IF($F216="","⚪ NEW",IF($G216&gt;=5,"✅ DONE",IF($I216&lt;TODAY(),"🔴 OVERDUE",IF($I216=TODAY(),"🟢 TODAY",IF($I216=TODAY()+1,"🔵 TOMORROW",IF($I216&lt;=TODAY()+7,"📅 THIS WEEK","⏳ SCHEDULED"))))))</f>
        <v/>
      </c>
      <c r="K216" s="20">
        <f>IF($F216="",999,IF($G216&gt;=5,9999,IF($I216="",999,$I216-TODAY())))</f>
        <v/>
      </c>
    </row>
    <row r="217">
      <c r="A217" s="38">
        <f>ROW()-2</f>
        <v/>
      </c>
      <c r="B217" s="39" t="inlineStr">
        <is>
          <t>S2</t>
        </is>
      </c>
      <c r="C217" s="39" t="inlineStr">
        <is>
          <t>Histoire et psycho-social</t>
        </is>
      </c>
      <c r="D217" s="39" t="inlineStr">
        <is>
          <t>Techniques de communication</t>
        </is>
      </c>
      <c r="E217" s="39" t="inlineStr">
        <is>
          <t>Communication orale</t>
        </is>
      </c>
      <c r="F217" s="18" t="n"/>
      <c r="G217" s="19" t="n"/>
      <c r="H217" s="20">
        <f>IF($G217="",1,IF($G217=0,1,IF($G217=1,3,IF($G217=2,7,IF($G217=3,14,IF($G217=4,30,60))))))</f>
        <v/>
      </c>
      <c r="I217" s="21">
        <f>IF($F217="","",$F217+$H217)</f>
        <v/>
      </c>
      <c r="J217">
        <f>IF($F217="","⚪ NEW",IF($G217&gt;=5,"✅ DONE",IF($I217&lt;TODAY(),"🔴 OVERDUE",IF($I217=TODAY(),"🟢 TODAY",IF($I217=TODAY()+1,"🔵 TOMORROW",IF($I217&lt;=TODAY()+7,"📅 THIS WEEK","⏳ SCHEDULED"))))))</f>
        <v/>
      </c>
      <c r="K217" s="20">
        <f>IF($F217="",999,IF($G217&gt;=5,9999,IF($I217="",999,$I217-TODAY())))</f>
        <v/>
      </c>
    </row>
    <row r="218">
      <c r="A218" s="16">
        <f>ROW()-2</f>
        <v/>
      </c>
      <c r="B218" s="17" t="inlineStr">
        <is>
          <t>S3</t>
        </is>
      </c>
      <c r="C218" s="17" t="inlineStr">
        <is>
          <t>Sémiologie I</t>
        </is>
      </c>
      <c r="D218" s="17" t="inlineStr">
        <is>
          <t>Sémiologie digestive</t>
        </is>
      </c>
      <c r="E218" s="17" t="inlineStr">
        <is>
          <t>Diarrhée aiguë</t>
        </is>
      </c>
      <c r="F218" s="18" t="n"/>
      <c r="G218" s="19" t="n"/>
      <c r="H218" s="20">
        <f>IF($G218="",1,IF($G218=0,1,IF($G218=1,3,IF($G218=2,7,IF($G218=3,14,IF($G218=4,30,60))))))</f>
        <v/>
      </c>
      <c r="I218" s="21">
        <f>IF($F218="","",$F218+$H218)</f>
        <v/>
      </c>
      <c r="J218">
        <f>IF($F218="","⚪ NEW",IF($G218&gt;=5,"✅ DONE",IF($I218&lt;TODAY(),"🔴 OVERDUE",IF($I218=TODAY(),"🟢 TODAY",IF($I218=TODAY()+1,"🔵 TOMORROW",IF($I218&lt;=TODAY()+7,"📅 THIS WEEK","⏳ SCHEDULED"))))))</f>
        <v/>
      </c>
      <c r="K218" s="20">
        <f>IF($F218="",999,IF($G218&gt;=5,9999,IF($I218="",999,$I218-TODAY())))</f>
        <v/>
      </c>
    </row>
    <row r="219">
      <c r="A219" s="16">
        <f>ROW()-2</f>
        <v/>
      </c>
      <c r="B219" s="17" t="inlineStr">
        <is>
          <t>S3</t>
        </is>
      </c>
      <c r="C219" s="17" t="inlineStr">
        <is>
          <t>Sémiologie I</t>
        </is>
      </c>
      <c r="D219" s="17" t="inlineStr">
        <is>
          <t>Sémiologie digestive</t>
        </is>
      </c>
      <c r="E219" s="17" t="inlineStr">
        <is>
          <t>La constipation</t>
        </is>
      </c>
      <c r="F219" s="18" t="n"/>
      <c r="G219" s="19" t="n"/>
      <c r="H219" s="20">
        <f>IF($G219="",1,IF($G219=0,1,IF($G219=1,3,IF($G219=2,7,IF($G219=3,14,IF($G219=4,30,60))))))</f>
        <v/>
      </c>
      <c r="I219" s="21">
        <f>IF($F219="","",$F219+$H219)</f>
        <v/>
      </c>
      <c r="J219">
        <f>IF($F219="","⚪ NEW",IF($G219&gt;=5,"✅ DONE",IF($I219&lt;TODAY(),"🔴 OVERDUE",IF($I219=TODAY(),"🟢 TODAY",IF($I219=TODAY()+1,"🔵 TOMORROW",IF($I219&lt;=TODAY()+7,"📅 THIS WEEK","⏳ SCHEDULED"))))))</f>
        <v/>
      </c>
      <c r="K219" s="20">
        <f>IF($F219="",999,IF($G219&gt;=5,9999,IF($I219="",999,$I219-TODAY())))</f>
        <v/>
      </c>
    </row>
    <row r="220">
      <c r="A220" s="16">
        <f>ROW()-2</f>
        <v/>
      </c>
      <c r="B220" s="17" t="inlineStr">
        <is>
          <t>S3</t>
        </is>
      </c>
      <c r="C220" s="17" t="inlineStr">
        <is>
          <t>Sémiologie I</t>
        </is>
      </c>
      <c r="D220" s="17" t="inlineStr">
        <is>
          <t>Sémiologie digestive</t>
        </is>
      </c>
      <c r="E220" s="17" t="inlineStr">
        <is>
          <t>Diarrhée chronique</t>
        </is>
      </c>
      <c r="F220" s="18" t="n"/>
      <c r="G220" s="19" t="n"/>
      <c r="H220" s="20">
        <f>IF($G220="",1,IF($G220=0,1,IF($G220=1,3,IF($G220=2,7,IF($G220=3,14,IF($G220=4,30,60))))))</f>
        <v/>
      </c>
      <c r="I220" s="21">
        <f>IF($F220="","",$F220+$H220)</f>
        <v/>
      </c>
      <c r="J220">
        <f>IF($F220="","⚪ NEW",IF($G220&gt;=5,"✅ DONE",IF($I220&lt;TODAY(),"🔴 OVERDUE",IF($I220=TODAY(),"🟢 TODAY",IF($I220=TODAY()+1,"🔵 TOMORROW",IF($I220&lt;=TODAY()+7,"📅 THIS WEEK","⏳ SCHEDULED"))))))</f>
        <v/>
      </c>
      <c r="K220" s="20">
        <f>IF($F220="",999,IF($G220&gt;=5,9999,IF($I220="",999,$I220-TODAY())))</f>
        <v/>
      </c>
    </row>
    <row r="221">
      <c r="A221" s="16">
        <f>ROW()-2</f>
        <v/>
      </c>
      <c r="B221" s="17" t="inlineStr">
        <is>
          <t>S3</t>
        </is>
      </c>
      <c r="C221" s="17" t="inlineStr">
        <is>
          <t>Sémiologie I</t>
        </is>
      </c>
      <c r="D221" s="17" t="inlineStr">
        <is>
          <t>Sémiologie digestive</t>
        </is>
      </c>
      <c r="E221" s="17" t="inlineStr">
        <is>
          <t>Les ictères</t>
        </is>
      </c>
      <c r="F221" s="18" t="n"/>
      <c r="G221" s="19" t="n"/>
      <c r="H221" s="20">
        <f>IF($G221="",1,IF($G221=0,1,IF($G221=1,3,IF($G221=2,7,IF($G221=3,14,IF($G221=4,30,60))))))</f>
        <v/>
      </c>
      <c r="I221" s="21">
        <f>IF($F221="","",$F221+$H221)</f>
        <v/>
      </c>
      <c r="J221">
        <f>IF($F221="","⚪ NEW",IF($G221&gt;=5,"✅ DONE",IF($I221&lt;TODAY(),"🔴 OVERDUE",IF($I221=TODAY(),"🟢 TODAY",IF($I221=TODAY()+1,"🔵 TOMORROW",IF($I221&lt;=TODAY()+7,"📅 THIS WEEK","⏳ SCHEDULED"))))))</f>
        <v/>
      </c>
      <c r="K221" s="20">
        <f>IF($F221="",999,IF($G221&gt;=5,9999,IF($I221="",999,$I221-TODAY())))</f>
        <v/>
      </c>
    </row>
    <row r="222">
      <c r="A222" s="16">
        <f>ROW()-2</f>
        <v/>
      </c>
      <c r="B222" s="17" t="inlineStr">
        <is>
          <t>S3</t>
        </is>
      </c>
      <c r="C222" s="17" t="inlineStr">
        <is>
          <t>Sémiologie I</t>
        </is>
      </c>
      <c r="D222" s="17" t="inlineStr">
        <is>
          <t>Sémiologie digestive</t>
        </is>
      </c>
      <c r="E222" s="17" t="inlineStr">
        <is>
          <t>Syndrome d'insuffisance hépatocellulaire</t>
        </is>
      </c>
      <c r="F222" s="18" t="n"/>
      <c r="G222" s="19" t="n"/>
      <c r="H222" s="20">
        <f>IF($G222="",1,IF($G222=0,1,IF($G222=1,3,IF($G222=2,7,IF($G222=3,14,IF($G222=4,30,60))))))</f>
        <v/>
      </c>
      <c r="I222" s="21">
        <f>IF($F222="","",$F222+$H222)</f>
        <v/>
      </c>
      <c r="J222">
        <f>IF($F222="","⚪ NEW",IF($G222&gt;=5,"✅ DONE",IF($I222&lt;TODAY(),"🔴 OVERDUE",IF($I222=TODAY(),"🟢 TODAY",IF($I222=TODAY()+1,"🔵 TOMORROW",IF($I222&lt;=TODAY()+7,"📅 THIS WEEK","⏳ SCHEDULED"))))))</f>
        <v/>
      </c>
      <c r="K222" s="20">
        <f>IF($F222="",999,IF($G222&gt;=5,9999,IF($I222="",999,$I222-TODAY())))</f>
        <v/>
      </c>
    </row>
    <row r="223">
      <c r="A223" s="16">
        <f>ROW()-2</f>
        <v/>
      </c>
      <c r="B223" s="17" t="inlineStr">
        <is>
          <t>S3</t>
        </is>
      </c>
      <c r="C223" s="17" t="inlineStr">
        <is>
          <t>Sémiologie I</t>
        </is>
      </c>
      <c r="D223" s="17" t="inlineStr">
        <is>
          <t>Sémiologie digestive</t>
        </is>
      </c>
      <c r="E223" s="17" t="inlineStr">
        <is>
          <t>Les vomissements</t>
        </is>
      </c>
      <c r="F223" s="18" t="n"/>
      <c r="G223" s="19" t="n"/>
      <c r="H223" s="20">
        <f>IF($G223="",1,IF($G223=0,1,IF($G223=1,3,IF($G223=2,7,IF($G223=3,14,IF($G223=4,30,60))))))</f>
        <v/>
      </c>
      <c r="I223" s="21">
        <f>IF($F223="","",$F223+$H223)</f>
        <v/>
      </c>
      <c r="J223">
        <f>IF($F223="","⚪ NEW",IF($G223&gt;=5,"✅ DONE",IF($I223&lt;TODAY(),"🔴 OVERDUE",IF($I223=TODAY(),"🟢 TODAY",IF($I223=TODAY()+1,"🔵 TOMORROW",IF($I223&lt;=TODAY()+7,"📅 THIS WEEK","⏳ SCHEDULED"))))))</f>
        <v/>
      </c>
      <c r="K223" s="20">
        <f>IF($F223="",999,IF($G223&gt;=5,9999,IF($I223="",999,$I223-TODAY())))</f>
        <v/>
      </c>
    </row>
    <row r="224">
      <c r="A224" s="16">
        <f>ROW()-2</f>
        <v/>
      </c>
      <c r="B224" s="17" t="inlineStr">
        <is>
          <t>S3</t>
        </is>
      </c>
      <c r="C224" s="17" t="inlineStr">
        <is>
          <t>Sémiologie I</t>
        </is>
      </c>
      <c r="D224" s="17" t="inlineStr">
        <is>
          <t>Sémiologie digestive</t>
        </is>
      </c>
      <c r="E224" s="17" t="inlineStr">
        <is>
          <t>Hémorragies digestives</t>
        </is>
      </c>
      <c r="F224" s="18" t="n"/>
      <c r="G224" s="19" t="n"/>
      <c r="H224" s="20">
        <f>IF($G224="",1,IF($G224=0,1,IF($G224=1,3,IF($G224=2,7,IF($G224=3,14,IF($G224=4,30,60))))))</f>
        <v/>
      </c>
      <c r="I224" s="21">
        <f>IF($F224="","",$F224+$H224)</f>
        <v/>
      </c>
      <c r="J224">
        <f>IF($F224="","⚪ NEW",IF($G224&gt;=5,"✅ DONE",IF($I224&lt;TODAY(),"🔴 OVERDUE",IF($I224=TODAY(),"🟢 TODAY",IF($I224=TODAY()+1,"🔵 TOMORROW",IF($I224&lt;=TODAY()+7,"📅 THIS WEEK","⏳ SCHEDULED"))))))</f>
        <v/>
      </c>
      <c r="K224" s="20">
        <f>IF($F224="",999,IF($G224&gt;=5,9999,IF($I224="",999,$I224-TODAY())))</f>
        <v/>
      </c>
    </row>
    <row r="225">
      <c r="A225" s="16">
        <f>ROW()-2</f>
        <v/>
      </c>
      <c r="B225" s="17" t="inlineStr">
        <is>
          <t>S3</t>
        </is>
      </c>
      <c r="C225" s="17" t="inlineStr">
        <is>
          <t>Sémiologie I</t>
        </is>
      </c>
      <c r="D225" s="17" t="inlineStr">
        <is>
          <t>Sémiologie digestive</t>
        </is>
      </c>
      <c r="E225" s="17" t="inlineStr">
        <is>
          <t>Splénomégalie</t>
        </is>
      </c>
      <c r="F225" s="18" t="n"/>
      <c r="G225" s="19" t="n"/>
      <c r="H225" s="20">
        <f>IF($G225="",1,IF($G225=0,1,IF($G225=1,3,IF($G225=2,7,IF($G225=3,14,IF($G225=4,30,60))))))</f>
        <v/>
      </c>
      <c r="I225" s="21">
        <f>IF($F225="","",$F225+$H225)</f>
        <v/>
      </c>
      <c r="J225">
        <f>IF($F225="","⚪ NEW",IF($G225&gt;=5,"✅ DONE",IF($I225&lt;TODAY(),"🔴 OVERDUE",IF($I225=TODAY(),"🟢 TODAY",IF($I225=TODAY()+1,"🔵 TOMORROW",IF($I225&lt;=TODAY()+7,"📅 THIS WEEK","⏳ SCHEDULED"))))))</f>
        <v/>
      </c>
      <c r="K225" s="20">
        <f>IF($F225="",999,IF($G225&gt;=5,9999,IF($I225="",999,$I225-TODAY())))</f>
        <v/>
      </c>
    </row>
    <row r="226">
      <c r="A226" s="16">
        <f>ROW()-2</f>
        <v/>
      </c>
      <c r="B226" s="17" t="inlineStr">
        <is>
          <t>S3</t>
        </is>
      </c>
      <c r="C226" s="17" t="inlineStr">
        <is>
          <t>Sémiologie I</t>
        </is>
      </c>
      <c r="D226" s="17" t="inlineStr">
        <is>
          <t>Sémiologie digestive</t>
        </is>
      </c>
      <c r="E226" s="17" t="inlineStr">
        <is>
          <t>Hépatomégalie</t>
        </is>
      </c>
      <c r="F226" s="18" t="n"/>
      <c r="G226" s="19" t="n"/>
      <c r="H226" s="20">
        <f>IF($G226="",1,IF($G226=0,1,IF($G226=1,3,IF($G226=2,7,IF($G226=3,14,IF($G226=4,30,60))))))</f>
        <v/>
      </c>
      <c r="I226" s="21">
        <f>IF($F226="","",$F226+$H226)</f>
        <v/>
      </c>
      <c r="J226">
        <f>IF($F226="","⚪ NEW",IF($G226&gt;=5,"✅ DONE",IF($I226&lt;TODAY(),"🔴 OVERDUE",IF($I226=TODAY(),"🟢 TODAY",IF($I226=TODAY()+1,"🔵 TOMORROW",IF($I226&lt;=TODAY()+7,"📅 THIS WEEK","⏳ SCHEDULED"))))))</f>
        <v/>
      </c>
      <c r="K226" s="20">
        <f>IF($F226="",999,IF($G226&gt;=5,9999,IF($I226="",999,$I226-TODAY())))</f>
        <v/>
      </c>
    </row>
    <row r="227">
      <c r="A227" s="16">
        <f>ROW()-2</f>
        <v/>
      </c>
      <c r="B227" s="17" t="inlineStr">
        <is>
          <t>S3</t>
        </is>
      </c>
      <c r="C227" s="17" t="inlineStr">
        <is>
          <t>Sémiologie I</t>
        </is>
      </c>
      <c r="D227" s="17" t="inlineStr">
        <is>
          <t>Sémiologie digestive</t>
        </is>
      </c>
      <c r="E227" s="17" t="inlineStr">
        <is>
          <t>Les ascites</t>
        </is>
      </c>
      <c r="F227" s="18" t="n"/>
      <c r="G227" s="19" t="n"/>
      <c r="H227" s="20">
        <f>IF($G227="",1,IF($G227=0,1,IF($G227=1,3,IF($G227=2,7,IF($G227=3,14,IF($G227=4,30,60))))))</f>
        <v/>
      </c>
      <c r="I227" s="21">
        <f>IF($F227="","",$F227+$H227)</f>
        <v/>
      </c>
      <c r="J227">
        <f>IF($F227="","⚪ NEW",IF($G227&gt;=5,"✅ DONE",IF($I227&lt;TODAY(),"🔴 OVERDUE",IF($I227=TODAY(),"🟢 TODAY",IF($I227=TODAY()+1,"🔵 TOMORROW",IF($I227&lt;=TODAY()+7,"📅 THIS WEEK","⏳ SCHEDULED"))))))</f>
        <v/>
      </c>
      <c r="K227" s="20">
        <f>IF($F227="",999,IF($G227&gt;=5,9999,IF($I227="",999,$I227-TODAY())))</f>
        <v/>
      </c>
    </row>
    <row r="228">
      <c r="A228" s="16">
        <f>ROW()-2</f>
        <v/>
      </c>
      <c r="B228" s="17" t="inlineStr">
        <is>
          <t>S3</t>
        </is>
      </c>
      <c r="C228" s="17" t="inlineStr">
        <is>
          <t>Sémiologie I</t>
        </is>
      </c>
      <c r="D228" s="17" t="inlineStr">
        <is>
          <t>Sémiologie digestive</t>
        </is>
      </c>
      <c r="E228" s="17" t="inlineStr">
        <is>
          <t>Douleur abdominale</t>
        </is>
      </c>
      <c r="F228" s="18" t="n"/>
      <c r="G228" s="19" t="n"/>
      <c r="H228" s="20">
        <f>IF($G228="",1,IF($G228=0,1,IF($G228=1,3,IF($G228=2,7,IF($G228=3,14,IF($G228=4,30,60))))))</f>
        <v/>
      </c>
      <c r="I228" s="21">
        <f>IF($F228="","",$F228+$H228)</f>
        <v/>
      </c>
      <c r="J228">
        <f>IF($F228="","⚪ NEW",IF($G228&gt;=5,"✅ DONE",IF($I228&lt;TODAY(),"🔴 OVERDUE",IF($I228=TODAY(),"🟢 TODAY",IF($I228=TODAY()+1,"🔵 TOMORROW",IF($I228&lt;=TODAY()+7,"📅 THIS WEEK","⏳ SCHEDULED"))))))</f>
        <v/>
      </c>
      <c r="K228" s="20">
        <f>IF($F228="",999,IF($G228&gt;=5,9999,IF($I228="",999,$I228-TODAY())))</f>
        <v/>
      </c>
    </row>
    <row r="229">
      <c r="A229" s="16">
        <f>ROW()-2</f>
        <v/>
      </c>
      <c r="B229" s="17" t="inlineStr">
        <is>
          <t>S3</t>
        </is>
      </c>
      <c r="C229" s="17" t="inlineStr">
        <is>
          <t>Sémiologie I</t>
        </is>
      </c>
      <c r="D229" s="17" t="inlineStr">
        <is>
          <t>Sémiologie digestive</t>
        </is>
      </c>
      <c r="E229" s="17" t="inlineStr">
        <is>
          <t>Syndrome péritonéal</t>
        </is>
      </c>
      <c r="F229" s="18" t="n"/>
      <c r="G229" s="19" t="n"/>
      <c r="H229" s="20">
        <f>IF($G229="",1,IF($G229=0,1,IF($G229=1,3,IF($G229=2,7,IF($G229=3,14,IF($G229=4,30,60))))))</f>
        <v/>
      </c>
      <c r="I229" s="21">
        <f>IF($F229="","",$F229+$H229)</f>
        <v/>
      </c>
      <c r="J229">
        <f>IF($F229="","⚪ NEW",IF($G229&gt;=5,"✅ DONE",IF($I229&lt;TODAY(),"🔴 OVERDUE",IF($I229=TODAY(),"🟢 TODAY",IF($I229=TODAY()+1,"🔵 TOMORROW",IF($I229&lt;=TODAY()+7,"📅 THIS WEEK","⏳ SCHEDULED"))))))</f>
        <v/>
      </c>
      <c r="K229" s="20">
        <f>IF($F229="",999,IF($G229&gt;=5,9999,IF($I229="",999,$I229-TODAY())))</f>
        <v/>
      </c>
    </row>
    <row r="230">
      <c r="A230" s="16">
        <f>ROW()-2</f>
        <v/>
      </c>
      <c r="B230" s="17" t="inlineStr">
        <is>
          <t>S3</t>
        </is>
      </c>
      <c r="C230" s="17" t="inlineStr">
        <is>
          <t>Sémiologie I</t>
        </is>
      </c>
      <c r="D230" s="17" t="inlineStr">
        <is>
          <t>Sémiologie digestive</t>
        </is>
      </c>
      <c r="E230" s="17" t="inlineStr">
        <is>
          <t>Faiblesse de la paroi abdominale</t>
        </is>
      </c>
      <c r="F230" s="18" t="n"/>
      <c r="G230" s="19" t="n"/>
      <c r="H230" s="20">
        <f>IF($G230="",1,IF($G230=0,1,IF($G230=1,3,IF($G230=2,7,IF($G230=3,14,IF($G230=4,30,60))))))</f>
        <v/>
      </c>
      <c r="I230" s="21">
        <f>IF($F230="","",$F230+$H230)</f>
        <v/>
      </c>
      <c r="J230">
        <f>IF($F230="","⚪ NEW",IF($G230&gt;=5,"✅ DONE",IF($I230&lt;TODAY(),"🔴 OVERDUE",IF($I230=TODAY(),"🟢 TODAY",IF($I230=TODAY()+1,"🔵 TOMORROW",IF($I230&lt;=TODAY()+7,"📅 THIS WEEK","⏳ SCHEDULED"))))))</f>
        <v/>
      </c>
      <c r="K230" s="20">
        <f>IF($F230="",999,IF($G230&gt;=5,9999,IF($I230="",999,$I230-TODAY())))</f>
        <v/>
      </c>
    </row>
    <row r="231">
      <c r="A231" s="16">
        <f>ROW()-2</f>
        <v/>
      </c>
      <c r="B231" s="17" t="inlineStr">
        <is>
          <t>S3</t>
        </is>
      </c>
      <c r="C231" s="17" t="inlineStr">
        <is>
          <t>Sémiologie I</t>
        </is>
      </c>
      <c r="D231" s="17" t="inlineStr">
        <is>
          <t>Sémiologie digestive</t>
        </is>
      </c>
      <c r="E231" s="17" t="inlineStr">
        <is>
          <t>Sémiologie hernie et éventration</t>
        </is>
      </c>
      <c r="F231" s="18" t="n"/>
      <c r="G231" s="19" t="n"/>
      <c r="H231" s="20">
        <f>IF($G231="",1,IF($G231=0,1,IF($G231=1,3,IF($G231=2,7,IF($G231=3,14,IF($G231=4,30,60))))))</f>
        <v/>
      </c>
      <c r="I231" s="21">
        <f>IF($F231="","",$F231+$H231)</f>
        <v/>
      </c>
      <c r="J231">
        <f>IF($F231="","⚪ NEW",IF($G231&gt;=5,"✅ DONE",IF($I231&lt;TODAY(),"🔴 OVERDUE",IF($I231=TODAY(),"🟢 TODAY",IF($I231=TODAY()+1,"🔵 TOMORROW",IF($I231&lt;=TODAY()+7,"📅 THIS WEEK","⏳ SCHEDULED"))))))</f>
        <v/>
      </c>
      <c r="K231" s="20">
        <f>IF($F231="",999,IF($G231&gt;=5,9999,IF($I231="",999,$I231-TODAY())))</f>
        <v/>
      </c>
    </row>
    <row r="232">
      <c r="A232" s="16">
        <f>ROW()-2</f>
        <v/>
      </c>
      <c r="B232" s="17" t="inlineStr">
        <is>
          <t>S3</t>
        </is>
      </c>
      <c r="C232" s="17" t="inlineStr">
        <is>
          <t>Sémiologie I</t>
        </is>
      </c>
      <c r="D232" s="17" t="inlineStr">
        <is>
          <t>Sémiologie digestive</t>
        </is>
      </c>
      <c r="E232" s="17" t="inlineStr">
        <is>
          <t>Sémiologie œsophagienne</t>
        </is>
      </c>
      <c r="F232" s="18" t="n"/>
      <c r="G232" s="19" t="n"/>
      <c r="H232" s="20">
        <f>IF($G232="",1,IF($G232=0,1,IF($G232=1,3,IF($G232=2,7,IF($G232=3,14,IF($G232=4,30,60))))))</f>
        <v/>
      </c>
      <c r="I232" s="21">
        <f>IF($F232="","",$F232+$H232)</f>
        <v/>
      </c>
      <c r="J232">
        <f>IF($F232="","⚪ NEW",IF($G232&gt;=5,"✅ DONE",IF($I232&lt;TODAY(),"🔴 OVERDUE",IF($I232=TODAY(),"🟢 TODAY",IF($I232=TODAY()+1,"🔵 TOMORROW",IF($I232&lt;=TODAY()+7,"📅 THIS WEEK","⏳ SCHEDULED"))))))</f>
        <v/>
      </c>
      <c r="K232" s="20">
        <f>IF($F232="",999,IF($G232&gt;=5,9999,IF($I232="",999,$I232-TODAY())))</f>
        <v/>
      </c>
    </row>
    <row r="233">
      <c r="A233" s="16">
        <f>ROW()-2</f>
        <v/>
      </c>
      <c r="B233" s="17" t="inlineStr">
        <is>
          <t>S3</t>
        </is>
      </c>
      <c r="C233" s="17" t="inlineStr">
        <is>
          <t>Sémiologie I</t>
        </is>
      </c>
      <c r="D233" s="17" t="inlineStr">
        <is>
          <t>Sémiologie digestive</t>
        </is>
      </c>
      <c r="E233" s="17" t="inlineStr">
        <is>
          <t>Sémiologie de l'occlusion intestinale aiguë</t>
        </is>
      </c>
      <c r="F233" s="18" t="n"/>
      <c r="G233" s="19" t="n"/>
      <c r="H233" s="20">
        <f>IF($G233="",1,IF($G233=0,1,IF($G233=1,3,IF($G233=2,7,IF($G233=3,14,IF($G233=4,30,60))))))</f>
        <v/>
      </c>
      <c r="I233" s="21">
        <f>IF($F233="","",$F233+$H233)</f>
        <v/>
      </c>
      <c r="J233">
        <f>IF($F233="","⚪ NEW",IF($G233&gt;=5,"✅ DONE",IF($I233&lt;TODAY(),"🔴 OVERDUE",IF($I233=TODAY(),"🟢 TODAY",IF($I233=TODAY()+1,"🔵 TOMORROW",IF($I233&lt;=TODAY()+7,"📅 THIS WEEK","⏳ SCHEDULED"))))))</f>
        <v/>
      </c>
      <c r="K233" s="20">
        <f>IF($F233="",999,IF($G233&gt;=5,9999,IF($I233="",999,$I233-TODAY())))</f>
        <v/>
      </c>
    </row>
    <row r="234">
      <c r="A234" s="16">
        <f>ROW()-2</f>
        <v/>
      </c>
      <c r="B234" s="17" t="inlineStr">
        <is>
          <t>S3</t>
        </is>
      </c>
      <c r="C234" s="17" t="inlineStr">
        <is>
          <t>Sémiologie I</t>
        </is>
      </c>
      <c r="D234" s="17" t="inlineStr">
        <is>
          <t>Sémiologie digestive</t>
        </is>
      </c>
      <c r="E234" s="17" t="inlineStr">
        <is>
          <t>Sémiologie des foyers infectieux de l'abdomen</t>
        </is>
      </c>
      <c r="F234" s="18" t="n"/>
      <c r="G234" s="19" t="n"/>
      <c r="H234" s="20">
        <f>IF($G234="",1,IF($G234=0,1,IF($G234=1,3,IF($G234=2,7,IF($G234=3,14,IF($G234=4,30,60))))))</f>
        <v/>
      </c>
      <c r="I234" s="21">
        <f>IF($F234="","",$F234+$H234)</f>
        <v/>
      </c>
      <c r="J234">
        <f>IF($F234="","⚪ NEW",IF($G234&gt;=5,"✅ DONE",IF($I234&lt;TODAY(),"🔴 OVERDUE",IF($I234=TODAY(),"🟢 TODAY",IF($I234=TODAY()+1,"🔵 TOMORROW",IF($I234&lt;=TODAY()+7,"📅 THIS WEEK","⏳ SCHEDULED"))))))</f>
        <v/>
      </c>
      <c r="K234" s="20">
        <f>IF($F234="",999,IF($G234&gt;=5,9999,IF($I234="",999,$I234-TODAY())))</f>
        <v/>
      </c>
    </row>
    <row r="235">
      <c r="A235" s="16">
        <f>ROW()-2</f>
        <v/>
      </c>
      <c r="B235" s="17" t="inlineStr">
        <is>
          <t>S3</t>
        </is>
      </c>
      <c r="C235" s="17" t="inlineStr">
        <is>
          <t>Sémiologie I</t>
        </is>
      </c>
      <c r="D235" s="17" t="inlineStr">
        <is>
          <t>Sémiologie digestive</t>
        </is>
      </c>
      <c r="E235" s="17" t="inlineStr">
        <is>
          <t>Sémiologie des voies biliaires</t>
        </is>
      </c>
      <c r="F235" s="18" t="n"/>
      <c r="G235" s="19" t="n"/>
      <c r="H235" s="20">
        <f>IF($G235="",1,IF($G235=0,1,IF($G235=1,3,IF($G235=2,7,IF($G235=3,14,IF($G235=4,30,60))))))</f>
        <v/>
      </c>
      <c r="I235" s="21">
        <f>IF($F235="","",$F235+$H235)</f>
        <v/>
      </c>
      <c r="J235">
        <f>IF($F235="","⚪ NEW",IF($G235&gt;=5,"✅ DONE",IF($I235&lt;TODAY(),"🔴 OVERDUE",IF($I235=TODAY(),"🟢 TODAY",IF($I235=TODAY()+1,"🔵 TOMORROW",IF($I235&lt;=TODAY()+7,"📅 THIS WEEK","⏳ SCHEDULED"))))))</f>
        <v/>
      </c>
      <c r="K235" s="20">
        <f>IF($F235="",999,IF($G235&gt;=5,9999,IF($I235="",999,$I235-TODAY())))</f>
        <v/>
      </c>
    </row>
    <row r="236">
      <c r="A236" s="16">
        <f>ROW()-2</f>
        <v/>
      </c>
      <c r="B236" s="17" t="inlineStr">
        <is>
          <t>S3</t>
        </is>
      </c>
      <c r="C236" s="17" t="inlineStr">
        <is>
          <t>Sémiologie I</t>
        </is>
      </c>
      <c r="D236" s="17" t="inlineStr">
        <is>
          <t>Sémiologie cardiovasculaire</t>
        </is>
      </c>
      <c r="E236" s="17" t="inlineStr">
        <is>
          <t>Introduction à la sémiologie cardiovasculaire</t>
        </is>
      </c>
      <c r="F236" s="18" t="n"/>
      <c r="G236" s="19" t="n"/>
      <c r="H236" s="20">
        <f>IF($G236="",1,IF($G236=0,1,IF($G236=1,3,IF($G236=2,7,IF($G236=3,14,IF($G236=4,30,60))))))</f>
        <v/>
      </c>
      <c r="I236" s="21">
        <f>IF($F236="","",$F236+$H236)</f>
        <v/>
      </c>
      <c r="J236">
        <f>IF($F236="","⚪ NEW",IF($G236&gt;=5,"✅ DONE",IF($I236&lt;TODAY(),"🔴 OVERDUE",IF($I236=TODAY(),"🟢 TODAY",IF($I236=TODAY()+1,"🔵 TOMORROW",IF($I236&lt;=TODAY()+7,"📅 THIS WEEK","⏳ SCHEDULED"))))))</f>
        <v/>
      </c>
      <c r="K236" s="20">
        <f>IF($F236="",999,IF($G236&gt;=5,9999,IF($I236="",999,$I236-TODAY())))</f>
        <v/>
      </c>
    </row>
    <row r="237">
      <c r="A237" s="16">
        <f>ROW()-2</f>
        <v/>
      </c>
      <c r="B237" s="17" t="inlineStr">
        <is>
          <t>S3</t>
        </is>
      </c>
      <c r="C237" s="17" t="inlineStr">
        <is>
          <t>Sémiologie I</t>
        </is>
      </c>
      <c r="D237" s="17" t="inlineStr">
        <is>
          <t>Sémiologie cardiovasculaire</t>
        </is>
      </c>
      <c r="E237" s="17" t="inlineStr">
        <is>
          <t>Facteurs de risque cardiovasculaire</t>
        </is>
      </c>
      <c r="F237" s="18" t="n"/>
      <c r="G237" s="19" t="n"/>
      <c r="H237" s="20">
        <f>IF($G237="",1,IF($G237=0,1,IF($G237=1,3,IF($G237=2,7,IF($G237=3,14,IF($G237=4,30,60))))))</f>
        <v/>
      </c>
      <c r="I237" s="21">
        <f>IF($F237="","",$F237+$H237)</f>
        <v/>
      </c>
      <c r="J237">
        <f>IF($F237="","⚪ NEW",IF($G237&gt;=5,"✅ DONE",IF($I237&lt;TODAY(),"🔴 OVERDUE",IF($I237=TODAY(),"🟢 TODAY",IF($I237=TODAY()+1,"🔵 TOMORROW",IF($I237&lt;=TODAY()+7,"📅 THIS WEEK","⏳ SCHEDULED"))))))</f>
        <v/>
      </c>
      <c r="K237" s="20">
        <f>IF($F237="",999,IF($G237&gt;=5,9999,IF($I237="",999,$I237-TODAY())))</f>
        <v/>
      </c>
    </row>
    <row r="238">
      <c r="A238" s="16">
        <f>ROW()-2</f>
        <v/>
      </c>
      <c r="B238" s="17" t="inlineStr">
        <is>
          <t>S3</t>
        </is>
      </c>
      <c r="C238" s="17" t="inlineStr">
        <is>
          <t>Sémiologie I</t>
        </is>
      </c>
      <c r="D238" s="17" t="inlineStr">
        <is>
          <t>Sémiologie cardiovasculaire</t>
        </is>
      </c>
      <c r="E238" s="17" t="inlineStr">
        <is>
          <t>Dyspnée</t>
        </is>
      </c>
      <c r="F238" s="18" t="n"/>
      <c r="G238" s="19" t="n"/>
      <c r="H238" s="20">
        <f>IF($G238="",1,IF($G238=0,1,IF($G238=1,3,IF($G238=2,7,IF($G238=3,14,IF($G238=4,30,60))))))</f>
        <v/>
      </c>
      <c r="I238" s="21">
        <f>IF($F238="","",$F238+$H238)</f>
        <v/>
      </c>
      <c r="J238">
        <f>IF($F238="","⚪ NEW",IF($G238&gt;=5,"✅ DONE",IF($I238&lt;TODAY(),"🔴 OVERDUE",IF($I238=TODAY(),"🟢 TODAY",IF($I238=TODAY()+1,"🔵 TOMORROW",IF($I238&lt;=TODAY()+7,"📅 THIS WEEK","⏳ SCHEDULED"))))))</f>
        <v/>
      </c>
      <c r="K238" s="20">
        <f>IF($F238="",999,IF($G238&gt;=5,9999,IF($I238="",999,$I238-TODAY())))</f>
        <v/>
      </c>
    </row>
    <row r="239">
      <c r="A239" s="16">
        <f>ROW()-2</f>
        <v/>
      </c>
      <c r="B239" s="17" t="inlineStr">
        <is>
          <t>S3</t>
        </is>
      </c>
      <c r="C239" s="17" t="inlineStr">
        <is>
          <t>Sémiologie I</t>
        </is>
      </c>
      <c r="D239" s="17" t="inlineStr">
        <is>
          <t>Sémiologie cardiovasculaire</t>
        </is>
      </c>
      <c r="E239" s="17" t="inlineStr">
        <is>
          <t>Douleurs thoraciques</t>
        </is>
      </c>
      <c r="F239" s="18" t="n"/>
      <c r="G239" s="19" t="n"/>
      <c r="H239" s="20">
        <f>IF($G239="",1,IF($G239=0,1,IF($G239=1,3,IF($G239=2,7,IF($G239=3,14,IF($G239=4,30,60))))))</f>
        <v/>
      </c>
      <c r="I239" s="21">
        <f>IF($F239="","",$F239+$H239)</f>
        <v/>
      </c>
      <c r="J239">
        <f>IF($F239="","⚪ NEW",IF($G239&gt;=5,"✅ DONE",IF($I239&lt;TODAY(),"🔴 OVERDUE",IF($I239=TODAY(),"🟢 TODAY",IF($I239=TODAY()+1,"🔵 TOMORROW",IF($I239&lt;=TODAY()+7,"📅 THIS WEEK","⏳ SCHEDULED"))))))</f>
        <v/>
      </c>
      <c r="K239" s="20">
        <f>IF($F239="",999,IF($G239&gt;=5,9999,IF($I239="",999,$I239-TODAY())))</f>
        <v/>
      </c>
    </row>
    <row r="240">
      <c r="A240" s="16">
        <f>ROW()-2</f>
        <v/>
      </c>
      <c r="B240" s="17" t="inlineStr">
        <is>
          <t>S3</t>
        </is>
      </c>
      <c r="C240" s="17" t="inlineStr">
        <is>
          <t>Sémiologie I</t>
        </is>
      </c>
      <c r="D240" s="17" t="inlineStr">
        <is>
          <t>Sémiologie cardiovasculaire</t>
        </is>
      </c>
      <c r="E240" s="17" t="inlineStr">
        <is>
          <t>Douleurs vasculaires</t>
        </is>
      </c>
      <c r="F240" s="18" t="n"/>
      <c r="G240" s="19" t="n"/>
      <c r="H240" s="20">
        <f>IF($G240="",1,IF($G240=0,1,IF($G240=1,3,IF($G240=2,7,IF($G240=3,14,IF($G240=4,30,60))))))</f>
        <v/>
      </c>
      <c r="I240" s="21">
        <f>IF($F240="","",$F240+$H240)</f>
        <v/>
      </c>
      <c r="J240">
        <f>IF($F240="","⚪ NEW",IF($G240&gt;=5,"✅ DONE",IF($I240&lt;TODAY(),"🔴 OVERDUE",IF($I240=TODAY(),"🟢 TODAY",IF($I240=TODAY()+1,"🔵 TOMORROW",IF($I240&lt;=TODAY()+7,"📅 THIS WEEK","⏳ SCHEDULED"))))))</f>
        <v/>
      </c>
      <c r="K240" s="20">
        <f>IF($F240="",999,IF($G240&gt;=5,9999,IF($I240="",999,$I240-TODAY())))</f>
        <v/>
      </c>
    </row>
    <row r="241">
      <c r="A241" s="16">
        <f>ROW()-2</f>
        <v/>
      </c>
      <c r="B241" s="17" t="inlineStr">
        <is>
          <t>S3</t>
        </is>
      </c>
      <c r="C241" s="17" t="inlineStr">
        <is>
          <t>Sémiologie I</t>
        </is>
      </c>
      <c r="D241" s="17" t="inlineStr">
        <is>
          <t>Sémiologie cardiovasculaire</t>
        </is>
      </c>
      <c r="E241" s="17" t="inlineStr">
        <is>
          <t>Palpitations</t>
        </is>
      </c>
      <c r="F241" s="18" t="n"/>
      <c r="G241" s="19" t="n"/>
      <c r="H241" s="20">
        <f>IF($G241="",1,IF($G241=0,1,IF($G241=1,3,IF($G241=2,7,IF($G241=3,14,IF($G241=4,30,60))))))</f>
        <v/>
      </c>
      <c r="I241" s="21">
        <f>IF($F241="","",$F241+$H241)</f>
        <v/>
      </c>
      <c r="J241">
        <f>IF($F241="","⚪ NEW",IF($G241&gt;=5,"✅ DONE",IF($I241&lt;TODAY(),"🔴 OVERDUE",IF($I241=TODAY(),"🟢 TODAY",IF($I241=TODAY()+1,"🔵 TOMORROW",IF($I241&lt;=TODAY()+7,"📅 THIS WEEK","⏳ SCHEDULED"))))))</f>
        <v/>
      </c>
      <c r="K241" s="20">
        <f>IF($F241="",999,IF($G241&gt;=5,9999,IF($I241="",999,$I241-TODAY())))</f>
        <v/>
      </c>
    </row>
    <row r="242">
      <c r="A242" s="16">
        <f>ROW()-2</f>
        <v/>
      </c>
      <c r="B242" s="17" t="inlineStr">
        <is>
          <t>S3</t>
        </is>
      </c>
      <c r="C242" s="17" t="inlineStr">
        <is>
          <t>Sémiologie I</t>
        </is>
      </c>
      <c r="D242" s="17" t="inlineStr">
        <is>
          <t>Sémiologie cardiovasculaire</t>
        </is>
      </c>
      <c r="E242" s="17" t="inlineStr">
        <is>
          <t>Syncopes et lipothymies</t>
        </is>
      </c>
      <c r="F242" s="18" t="n"/>
      <c r="G242" s="19" t="n"/>
      <c r="H242" s="20">
        <f>IF($G242="",1,IF($G242=0,1,IF($G242=1,3,IF($G242=2,7,IF($G242=3,14,IF($G242=4,30,60))))))</f>
        <v/>
      </c>
      <c r="I242" s="21">
        <f>IF($F242="","",$F242+$H242)</f>
        <v/>
      </c>
      <c r="J242">
        <f>IF($F242="","⚪ NEW",IF($G242&gt;=5,"✅ DONE",IF($I242&lt;TODAY(),"🔴 OVERDUE",IF($I242=TODAY(),"🟢 TODAY",IF($I242=TODAY()+1,"🔵 TOMORROW",IF($I242&lt;=TODAY()+7,"📅 THIS WEEK","⏳ SCHEDULED"))))))</f>
        <v/>
      </c>
      <c r="K242" s="20">
        <f>IF($F242="",999,IF($G242&gt;=5,9999,IF($I242="",999,$I242-TODAY())))</f>
        <v/>
      </c>
    </row>
    <row r="243">
      <c r="A243" s="16">
        <f>ROW()-2</f>
        <v/>
      </c>
      <c r="B243" s="17" t="inlineStr">
        <is>
          <t>S3</t>
        </is>
      </c>
      <c r="C243" s="17" t="inlineStr">
        <is>
          <t>Sémiologie I</t>
        </is>
      </c>
      <c r="D243" s="17" t="inlineStr">
        <is>
          <t>Sémiologie cardiovasculaire</t>
        </is>
      </c>
      <c r="E243" s="17" t="inlineStr">
        <is>
          <t>Examen cardiovasculaire</t>
        </is>
      </c>
      <c r="F243" s="18" t="n"/>
      <c r="G243" s="19" t="n"/>
      <c r="H243" s="20">
        <f>IF($G243="",1,IF($G243=0,1,IF($G243=1,3,IF($G243=2,7,IF($G243=3,14,IF($G243=4,30,60))))))</f>
        <v/>
      </c>
      <c r="I243" s="21">
        <f>IF($F243="","",$F243+$H243)</f>
        <v/>
      </c>
      <c r="J243">
        <f>IF($F243="","⚪ NEW",IF($G243&gt;=5,"✅ DONE",IF($I243&lt;TODAY(),"🔴 OVERDUE",IF($I243=TODAY(),"🟢 TODAY",IF($I243=TODAY()+1,"🔵 TOMORROW",IF($I243&lt;=TODAY()+7,"📅 THIS WEEK","⏳ SCHEDULED"))))))</f>
        <v/>
      </c>
      <c r="K243" s="20">
        <f>IF($F243="",999,IF($G243&gt;=5,9999,IF($I243="",999,$I243-TODAY())))</f>
        <v/>
      </c>
    </row>
    <row r="244">
      <c r="A244" s="16">
        <f>ROW()-2</f>
        <v/>
      </c>
      <c r="B244" s="17" t="inlineStr">
        <is>
          <t>S3</t>
        </is>
      </c>
      <c r="C244" s="17" t="inlineStr">
        <is>
          <t>Sémiologie I</t>
        </is>
      </c>
      <c r="D244" s="17" t="inlineStr">
        <is>
          <t>Sémiologie cardiovasculaire</t>
        </is>
      </c>
      <c r="E244" s="17" t="inlineStr">
        <is>
          <t>Radiographie thoracique</t>
        </is>
      </c>
      <c r="F244" s="18" t="n"/>
      <c r="G244" s="19" t="n"/>
      <c r="H244" s="20">
        <f>IF($G244="",1,IF($G244=0,1,IF($G244=1,3,IF($G244=2,7,IF($G244=3,14,IF($G244=4,30,60))))))</f>
        <v/>
      </c>
      <c r="I244" s="21">
        <f>IF($F244="","",$F244+$H244)</f>
        <v/>
      </c>
      <c r="J244">
        <f>IF($F244="","⚪ NEW",IF($G244&gt;=5,"✅ DONE",IF($I244&lt;TODAY(),"🔴 OVERDUE",IF($I244=TODAY(),"🟢 TODAY",IF($I244=TODAY()+1,"🔵 TOMORROW",IF($I244&lt;=TODAY()+7,"📅 THIS WEEK","⏳ SCHEDULED"))))))</f>
        <v/>
      </c>
      <c r="K244" s="20">
        <f>IF($F244="",999,IF($G244&gt;=5,9999,IF($I244="",999,$I244-TODAY())))</f>
        <v/>
      </c>
    </row>
    <row r="245">
      <c r="A245" s="16">
        <f>ROW()-2</f>
        <v/>
      </c>
      <c r="B245" s="17" t="inlineStr">
        <is>
          <t>S3</t>
        </is>
      </c>
      <c r="C245" s="17" t="inlineStr">
        <is>
          <t>Sémiologie I</t>
        </is>
      </c>
      <c r="D245" s="17" t="inlineStr">
        <is>
          <t>Sémiologie cardiovasculaire</t>
        </is>
      </c>
      <c r="E245" s="17" t="inlineStr">
        <is>
          <t>Électrocardiogramme (ECG)</t>
        </is>
      </c>
      <c r="F245" s="18" t="n"/>
      <c r="G245" s="19" t="n"/>
      <c r="H245" s="20">
        <f>IF($G245="",1,IF($G245=0,1,IF($G245=1,3,IF($G245=2,7,IF($G245=3,14,IF($G245=4,30,60))))))</f>
        <v/>
      </c>
      <c r="I245" s="21">
        <f>IF($F245="","",$F245+$H245)</f>
        <v/>
      </c>
      <c r="J245">
        <f>IF($F245="","⚪ NEW",IF($G245&gt;=5,"✅ DONE",IF($I245&lt;TODAY(),"🔴 OVERDUE",IF($I245=TODAY(),"🟢 TODAY",IF($I245=TODAY()+1,"🔵 TOMORROW",IF($I245&lt;=TODAY()+7,"📅 THIS WEEK","⏳ SCHEDULED"))))))</f>
        <v/>
      </c>
      <c r="K245" s="20">
        <f>IF($F245="",999,IF($G245&gt;=5,9999,IF($I245="",999,$I245-TODAY())))</f>
        <v/>
      </c>
    </row>
    <row r="246">
      <c r="A246" s="16">
        <f>ROW()-2</f>
        <v/>
      </c>
      <c r="B246" s="17" t="inlineStr">
        <is>
          <t>S3</t>
        </is>
      </c>
      <c r="C246" s="17" t="inlineStr">
        <is>
          <t>Sémiologie I</t>
        </is>
      </c>
      <c r="D246" s="17" t="inlineStr">
        <is>
          <t>Sémiologie cardiovasculaire</t>
        </is>
      </c>
      <c r="E246" s="17" t="inlineStr">
        <is>
          <t>Grands syndromes en cardiologie</t>
        </is>
      </c>
      <c r="F246" s="18" t="n"/>
      <c r="G246" s="19" t="n"/>
      <c r="H246" s="20">
        <f>IF($G246="",1,IF($G246=0,1,IF($G246=1,3,IF($G246=2,7,IF($G246=3,14,IF($G246=4,30,60))))))</f>
        <v/>
      </c>
      <c r="I246" s="21">
        <f>IF($F246="","",$F246+$H246)</f>
        <v/>
      </c>
      <c r="J246">
        <f>IF($F246="","⚪ NEW",IF($G246&gt;=5,"✅ DONE",IF($I246&lt;TODAY(),"🔴 OVERDUE",IF($I246=TODAY(),"🟢 TODAY",IF($I246=TODAY()+1,"🔵 TOMORROW",IF($I246&lt;=TODAY()+7,"📅 THIS WEEK","⏳ SCHEDULED"))))))</f>
        <v/>
      </c>
      <c r="K246" s="20">
        <f>IF($F246="",999,IF($G246&gt;=5,9999,IF($I246="",999,$I246-TODAY())))</f>
        <v/>
      </c>
    </row>
    <row r="247">
      <c r="A247" s="16">
        <f>ROW()-2</f>
        <v/>
      </c>
      <c r="B247" s="17" t="inlineStr">
        <is>
          <t>S3</t>
        </is>
      </c>
      <c r="C247" s="17" t="inlineStr">
        <is>
          <t>Sémiologie I</t>
        </is>
      </c>
      <c r="D247" s="17" t="inlineStr">
        <is>
          <t>Sémiologie respiratoire</t>
        </is>
      </c>
      <c r="E247" s="17" t="inlineStr">
        <is>
          <t>L'observation médicale</t>
        </is>
      </c>
      <c r="F247" s="18" t="n"/>
      <c r="G247" s="19" t="n"/>
      <c r="H247" s="20">
        <f>IF($G247="",1,IF($G247=0,1,IF($G247=1,3,IF($G247=2,7,IF($G247=3,14,IF($G247=4,30,60))))))</f>
        <v/>
      </c>
      <c r="I247" s="21">
        <f>IF($F247="","",$F247+$H247)</f>
        <v/>
      </c>
      <c r="J247">
        <f>IF($F247="","⚪ NEW",IF($G247&gt;=5,"✅ DONE",IF($I247&lt;TODAY(),"🔴 OVERDUE",IF($I247=TODAY(),"🟢 TODAY",IF($I247=TODAY()+1,"🔵 TOMORROW",IF($I247&lt;=TODAY()+7,"📅 THIS WEEK","⏳ SCHEDULED"))))))</f>
        <v/>
      </c>
      <c r="K247" s="20">
        <f>IF($F247="",999,IF($G247&gt;=5,9999,IF($I247="",999,$I247-TODAY())))</f>
        <v/>
      </c>
    </row>
    <row r="248">
      <c r="A248" s="16">
        <f>ROW()-2</f>
        <v/>
      </c>
      <c r="B248" s="17" t="inlineStr">
        <is>
          <t>S3</t>
        </is>
      </c>
      <c r="C248" s="17" t="inlineStr">
        <is>
          <t>Sémiologie I</t>
        </is>
      </c>
      <c r="D248" s="17" t="inlineStr">
        <is>
          <t>Sémiologie respiratoire</t>
        </is>
      </c>
      <c r="E248" s="17" t="inlineStr">
        <is>
          <t>La toux</t>
        </is>
      </c>
      <c r="F248" s="18" t="n"/>
      <c r="G248" s="19" t="n"/>
      <c r="H248" s="20">
        <f>IF($G248="",1,IF($G248=0,1,IF($G248=1,3,IF($G248=2,7,IF($G248=3,14,IF($G248=4,30,60))))))</f>
        <v/>
      </c>
      <c r="I248" s="21">
        <f>IF($F248="","",$F248+$H248)</f>
        <v/>
      </c>
      <c r="J248">
        <f>IF($F248="","⚪ NEW",IF($G248&gt;=5,"✅ DONE",IF($I248&lt;TODAY(),"🔴 OVERDUE",IF($I248=TODAY(),"🟢 TODAY",IF($I248=TODAY()+1,"🔵 TOMORROW",IF($I248&lt;=TODAY()+7,"📅 THIS WEEK","⏳ SCHEDULED"))))))</f>
        <v/>
      </c>
      <c r="K248" s="20">
        <f>IF($F248="",999,IF($G248&gt;=5,9999,IF($I248="",999,$I248-TODAY())))</f>
        <v/>
      </c>
    </row>
    <row r="249">
      <c r="A249" s="16">
        <f>ROW()-2</f>
        <v/>
      </c>
      <c r="B249" s="17" t="inlineStr">
        <is>
          <t>S3</t>
        </is>
      </c>
      <c r="C249" s="17" t="inlineStr">
        <is>
          <t>Sémiologie I</t>
        </is>
      </c>
      <c r="D249" s="17" t="inlineStr">
        <is>
          <t>Sémiologie respiratoire</t>
        </is>
      </c>
      <c r="E249" s="17" t="inlineStr">
        <is>
          <t>L'expectoration et la vomique</t>
        </is>
      </c>
      <c r="F249" s="18" t="n"/>
      <c r="G249" s="19" t="n"/>
      <c r="H249" s="20">
        <f>IF($G249="",1,IF($G249=0,1,IF($G249=1,3,IF($G249=2,7,IF($G249=3,14,IF($G249=4,30,60))))))</f>
        <v/>
      </c>
      <c r="I249" s="21">
        <f>IF($F249="","",$F249+$H249)</f>
        <v/>
      </c>
      <c r="J249">
        <f>IF($F249="","⚪ NEW",IF($G249&gt;=5,"✅ DONE",IF($I249&lt;TODAY(),"🔴 OVERDUE",IF($I249=TODAY(),"🟢 TODAY",IF($I249=TODAY()+1,"🔵 TOMORROW",IF($I249&lt;=TODAY()+7,"📅 THIS WEEK","⏳ SCHEDULED"))))))</f>
        <v/>
      </c>
      <c r="K249" s="20">
        <f>IF($F249="",999,IF($G249&gt;=5,9999,IF($I249="",999,$I249-TODAY())))</f>
        <v/>
      </c>
    </row>
    <row r="250">
      <c r="A250" s="16">
        <f>ROW()-2</f>
        <v/>
      </c>
      <c r="B250" s="17" t="inlineStr">
        <is>
          <t>S3</t>
        </is>
      </c>
      <c r="C250" s="17" t="inlineStr">
        <is>
          <t>Sémiologie I</t>
        </is>
      </c>
      <c r="D250" s="17" t="inlineStr">
        <is>
          <t>Sémiologie respiratoire</t>
        </is>
      </c>
      <c r="E250" s="17" t="inlineStr">
        <is>
          <t>L'hémoptysie</t>
        </is>
      </c>
      <c r="F250" s="18" t="n"/>
      <c r="G250" s="19" t="n"/>
      <c r="H250" s="20">
        <f>IF($G250="",1,IF($G250=0,1,IF($G250=1,3,IF($G250=2,7,IF($G250=3,14,IF($G250=4,30,60))))))</f>
        <v/>
      </c>
      <c r="I250" s="21">
        <f>IF($F250="","",$F250+$H250)</f>
        <v/>
      </c>
      <c r="J250">
        <f>IF($F250="","⚪ NEW",IF($G250&gt;=5,"✅ DONE",IF($I250&lt;TODAY(),"🔴 OVERDUE",IF($I250=TODAY(),"🟢 TODAY",IF($I250=TODAY()+1,"🔵 TOMORROW",IF($I250&lt;=TODAY()+7,"📅 THIS WEEK","⏳ SCHEDULED"))))))</f>
        <v/>
      </c>
      <c r="K250" s="20">
        <f>IF($F250="",999,IF($G250&gt;=5,9999,IF($I250="",999,$I250-TODAY())))</f>
        <v/>
      </c>
    </row>
    <row r="251">
      <c r="A251" s="16">
        <f>ROW()-2</f>
        <v/>
      </c>
      <c r="B251" s="17" t="inlineStr">
        <is>
          <t>S3</t>
        </is>
      </c>
      <c r="C251" s="17" t="inlineStr">
        <is>
          <t>Sémiologie I</t>
        </is>
      </c>
      <c r="D251" s="17" t="inlineStr">
        <is>
          <t>Sémiologie respiratoire</t>
        </is>
      </c>
      <c r="E251" s="17" t="inlineStr">
        <is>
          <t>La douleur thoracique</t>
        </is>
      </c>
      <c r="F251" s="18" t="n"/>
      <c r="G251" s="19" t="n"/>
      <c r="H251" s="20">
        <f>IF($G251="",1,IF($G251=0,1,IF($G251=1,3,IF($G251=2,7,IF($G251=3,14,IF($G251=4,30,60))))))</f>
        <v/>
      </c>
      <c r="I251" s="21">
        <f>IF($F251="","",$F251+$H251)</f>
        <v/>
      </c>
      <c r="J251">
        <f>IF($F251="","⚪ NEW",IF($G251&gt;=5,"✅ DONE",IF($I251&lt;TODAY(),"🔴 OVERDUE",IF($I251=TODAY(),"🟢 TODAY",IF($I251=TODAY()+1,"🔵 TOMORROW",IF($I251&lt;=TODAY()+7,"📅 THIS WEEK","⏳ SCHEDULED"))))))</f>
        <v/>
      </c>
      <c r="K251" s="20">
        <f>IF($F251="",999,IF($G251&gt;=5,9999,IF($I251="",999,$I251-TODAY())))</f>
        <v/>
      </c>
    </row>
    <row r="252">
      <c r="A252" s="16">
        <f>ROW()-2</f>
        <v/>
      </c>
      <c r="B252" s="17" t="inlineStr">
        <is>
          <t>S3</t>
        </is>
      </c>
      <c r="C252" s="17" t="inlineStr">
        <is>
          <t>Sémiologie I</t>
        </is>
      </c>
      <c r="D252" s="17" t="inlineStr">
        <is>
          <t>Sémiologie respiratoire</t>
        </is>
      </c>
      <c r="E252" s="17" t="inlineStr">
        <is>
          <t>La dyspnée</t>
        </is>
      </c>
      <c r="F252" s="18" t="n"/>
      <c r="G252" s="19" t="n"/>
      <c r="H252" s="20">
        <f>IF($G252="",1,IF($G252=0,1,IF($G252=1,3,IF($G252=2,7,IF($G252=3,14,IF($G252=4,30,60))))))</f>
        <v/>
      </c>
      <c r="I252" s="21">
        <f>IF($F252="","",$F252+$H252)</f>
        <v/>
      </c>
      <c r="J252">
        <f>IF($F252="","⚪ NEW",IF($G252&gt;=5,"✅ DONE",IF($I252&lt;TODAY(),"🔴 OVERDUE",IF($I252=TODAY(),"🟢 TODAY",IF($I252=TODAY()+1,"🔵 TOMORROW",IF($I252&lt;=TODAY()+7,"📅 THIS WEEK","⏳ SCHEDULED"))))))</f>
        <v/>
      </c>
      <c r="K252" s="20">
        <f>IF($F252="",999,IF($G252&gt;=5,9999,IF($I252="",999,$I252-TODAY())))</f>
        <v/>
      </c>
    </row>
    <row r="253">
      <c r="A253" s="16">
        <f>ROW()-2</f>
        <v/>
      </c>
      <c r="B253" s="17" t="inlineStr">
        <is>
          <t>S3</t>
        </is>
      </c>
      <c r="C253" s="17" t="inlineStr">
        <is>
          <t>Sémiologie I</t>
        </is>
      </c>
      <c r="D253" s="17" t="inlineStr">
        <is>
          <t>Sémiologie respiratoire</t>
        </is>
      </c>
      <c r="E253" s="17" t="inlineStr">
        <is>
          <t>L'inspection et la palpation</t>
        </is>
      </c>
      <c r="F253" s="18" t="n"/>
      <c r="G253" s="19" t="n"/>
      <c r="H253" s="20">
        <f>IF($G253="",1,IF($G253=0,1,IF($G253=1,3,IF($G253=2,7,IF($G253=3,14,IF($G253=4,30,60))))))</f>
        <v/>
      </c>
      <c r="I253" s="21">
        <f>IF($F253="","",$F253+$H253)</f>
        <v/>
      </c>
      <c r="J253">
        <f>IF($F253="","⚪ NEW",IF($G253&gt;=5,"✅ DONE",IF($I253&lt;TODAY(),"🔴 OVERDUE",IF($I253=TODAY(),"🟢 TODAY",IF($I253=TODAY()+1,"🔵 TOMORROW",IF($I253&lt;=TODAY()+7,"📅 THIS WEEK","⏳ SCHEDULED"))))))</f>
        <v/>
      </c>
      <c r="K253" s="20">
        <f>IF($F253="",999,IF($G253&gt;=5,9999,IF($I253="",999,$I253-TODAY())))</f>
        <v/>
      </c>
    </row>
    <row r="254">
      <c r="A254" s="16">
        <f>ROW()-2</f>
        <v/>
      </c>
      <c r="B254" s="17" t="inlineStr">
        <is>
          <t>S3</t>
        </is>
      </c>
      <c r="C254" s="17" t="inlineStr">
        <is>
          <t>Sémiologie I</t>
        </is>
      </c>
      <c r="D254" s="17" t="inlineStr">
        <is>
          <t>Sémiologie respiratoire</t>
        </is>
      </c>
      <c r="E254" s="17" t="inlineStr">
        <is>
          <t>La percussion</t>
        </is>
      </c>
      <c r="F254" s="18" t="n"/>
      <c r="G254" s="19" t="n"/>
      <c r="H254" s="20">
        <f>IF($G254="",1,IF($G254=0,1,IF($G254=1,3,IF($G254=2,7,IF($G254=3,14,IF($G254=4,30,60))))))</f>
        <v/>
      </c>
      <c r="I254" s="21">
        <f>IF($F254="","",$F254+$H254)</f>
        <v/>
      </c>
      <c r="J254">
        <f>IF($F254="","⚪ NEW",IF($G254&gt;=5,"✅ DONE",IF($I254&lt;TODAY(),"🔴 OVERDUE",IF($I254=TODAY(),"🟢 TODAY",IF($I254=TODAY()+1,"🔵 TOMORROW",IF($I254&lt;=TODAY()+7,"📅 THIS WEEK","⏳ SCHEDULED"))))))</f>
        <v/>
      </c>
      <c r="K254" s="20">
        <f>IF($F254="",999,IF($G254&gt;=5,9999,IF($I254="",999,$I254-TODAY())))</f>
        <v/>
      </c>
    </row>
    <row r="255">
      <c r="A255" s="16">
        <f>ROW()-2</f>
        <v/>
      </c>
      <c r="B255" s="17" t="inlineStr">
        <is>
          <t>S3</t>
        </is>
      </c>
      <c r="C255" s="17" t="inlineStr">
        <is>
          <t>Sémiologie I</t>
        </is>
      </c>
      <c r="D255" s="17" t="inlineStr">
        <is>
          <t>Sémiologie respiratoire</t>
        </is>
      </c>
      <c r="E255" s="17" t="inlineStr">
        <is>
          <t>L'auscultation</t>
        </is>
      </c>
      <c r="F255" s="18" t="n"/>
      <c r="G255" s="19" t="n"/>
      <c r="H255" s="20">
        <f>IF($G255="",1,IF($G255=0,1,IF($G255=1,3,IF($G255=2,7,IF($G255=3,14,IF($G255=4,30,60))))))</f>
        <v/>
      </c>
      <c r="I255" s="21">
        <f>IF($F255="","",$F255+$H255)</f>
        <v/>
      </c>
      <c r="J255">
        <f>IF($F255="","⚪ NEW",IF($G255&gt;=5,"✅ DONE",IF($I255&lt;TODAY(),"🔴 OVERDUE",IF($I255=TODAY(),"🟢 TODAY",IF($I255=TODAY()+1,"🔵 TOMORROW",IF($I255&lt;=TODAY()+7,"📅 THIS WEEK","⏳ SCHEDULED"))))))</f>
        <v/>
      </c>
      <c r="K255" s="20">
        <f>IF($F255="",999,IF($G255&gt;=5,9999,IF($I255="",999,$I255-TODAY())))</f>
        <v/>
      </c>
    </row>
    <row r="256">
      <c r="A256" s="16">
        <f>ROW()-2</f>
        <v/>
      </c>
      <c r="B256" s="17" t="inlineStr">
        <is>
          <t>S3</t>
        </is>
      </c>
      <c r="C256" s="17" t="inlineStr">
        <is>
          <t>Sémiologie I</t>
        </is>
      </c>
      <c r="D256" s="17" t="inlineStr">
        <is>
          <t>Sémiologie respiratoire</t>
        </is>
      </c>
      <c r="E256" s="17" t="inlineStr">
        <is>
          <t>Syndrome thoracique</t>
        </is>
      </c>
      <c r="F256" s="18" t="n"/>
      <c r="G256" s="19" t="n"/>
      <c r="H256" s="20">
        <f>IF($G256="",1,IF($G256=0,1,IF($G256=1,3,IF($G256=2,7,IF($G256=3,14,IF($G256=4,30,60))))))</f>
        <v/>
      </c>
      <c r="I256" s="21">
        <f>IF($F256="","",$F256+$H256)</f>
        <v/>
      </c>
      <c r="J256">
        <f>IF($F256="","⚪ NEW",IF($G256&gt;=5,"✅ DONE",IF($I256&lt;TODAY(),"🔴 OVERDUE",IF($I256=TODAY(),"🟢 TODAY",IF($I256=TODAY()+1,"🔵 TOMORROW",IF($I256&lt;=TODAY()+7,"📅 THIS WEEK","⏳ SCHEDULED"))))))</f>
        <v/>
      </c>
      <c r="K256" s="20">
        <f>IF($F256="",999,IF($G256&gt;=5,9999,IF($I256="",999,$I256-TODAY())))</f>
        <v/>
      </c>
    </row>
    <row r="257">
      <c r="A257" s="16">
        <f>ROW()-2</f>
        <v/>
      </c>
      <c r="B257" s="17" t="inlineStr">
        <is>
          <t>S3</t>
        </is>
      </c>
      <c r="C257" s="17" t="inlineStr">
        <is>
          <t>Sémiologie I</t>
        </is>
      </c>
      <c r="D257" s="17" t="inlineStr">
        <is>
          <t>Sémiologie de l'appareil locomoteur</t>
        </is>
      </c>
      <c r="E257" s="17" t="inlineStr">
        <is>
          <t>Généralités</t>
        </is>
      </c>
      <c r="F257" s="18" t="n"/>
      <c r="G257" s="19" t="n"/>
      <c r="H257" s="20">
        <f>IF($G257="",1,IF($G257=0,1,IF($G257=1,3,IF($G257=2,7,IF($G257=3,14,IF($G257=4,30,60))))))</f>
        <v/>
      </c>
      <c r="I257" s="21">
        <f>IF($F257="","",$F257+$H257)</f>
        <v/>
      </c>
      <c r="J257">
        <f>IF($F257="","⚪ NEW",IF($G257&gt;=5,"✅ DONE",IF($I257&lt;TODAY(),"🔴 OVERDUE",IF($I257=TODAY(),"🟢 TODAY",IF($I257=TODAY()+1,"🔵 TOMORROW",IF($I257&lt;=TODAY()+7,"📅 THIS WEEK","⏳ SCHEDULED"))))))</f>
        <v/>
      </c>
      <c r="K257" s="20">
        <f>IF($F257="",999,IF($G257&gt;=5,9999,IF($I257="",999,$I257-TODAY())))</f>
        <v/>
      </c>
    </row>
    <row r="258">
      <c r="A258" s="16">
        <f>ROW()-2</f>
        <v/>
      </c>
      <c r="B258" s="17" t="inlineStr">
        <is>
          <t>S3</t>
        </is>
      </c>
      <c r="C258" s="17" t="inlineStr">
        <is>
          <t>Sémiologie I</t>
        </is>
      </c>
      <c r="D258" s="17" t="inlineStr">
        <is>
          <t>Sémiologie de l'appareil locomoteur</t>
        </is>
      </c>
      <c r="E258" s="17" t="inlineStr">
        <is>
          <t>Examen de l'épaule</t>
        </is>
      </c>
      <c r="F258" s="18" t="n"/>
      <c r="G258" s="19" t="n"/>
      <c r="H258" s="20">
        <f>IF($G258="",1,IF($G258=0,1,IF($G258=1,3,IF($G258=2,7,IF($G258=3,14,IF($G258=4,30,60))))))</f>
        <v/>
      </c>
      <c r="I258" s="21">
        <f>IF($F258="","",$F258+$H258)</f>
        <v/>
      </c>
      <c r="J258">
        <f>IF($F258="","⚪ NEW",IF($G258&gt;=5,"✅ DONE",IF($I258&lt;TODAY(),"🔴 OVERDUE",IF($I258=TODAY(),"🟢 TODAY",IF($I258=TODAY()+1,"🔵 TOMORROW",IF($I258&lt;=TODAY()+7,"📅 THIS WEEK","⏳ SCHEDULED"))))))</f>
        <v/>
      </c>
      <c r="K258" s="20">
        <f>IF($F258="",999,IF($G258&gt;=5,9999,IF($I258="",999,$I258-TODAY())))</f>
        <v/>
      </c>
    </row>
    <row r="259">
      <c r="A259" s="16">
        <f>ROW()-2</f>
        <v/>
      </c>
      <c r="B259" s="17" t="inlineStr">
        <is>
          <t>S3</t>
        </is>
      </c>
      <c r="C259" s="17" t="inlineStr">
        <is>
          <t>Sémiologie I</t>
        </is>
      </c>
      <c r="D259" s="17" t="inlineStr">
        <is>
          <t>Sémiologie de l'appareil locomoteur</t>
        </is>
      </c>
      <c r="E259" s="17" t="inlineStr">
        <is>
          <t>Examen du rachis</t>
        </is>
      </c>
      <c r="F259" s="18" t="n"/>
      <c r="G259" s="19" t="n"/>
      <c r="H259" s="20">
        <f>IF($G259="",1,IF($G259=0,1,IF($G259=1,3,IF($G259=2,7,IF($G259=3,14,IF($G259=4,30,60))))))</f>
        <v/>
      </c>
      <c r="I259" s="21">
        <f>IF($F259="","",$F259+$H259)</f>
        <v/>
      </c>
      <c r="J259">
        <f>IF($F259="","⚪ NEW",IF($G259&gt;=5,"✅ DONE",IF($I259&lt;TODAY(),"🔴 OVERDUE",IF($I259=TODAY(),"🟢 TODAY",IF($I259=TODAY()+1,"🔵 TOMORROW",IF($I259&lt;=TODAY()+7,"📅 THIS WEEK","⏳ SCHEDULED"))))))</f>
        <v/>
      </c>
      <c r="K259" s="20">
        <f>IF($F259="",999,IF($G259&gt;=5,9999,IF($I259="",999,$I259-TODAY())))</f>
        <v/>
      </c>
    </row>
    <row r="260">
      <c r="A260" s="16">
        <f>ROW()-2</f>
        <v/>
      </c>
      <c r="B260" s="17" t="inlineStr">
        <is>
          <t>S3</t>
        </is>
      </c>
      <c r="C260" s="17" t="inlineStr">
        <is>
          <t>Sémiologie I</t>
        </is>
      </c>
      <c r="D260" s="17" t="inlineStr">
        <is>
          <t>Sémiologie de l'appareil locomoteur</t>
        </is>
      </c>
      <c r="E260" s="17" t="inlineStr">
        <is>
          <t>Examen de la hanche</t>
        </is>
      </c>
      <c r="F260" s="18" t="n"/>
      <c r="G260" s="19" t="n"/>
      <c r="H260" s="20">
        <f>IF($G260="",1,IF($G260=0,1,IF($G260=1,3,IF($G260=2,7,IF($G260=3,14,IF($G260=4,30,60))))))</f>
        <v/>
      </c>
      <c r="I260" s="21">
        <f>IF($F260="","",$F260+$H260)</f>
        <v/>
      </c>
      <c r="J260">
        <f>IF($F260="","⚪ NEW",IF($G260&gt;=5,"✅ DONE",IF($I260&lt;TODAY(),"🔴 OVERDUE",IF($I260=TODAY(),"🟢 TODAY",IF($I260=TODAY()+1,"🔵 TOMORROW",IF($I260&lt;=TODAY()+7,"📅 THIS WEEK","⏳ SCHEDULED"))))))</f>
        <v/>
      </c>
      <c r="K260" s="20">
        <f>IF($F260="",999,IF($G260&gt;=5,9999,IF($I260="",999,$I260-TODAY())))</f>
        <v/>
      </c>
    </row>
    <row r="261">
      <c r="A261" s="16">
        <f>ROW()-2</f>
        <v/>
      </c>
      <c r="B261" s="17" t="inlineStr">
        <is>
          <t>S3</t>
        </is>
      </c>
      <c r="C261" s="17" t="inlineStr">
        <is>
          <t>Sémiologie I</t>
        </is>
      </c>
      <c r="D261" s="17" t="inlineStr">
        <is>
          <t>Sémiologie de l'appareil locomoteur</t>
        </is>
      </c>
      <c r="E261" s="17" t="inlineStr">
        <is>
          <t>Examen du genou</t>
        </is>
      </c>
      <c r="F261" s="18" t="n"/>
      <c r="G261" s="19" t="n"/>
      <c r="H261" s="20">
        <f>IF($G261="",1,IF($G261=0,1,IF($G261=1,3,IF($G261=2,7,IF($G261=3,14,IF($G261=4,30,60))))))</f>
        <v/>
      </c>
      <c r="I261" s="21">
        <f>IF($F261="","",$F261+$H261)</f>
        <v/>
      </c>
      <c r="J261">
        <f>IF($F261="","⚪ NEW",IF($G261&gt;=5,"✅ DONE",IF($I261&lt;TODAY(),"🔴 OVERDUE",IF($I261=TODAY(),"🟢 TODAY",IF($I261=TODAY()+1,"🔵 TOMORROW",IF($I261&lt;=TODAY()+7,"📅 THIS WEEK","⏳ SCHEDULED"))))))</f>
        <v/>
      </c>
      <c r="K261" s="20">
        <f>IF($F261="",999,IF($G261&gt;=5,9999,IF($I261="",999,$I261-TODAY())))</f>
        <v/>
      </c>
    </row>
    <row r="262">
      <c r="A262" s="16">
        <f>ROW()-2</f>
        <v/>
      </c>
      <c r="B262" s="17" t="inlineStr">
        <is>
          <t>S3</t>
        </is>
      </c>
      <c r="C262" s="17" t="inlineStr">
        <is>
          <t>Sémiologie I</t>
        </is>
      </c>
      <c r="D262" s="17" t="inlineStr">
        <is>
          <t>Sémiologie de l'appareil locomoteur</t>
        </is>
      </c>
      <c r="E262" s="17" t="inlineStr">
        <is>
          <t>Examen clinique en traumatologie</t>
        </is>
      </c>
      <c r="F262" s="18" t="n"/>
      <c r="G262" s="19" t="n"/>
      <c r="H262" s="20">
        <f>IF($G262="",1,IF($G262=0,1,IF($G262=1,3,IF($G262=2,7,IF($G262=3,14,IF($G262=4,30,60))))))</f>
        <v/>
      </c>
      <c r="I262" s="21">
        <f>IF($F262="","",$F262+$H262)</f>
        <v/>
      </c>
      <c r="J262">
        <f>IF($F262="","⚪ NEW",IF($G262&gt;=5,"✅ DONE",IF($I262&lt;TODAY(),"🔴 OVERDUE",IF($I262=TODAY(),"🟢 TODAY",IF($I262=TODAY()+1,"🔵 TOMORROW",IF($I262&lt;=TODAY()+7,"📅 THIS WEEK","⏳ SCHEDULED"))))))</f>
        <v/>
      </c>
      <c r="K262" s="20">
        <f>IF($F262="",999,IF($G262&gt;=5,9999,IF($I262="",999,$I262-TODAY())))</f>
        <v/>
      </c>
    </row>
    <row r="263">
      <c r="A263" s="16">
        <f>ROW()-2</f>
        <v/>
      </c>
      <c r="B263" s="17" t="inlineStr">
        <is>
          <t>S3</t>
        </is>
      </c>
      <c r="C263" s="17" t="inlineStr">
        <is>
          <t>Sémiologie I</t>
        </is>
      </c>
      <c r="D263" s="17" t="inlineStr">
        <is>
          <t>Sémiologie de l'appareil locomoteur</t>
        </is>
      </c>
      <c r="E263" s="17" t="inlineStr">
        <is>
          <t>Sémiologie de la fracture</t>
        </is>
      </c>
      <c r="F263" s="18" t="n"/>
      <c r="G263" s="19" t="n"/>
      <c r="H263" s="20">
        <f>IF($G263="",1,IF($G263=0,1,IF($G263=1,3,IF($G263=2,7,IF($G263=3,14,IF($G263=4,30,60))))))</f>
        <v/>
      </c>
      <c r="I263" s="21">
        <f>IF($F263="","",$F263+$H263)</f>
        <v/>
      </c>
      <c r="J263">
        <f>IF($F263="","⚪ NEW",IF($G263&gt;=5,"✅ DONE",IF($I263&lt;TODAY(),"🔴 OVERDUE",IF($I263=TODAY(),"🟢 TODAY",IF($I263=TODAY()+1,"🔵 TOMORROW",IF($I263&lt;=TODAY()+7,"📅 THIS WEEK","⏳ SCHEDULED"))))))</f>
        <v/>
      </c>
      <c r="K263" s="20">
        <f>IF($F263="",999,IF($G263&gt;=5,9999,IF($I263="",999,$I263-TODAY())))</f>
        <v/>
      </c>
    </row>
    <row r="264">
      <c r="A264" s="16">
        <f>ROW()-2</f>
        <v/>
      </c>
      <c r="B264" s="17" t="inlineStr">
        <is>
          <t>S3</t>
        </is>
      </c>
      <c r="C264" s="17" t="inlineStr">
        <is>
          <t>Sémiologie I</t>
        </is>
      </c>
      <c r="D264" s="17" t="inlineStr">
        <is>
          <t>Sémiologie de l'appareil locomoteur</t>
        </is>
      </c>
      <c r="E264" s="17" t="inlineStr">
        <is>
          <t>Sémiologie des luxations, entorses, contusions et plaies</t>
        </is>
      </c>
      <c r="F264" s="18" t="n"/>
      <c r="G264" s="19" t="n"/>
      <c r="H264" s="20">
        <f>IF($G264="",1,IF($G264=0,1,IF($G264=1,3,IF($G264=2,7,IF($G264=3,14,IF($G264=4,30,60))))))</f>
        <v/>
      </c>
      <c r="I264" s="21">
        <f>IF($F264="","",$F264+$H264)</f>
        <v/>
      </c>
      <c r="J264">
        <f>IF($F264="","⚪ NEW",IF($G264&gt;=5,"✅ DONE",IF($I264&lt;TODAY(),"🔴 OVERDUE",IF($I264=TODAY(),"🟢 TODAY",IF($I264=TODAY()+1,"🔵 TOMORROW",IF($I264&lt;=TODAY()+7,"📅 THIS WEEK","⏳ SCHEDULED"))))))</f>
        <v/>
      </c>
      <c r="K264" s="20">
        <f>IF($F264="",999,IF($G264&gt;=5,9999,IF($I264="",999,$I264-TODAY())))</f>
        <v/>
      </c>
    </row>
    <row r="265">
      <c r="A265" s="16">
        <f>ROW()-2</f>
        <v/>
      </c>
      <c r="B265" s="17" t="inlineStr">
        <is>
          <t>S3</t>
        </is>
      </c>
      <c r="C265" s="17" t="inlineStr">
        <is>
          <t>Sémiologie I</t>
        </is>
      </c>
      <c r="D265" s="17" t="inlineStr">
        <is>
          <t>Sémiologie de l'appareil locomoteur</t>
        </is>
      </c>
      <c r="E265" s="17" t="inlineStr">
        <is>
          <t>Sémiologie d'une tumeur osseuse</t>
        </is>
      </c>
      <c r="F265" s="18" t="n"/>
      <c r="G265" s="19" t="n"/>
      <c r="H265" s="20">
        <f>IF($G265="",1,IF($G265=0,1,IF($G265=1,3,IF($G265=2,7,IF($G265=3,14,IF($G265=4,30,60))))))</f>
        <v/>
      </c>
      <c r="I265" s="21">
        <f>IF($F265="","",$F265+$H265)</f>
        <v/>
      </c>
      <c r="J265">
        <f>IF($F265="","⚪ NEW",IF($G265&gt;=5,"✅ DONE",IF($I265&lt;TODAY(),"🔴 OVERDUE",IF($I265=TODAY(),"🟢 TODAY",IF($I265=TODAY()+1,"🔵 TOMORROW",IF($I265&lt;=TODAY()+7,"📅 THIS WEEK","⏳ SCHEDULED"))))))</f>
        <v/>
      </c>
      <c r="K265" s="20">
        <f>IF($F265="",999,IF($G265&gt;=5,9999,IF($I265="",999,$I265-TODAY())))</f>
        <v/>
      </c>
    </row>
    <row r="266">
      <c r="A266" s="16">
        <f>ROW()-2</f>
        <v/>
      </c>
      <c r="B266" s="17" t="inlineStr">
        <is>
          <t>S3</t>
        </is>
      </c>
      <c r="C266" s="17" t="inlineStr">
        <is>
          <t>Sémiologie I</t>
        </is>
      </c>
      <c r="D266" s="17" t="inlineStr">
        <is>
          <t>Sémiologie de l'appareil locomoteur</t>
        </is>
      </c>
      <c r="E266" s="17" t="inlineStr">
        <is>
          <t>Sémiologie des infections ostéo-articulaires et des infections des parties molles</t>
        </is>
      </c>
      <c r="F266" s="18" t="n"/>
      <c r="G266" s="19" t="n"/>
      <c r="H266" s="20">
        <f>IF($G266="",1,IF($G266=0,1,IF($G266=1,3,IF($G266=2,7,IF($G266=3,14,IF($G266=4,30,60))))))</f>
        <v/>
      </c>
      <c r="I266" s="21">
        <f>IF($F266="","",$F266+$H266)</f>
        <v/>
      </c>
      <c r="J266">
        <f>IF($F266="","⚪ NEW",IF($G266&gt;=5,"✅ DONE",IF($I266&lt;TODAY(),"🔴 OVERDUE",IF($I266=TODAY(),"🟢 TODAY",IF($I266=TODAY()+1,"🔵 TOMORROW",IF($I266&lt;=TODAY()+7,"📅 THIS WEEK","⏳ SCHEDULED"))))))</f>
        <v/>
      </c>
      <c r="K266" s="20">
        <f>IF($F266="",999,IF($G266&gt;=5,9999,IF($I266="",999,$I266-TODAY())))</f>
        <v/>
      </c>
    </row>
    <row r="267">
      <c r="A267" s="16">
        <f>ROW()-2</f>
        <v/>
      </c>
      <c r="B267" s="17" t="inlineStr">
        <is>
          <t>S3</t>
        </is>
      </c>
      <c r="C267" s="17" t="inlineStr">
        <is>
          <t>Sémiologie I</t>
        </is>
      </c>
      <c r="D267" s="17" t="inlineStr">
        <is>
          <t>Sémiologie de l'appareil locomoteur</t>
        </is>
      </c>
      <c r="E267" s="17" t="inlineStr">
        <is>
          <t>Cas clinique</t>
        </is>
      </c>
      <c r="F267" s="18" t="n"/>
      <c r="G267" s="19" t="n"/>
      <c r="H267" s="20">
        <f>IF($G267="",1,IF($G267=0,1,IF($G267=1,3,IF($G267=2,7,IF($G267=3,14,IF($G267=4,30,60))))))</f>
        <v/>
      </c>
      <c r="I267" s="21">
        <f>IF($F267="","",$F267+$H267)</f>
        <v/>
      </c>
      <c r="J267">
        <f>IF($F267="","⚪ NEW",IF($G267&gt;=5,"✅ DONE",IF($I267&lt;TODAY(),"🔴 OVERDUE",IF($I267=TODAY(),"🟢 TODAY",IF($I267=TODAY()+1,"🔵 TOMORROW",IF($I267&lt;=TODAY()+7,"📅 THIS WEEK","⏳ SCHEDULED"))))))</f>
        <v/>
      </c>
      <c r="K267" s="20">
        <f>IF($F267="",999,IF($G267&gt;=5,9999,IF($I267="",999,$I267-TODAY())))</f>
        <v/>
      </c>
    </row>
    <row r="268">
      <c r="A268" s="22">
        <f>ROW()-2</f>
        <v/>
      </c>
      <c r="B268" s="23" t="inlineStr">
        <is>
          <t>S3</t>
        </is>
      </c>
      <c r="C268" s="23" t="inlineStr">
        <is>
          <t>Anatomie III</t>
        </is>
      </c>
      <c r="D268" s="23" t="inlineStr"/>
      <c r="E268" s="23" t="inlineStr">
        <is>
          <t>Généralités en neuroanatomie</t>
        </is>
      </c>
      <c r="F268" s="18" t="n"/>
      <c r="G268" s="19" t="n"/>
      <c r="H268" s="20">
        <f>IF($G268="",1,IF($G268=0,1,IF($G268=1,3,IF($G268=2,7,IF($G268=3,14,IF($G268=4,30,60))))))</f>
        <v/>
      </c>
      <c r="I268" s="21">
        <f>IF($F268="","",$F268+$H268)</f>
        <v/>
      </c>
      <c r="J268">
        <f>IF($F268="","⚪ NEW",IF($G268&gt;=5,"✅ DONE",IF($I268&lt;TODAY(),"🔴 OVERDUE",IF($I268=TODAY(),"🟢 TODAY",IF($I268=TODAY()+1,"🔵 TOMORROW",IF($I268&lt;=TODAY()+7,"📅 THIS WEEK","⏳ SCHEDULED"))))))</f>
        <v/>
      </c>
      <c r="K268" s="20">
        <f>IF($F268="",999,IF($G268&gt;=5,9999,IF($I268="",999,$I268-TODAY())))</f>
        <v/>
      </c>
    </row>
    <row r="269">
      <c r="A269" s="22">
        <f>ROW()-2</f>
        <v/>
      </c>
      <c r="B269" s="23" t="inlineStr">
        <is>
          <t>S3</t>
        </is>
      </c>
      <c r="C269" s="23" t="inlineStr">
        <is>
          <t>Anatomie III</t>
        </is>
      </c>
      <c r="D269" s="23" t="inlineStr"/>
      <c r="E269" s="23" t="inlineStr">
        <is>
          <t>Ostéologie du crâne</t>
        </is>
      </c>
      <c r="F269" s="18" t="n"/>
      <c r="G269" s="19" t="n"/>
      <c r="H269" s="20">
        <f>IF($G269="",1,IF($G269=0,1,IF($G269=1,3,IF($G269=2,7,IF($G269=3,14,IF($G269=4,30,60))))))</f>
        <v/>
      </c>
      <c r="I269" s="21">
        <f>IF($F269="","",$F269+$H269)</f>
        <v/>
      </c>
      <c r="J269">
        <f>IF($F269="","⚪ NEW",IF($G269&gt;=5,"✅ DONE",IF($I269&lt;TODAY(),"🔴 OVERDUE",IF($I269=TODAY(),"🟢 TODAY",IF($I269=TODAY()+1,"🔵 TOMORROW",IF($I269&lt;=TODAY()+7,"📅 THIS WEEK","⏳ SCHEDULED"))))))</f>
        <v/>
      </c>
      <c r="K269" s="20">
        <f>IF($F269="",999,IF($G269&gt;=5,9999,IF($I269="",999,$I269-TODAY())))</f>
        <v/>
      </c>
    </row>
    <row r="270">
      <c r="A270" s="22">
        <f>ROW()-2</f>
        <v/>
      </c>
      <c r="B270" s="23" t="inlineStr">
        <is>
          <t>S3</t>
        </is>
      </c>
      <c r="C270" s="23" t="inlineStr">
        <is>
          <t>Anatomie III</t>
        </is>
      </c>
      <c r="D270" s="23" t="inlineStr"/>
      <c r="E270" s="23" t="inlineStr">
        <is>
          <t>Anatomie du rachis</t>
        </is>
      </c>
      <c r="F270" s="18" t="n"/>
      <c r="G270" s="19" t="n"/>
      <c r="H270" s="20">
        <f>IF($G270="",1,IF($G270=0,1,IF($G270=1,3,IF($G270=2,7,IF($G270=3,14,IF($G270=4,30,60))))))</f>
        <v/>
      </c>
      <c r="I270" s="21">
        <f>IF($F270="","",$F270+$H270)</f>
        <v/>
      </c>
      <c r="J270">
        <f>IF($F270="","⚪ NEW",IF($G270&gt;=5,"✅ DONE",IF($I270&lt;TODAY(),"🔴 OVERDUE",IF($I270=TODAY(),"🟢 TODAY",IF($I270=TODAY()+1,"🔵 TOMORROW",IF($I270&lt;=TODAY()+7,"📅 THIS WEEK","⏳ SCHEDULED"))))))</f>
        <v/>
      </c>
      <c r="K270" s="20">
        <f>IF($F270="",999,IF($G270&gt;=5,9999,IF($I270="",999,$I270-TODAY())))</f>
        <v/>
      </c>
    </row>
    <row r="271">
      <c r="A271" s="22">
        <f>ROW()-2</f>
        <v/>
      </c>
      <c r="B271" s="23" t="inlineStr">
        <is>
          <t>S3</t>
        </is>
      </c>
      <c r="C271" s="23" t="inlineStr">
        <is>
          <t>Anatomie III</t>
        </is>
      </c>
      <c r="D271" s="23" t="inlineStr"/>
      <c r="E271" s="23" t="inlineStr">
        <is>
          <t>Moelle épinière</t>
        </is>
      </c>
      <c r="F271" s="18" t="n"/>
      <c r="G271" s="19" t="n"/>
      <c r="H271" s="20">
        <f>IF($G271="",1,IF($G271=0,1,IF($G271=1,3,IF($G271=2,7,IF($G271=3,14,IF($G271=4,30,60))))))</f>
        <v/>
      </c>
      <c r="I271" s="21">
        <f>IF($F271="","",$F271+$H271)</f>
        <v/>
      </c>
      <c r="J271">
        <f>IF($F271="","⚪ NEW",IF($G271&gt;=5,"✅ DONE",IF($I271&lt;TODAY(),"🔴 OVERDUE",IF($I271=TODAY(),"🟢 TODAY",IF($I271=TODAY()+1,"🔵 TOMORROW",IF($I271&lt;=TODAY()+7,"📅 THIS WEEK","⏳ SCHEDULED"))))))</f>
        <v/>
      </c>
      <c r="K271" s="20">
        <f>IF($F271="",999,IF($G271&gt;=5,9999,IF($I271="",999,$I271-TODAY())))</f>
        <v/>
      </c>
    </row>
    <row r="272">
      <c r="A272" s="22">
        <f>ROW()-2</f>
        <v/>
      </c>
      <c r="B272" s="23" t="inlineStr">
        <is>
          <t>S3</t>
        </is>
      </c>
      <c r="C272" s="23" t="inlineStr">
        <is>
          <t>Anatomie III</t>
        </is>
      </c>
      <c r="D272" s="23" t="inlineStr"/>
      <c r="E272" s="23" t="inlineStr">
        <is>
          <t>Tronc cérébral</t>
        </is>
      </c>
      <c r="F272" s="18" t="n"/>
      <c r="G272" s="19" t="n"/>
      <c r="H272" s="20">
        <f>IF($G272="",1,IF($G272=0,1,IF($G272=1,3,IF($G272=2,7,IF($G272=3,14,IF($G272=4,30,60))))))</f>
        <v/>
      </c>
      <c r="I272" s="21">
        <f>IF($F272="","",$F272+$H272)</f>
        <v/>
      </c>
      <c r="J272">
        <f>IF($F272="","⚪ NEW",IF($G272&gt;=5,"✅ DONE",IF($I272&lt;TODAY(),"🔴 OVERDUE",IF($I272=TODAY(),"🟢 TODAY",IF($I272=TODAY()+1,"🔵 TOMORROW",IF($I272&lt;=TODAY()+7,"📅 THIS WEEK","⏳ SCHEDULED"))))))</f>
        <v/>
      </c>
      <c r="K272" s="20">
        <f>IF($F272="",999,IF($G272&gt;=5,9999,IF($I272="",999,$I272-TODAY())))</f>
        <v/>
      </c>
    </row>
    <row r="273">
      <c r="A273" s="22">
        <f>ROW()-2</f>
        <v/>
      </c>
      <c r="B273" s="23" t="inlineStr">
        <is>
          <t>S3</t>
        </is>
      </c>
      <c r="C273" s="23" t="inlineStr">
        <is>
          <t>Anatomie III</t>
        </is>
      </c>
      <c r="D273" s="23" t="inlineStr"/>
      <c r="E273" s="23" t="inlineStr">
        <is>
          <t>Cervelet</t>
        </is>
      </c>
      <c r="F273" s="18" t="n"/>
      <c r="G273" s="19" t="n"/>
      <c r="H273" s="20">
        <f>IF($G273="",1,IF($G273=0,1,IF($G273=1,3,IF($G273=2,7,IF($G273=3,14,IF($G273=4,30,60))))))</f>
        <v/>
      </c>
      <c r="I273" s="21">
        <f>IF($F273="","",$F273+$H273)</f>
        <v/>
      </c>
      <c r="J273">
        <f>IF($F273="","⚪ NEW",IF($G273&gt;=5,"✅ DONE",IF($I273&lt;TODAY(),"🔴 OVERDUE",IF($I273=TODAY(),"🟢 TODAY",IF($I273=TODAY()+1,"🔵 TOMORROW",IF($I273&lt;=TODAY()+7,"📅 THIS WEEK","⏳ SCHEDULED"))))))</f>
        <v/>
      </c>
      <c r="K273" s="20">
        <f>IF($F273="",999,IF($G273&gt;=5,9999,IF($I273="",999,$I273-TODAY())))</f>
        <v/>
      </c>
    </row>
    <row r="274">
      <c r="A274" s="22">
        <f>ROW()-2</f>
        <v/>
      </c>
      <c r="B274" s="23" t="inlineStr">
        <is>
          <t>S3</t>
        </is>
      </c>
      <c r="C274" s="23" t="inlineStr">
        <is>
          <t>Anatomie III</t>
        </is>
      </c>
      <c r="D274" s="23" t="inlineStr"/>
      <c r="E274" s="23" t="inlineStr">
        <is>
          <t>Configuration externe du cerveau</t>
        </is>
      </c>
      <c r="F274" s="18" t="n"/>
      <c r="G274" s="19" t="n"/>
      <c r="H274" s="20">
        <f>IF($G274="",1,IF($G274=0,1,IF($G274=1,3,IF($G274=2,7,IF($G274=3,14,IF($G274=4,30,60))))))</f>
        <v/>
      </c>
      <c r="I274" s="21">
        <f>IF($F274="","",$F274+$H274)</f>
        <v/>
      </c>
      <c r="J274">
        <f>IF($F274="","⚪ NEW",IF($G274&gt;=5,"✅ DONE",IF($I274&lt;TODAY(),"🔴 OVERDUE",IF($I274=TODAY(),"🟢 TODAY",IF($I274=TODAY()+1,"🔵 TOMORROW",IF($I274&lt;=TODAY()+7,"📅 THIS WEEK","⏳ SCHEDULED"))))))</f>
        <v/>
      </c>
      <c r="K274" s="20">
        <f>IF($F274="",999,IF($G274&gt;=5,9999,IF($I274="",999,$I274-TODAY())))</f>
        <v/>
      </c>
    </row>
    <row r="275">
      <c r="A275" s="22">
        <f>ROW()-2</f>
        <v/>
      </c>
      <c r="B275" s="23" t="inlineStr">
        <is>
          <t>S3</t>
        </is>
      </c>
      <c r="C275" s="23" t="inlineStr">
        <is>
          <t>Anatomie III</t>
        </is>
      </c>
      <c r="D275" s="23" t="inlineStr"/>
      <c r="E275" s="23" t="inlineStr">
        <is>
          <t>Aires fonctionnelles corticales</t>
        </is>
      </c>
      <c r="F275" s="18" t="n"/>
      <c r="G275" s="19" t="n"/>
      <c r="H275" s="20">
        <f>IF($G275="",1,IF($G275=0,1,IF($G275=1,3,IF($G275=2,7,IF($G275=3,14,IF($G275=4,30,60))))))</f>
        <v/>
      </c>
      <c r="I275" s="21">
        <f>IF($F275="","",$F275+$H275)</f>
        <v/>
      </c>
      <c r="J275">
        <f>IF($F275="","⚪ NEW",IF($G275&gt;=5,"✅ DONE",IF($I275&lt;TODAY(),"🔴 OVERDUE",IF($I275=TODAY(),"🟢 TODAY",IF($I275=TODAY()+1,"🔵 TOMORROW",IF($I275&lt;=TODAY()+7,"📅 THIS WEEK","⏳ SCHEDULED"))))))</f>
        <v/>
      </c>
      <c r="K275" s="20">
        <f>IF($F275="",999,IF($G275&gt;=5,9999,IF($I275="",999,$I275-TODAY())))</f>
        <v/>
      </c>
    </row>
    <row r="276">
      <c r="A276" s="22">
        <f>ROW()-2</f>
        <v/>
      </c>
      <c r="B276" s="23" t="inlineStr">
        <is>
          <t>S3</t>
        </is>
      </c>
      <c r="C276" s="23" t="inlineStr">
        <is>
          <t>Anatomie III</t>
        </is>
      </c>
      <c r="D276" s="23" t="inlineStr"/>
      <c r="E276" s="23" t="inlineStr">
        <is>
          <t>Anatomie des noyaux gris centraux</t>
        </is>
      </c>
      <c r="F276" s="18" t="n"/>
      <c r="G276" s="19" t="n"/>
      <c r="H276" s="20">
        <f>IF($G276="",1,IF($G276=0,1,IF($G276=1,3,IF($G276=2,7,IF($G276=3,14,IF($G276=4,30,60))))))</f>
        <v/>
      </c>
      <c r="I276" s="21">
        <f>IF($F276="","",$F276+$H276)</f>
        <v/>
      </c>
      <c r="J276">
        <f>IF($F276="","⚪ NEW",IF($G276&gt;=5,"✅ DONE",IF($I276&lt;TODAY(),"🔴 OVERDUE",IF($I276=TODAY(),"🟢 TODAY",IF($I276=TODAY()+1,"🔵 TOMORROW",IF($I276&lt;=TODAY()+7,"📅 THIS WEEK","⏳ SCHEDULED"))))))</f>
        <v/>
      </c>
      <c r="K276" s="20">
        <f>IF($F276="",999,IF($G276&gt;=5,9999,IF($I276="",999,$I276-TODAY())))</f>
        <v/>
      </c>
    </row>
    <row r="277">
      <c r="A277" s="22">
        <f>ROW()-2</f>
        <v/>
      </c>
      <c r="B277" s="23" t="inlineStr">
        <is>
          <t>S3</t>
        </is>
      </c>
      <c r="C277" s="23" t="inlineStr">
        <is>
          <t>Anatomie III</t>
        </is>
      </c>
      <c r="D277" s="23" t="inlineStr"/>
      <c r="E277" s="23" t="inlineStr">
        <is>
          <t>Vascularisation de l'encéphale</t>
        </is>
      </c>
      <c r="F277" s="18" t="n"/>
      <c r="G277" s="19" t="n"/>
      <c r="H277" s="20">
        <f>IF($G277="",1,IF($G277=0,1,IF($G277=1,3,IF($G277=2,7,IF($G277=3,14,IF($G277=4,30,60))))))</f>
        <v/>
      </c>
      <c r="I277" s="21">
        <f>IF($F277="","",$F277+$H277)</f>
        <v/>
      </c>
      <c r="J277">
        <f>IF($F277="","⚪ NEW",IF($G277&gt;=5,"✅ DONE",IF($I277&lt;TODAY(),"🔴 OVERDUE",IF($I277=TODAY(),"🟢 TODAY",IF($I277=TODAY()+1,"🔵 TOMORROW",IF($I277&lt;=TODAY()+7,"📅 THIS WEEK","⏳ SCHEDULED"))))))</f>
        <v/>
      </c>
      <c r="K277" s="20">
        <f>IF($F277="",999,IF($G277&gt;=5,9999,IF($I277="",999,$I277-TODAY())))</f>
        <v/>
      </c>
    </row>
    <row r="278">
      <c r="A278" s="22">
        <f>ROW()-2</f>
        <v/>
      </c>
      <c r="B278" s="23" t="inlineStr">
        <is>
          <t>S3</t>
        </is>
      </c>
      <c r="C278" s="23" t="inlineStr">
        <is>
          <t>Anatomie III</t>
        </is>
      </c>
      <c r="D278" s="23" t="inlineStr"/>
      <c r="E278" s="23" t="inlineStr">
        <is>
          <t>Anatomie de la région sellaire</t>
        </is>
      </c>
      <c r="F278" s="18" t="n"/>
      <c r="G278" s="19" t="n"/>
      <c r="H278" s="20">
        <f>IF($G278="",1,IF($G278=0,1,IF($G278=1,3,IF($G278=2,7,IF($G278=3,14,IF($G278=4,30,60))))))</f>
        <v/>
      </c>
      <c r="I278" s="21">
        <f>IF($F278="","",$F278+$H278)</f>
        <v/>
      </c>
      <c r="J278">
        <f>IF($F278="","⚪ NEW",IF($G278&gt;=5,"✅ DONE",IF($I278&lt;TODAY(),"🔴 OVERDUE",IF($I278=TODAY(),"🟢 TODAY",IF($I278=TODAY()+1,"🔵 TOMORROW",IF($I278&lt;=TODAY()+7,"📅 THIS WEEK","⏳ SCHEDULED"))))))</f>
        <v/>
      </c>
      <c r="K278" s="20">
        <f>IF($F278="",999,IF($G278&gt;=5,9999,IF($I278="",999,$I278-TODAY())))</f>
        <v/>
      </c>
    </row>
    <row r="279">
      <c r="A279" s="22">
        <f>ROW()-2</f>
        <v/>
      </c>
      <c r="B279" s="23" t="inlineStr">
        <is>
          <t>S3</t>
        </is>
      </c>
      <c r="C279" s="23" t="inlineStr">
        <is>
          <t>Anatomie III</t>
        </is>
      </c>
      <c r="D279" s="23" t="inlineStr"/>
      <c r="E279" s="23" t="inlineStr">
        <is>
          <t>Les méninges</t>
        </is>
      </c>
      <c r="F279" s="18" t="n"/>
      <c r="G279" s="19" t="n"/>
      <c r="H279" s="20">
        <f>IF($G279="",1,IF($G279=0,1,IF($G279=1,3,IF($G279=2,7,IF($G279=3,14,IF($G279=4,30,60))))))</f>
        <v/>
      </c>
      <c r="I279" s="21">
        <f>IF($F279="","",$F279+$H279)</f>
        <v/>
      </c>
      <c r="J279">
        <f>IF($F279="","⚪ NEW",IF($G279&gt;=5,"✅ DONE",IF($I279&lt;TODAY(),"🔴 OVERDUE",IF($I279=TODAY(),"🟢 TODAY",IF($I279=TODAY()+1,"🔵 TOMORROW",IF($I279&lt;=TODAY()+7,"📅 THIS WEEK","⏳ SCHEDULED"))))))</f>
        <v/>
      </c>
      <c r="K279" s="20">
        <f>IF($F279="",999,IF($G279&gt;=5,9999,IF($I279="",999,$I279-TODAY())))</f>
        <v/>
      </c>
    </row>
    <row r="280">
      <c r="A280" s="22">
        <f>ROW()-2</f>
        <v/>
      </c>
      <c r="B280" s="23" t="inlineStr">
        <is>
          <t>S3</t>
        </is>
      </c>
      <c r="C280" s="23" t="inlineStr">
        <is>
          <t>Anatomie III</t>
        </is>
      </c>
      <c r="D280" s="23" t="inlineStr"/>
      <c r="E280" s="23" t="inlineStr">
        <is>
          <t>Les sinus dure-mériens</t>
        </is>
      </c>
      <c r="F280" s="18" t="n"/>
      <c r="G280" s="19" t="n"/>
      <c r="H280" s="20">
        <f>IF($G280="",1,IF($G280=0,1,IF($G280=1,3,IF($G280=2,7,IF($G280=3,14,IF($G280=4,30,60))))))</f>
        <v/>
      </c>
      <c r="I280" s="21">
        <f>IF($F280="","",$F280+$H280)</f>
        <v/>
      </c>
      <c r="J280">
        <f>IF($F280="","⚪ NEW",IF($G280&gt;=5,"✅ DONE",IF($I280&lt;TODAY(),"🔴 OVERDUE",IF($I280=TODAY(),"🟢 TODAY",IF($I280=TODAY()+1,"🔵 TOMORROW",IF($I280&lt;=TODAY()+7,"📅 THIS WEEK","⏳ SCHEDULED"))))))</f>
        <v/>
      </c>
      <c r="K280" s="20">
        <f>IF($F280="",999,IF($G280&gt;=5,9999,IF($I280="",999,$I280-TODAY())))</f>
        <v/>
      </c>
    </row>
    <row r="281">
      <c r="A281" s="22">
        <f>ROW()-2</f>
        <v/>
      </c>
      <c r="B281" s="23" t="inlineStr">
        <is>
          <t>S3</t>
        </is>
      </c>
      <c r="C281" s="23" t="inlineStr">
        <is>
          <t>Anatomie III</t>
        </is>
      </c>
      <c r="D281" s="23" t="inlineStr"/>
      <c r="E281" s="23" t="inlineStr">
        <is>
          <t>Anatomie du système ventriculaire</t>
        </is>
      </c>
      <c r="F281" s="18" t="n"/>
      <c r="G281" s="19" t="n"/>
      <c r="H281" s="20">
        <f>IF($G281="",1,IF($G281=0,1,IF($G281=1,3,IF($G281=2,7,IF($G281=3,14,IF($G281=4,30,60))))))</f>
        <v/>
      </c>
      <c r="I281" s="21">
        <f>IF($F281="","",$F281+$H281)</f>
        <v/>
      </c>
      <c r="J281">
        <f>IF($F281="","⚪ NEW",IF($G281&gt;=5,"✅ DONE",IF($I281&lt;TODAY(),"🔴 OVERDUE",IF($I281=TODAY(),"🟢 TODAY",IF($I281=TODAY()+1,"🔵 TOMORROW",IF($I281&lt;=TODAY()+7,"📅 THIS WEEK","⏳ SCHEDULED"))))))</f>
        <v/>
      </c>
      <c r="K281" s="20">
        <f>IF($F281="",999,IF($G281&gt;=5,9999,IF($I281="",999,$I281-TODAY())))</f>
        <v/>
      </c>
    </row>
    <row r="282">
      <c r="A282" s="24">
        <f>ROW()-2</f>
        <v/>
      </c>
      <c r="B282" s="25" t="inlineStr">
        <is>
          <t>S3</t>
        </is>
      </c>
      <c r="C282" s="25" t="inlineStr">
        <is>
          <t>Histologie-Embryologie II</t>
        </is>
      </c>
      <c r="D282" s="25" t="inlineStr">
        <is>
          <t>Histologie II</t>
        </is>
      </c>
      <c r="E282" s="25" t="inlineStr">
        <is>
          <t>Histologie de la peau</t>
        </is>
      </c>
      <c r="F282" s="18" t="n"/>
      <c r="G282" s="19" t="n"/>
      <c r="H282" s="20">
        <f>IF($G282="",1,IF($G282=0,1,IF($G282=1,3,IF($G282=2,7,IF($G282=3,14,IF($G282=4,30,60))))))</f>
        <v/>
      </c>
      <c r="I282" s="21">
        <f>IF($F282="","",$F282+$H282)</f>
        <v/>
      </c>
      <c r="J282">
        <f>IF($F282="","⚪ NEW",IF($G282&gt;=5,"✅ DONE",IF($I282&lt;TODAY(),"🔴 OVERDUE",IF($I282=TODAY(),"🟢 TODAY",IF($I282=TODAY()+1,"🔵 TOMORROW",IF($I282&lt;=TODAY()+7,"📅 THIS WEEK","⏳ SCHEDULED"))))))</f>
        <v/>
      </c>
      <c r="K282" s="20">
        <f>IF($F282="",999,IF($G282&gt;=5,9999,IF($I282="",999,$I282-TODAY())))</f>
        <v/>
      </c>
    </row>
    <row r="283">
      <c r="A283" s="24">
        <f>ROW()-2</f>
        <v/>
      </c>
      <c r="B283" s="25" t="inlineStr">
        <is>
          <t>S3</t>
        </is>
      </c>
      <c r="C283" s="25" t="inlineStr">
        <is>
          <t>Histologie-Embryologie II</t>
        </is>
      </c>
      <c r="D283" s="25" t="inlineStr">
        <is>
          <t>Histologie II</t>
        </is>
      </c>
      <c r="E283" s="25" t="inlineStr">
        <is>
          <t>Histologie de l'appareil digestif : la cavité buccale et le tube digestif</t>
        </is>
      </c>
      <c r="F283" s="18" t="n"/>
      <c r="G283" s="19" t="n"/>
      <c r="H283" s="20">
        <f>IF($G283="",1,IF($G283=0,1,IF($G283=1,3,IF($G283=2,7,IF($G283=3,14,IF($G283=4,30,60))))))</f>
        <v/>
      </c>
      <c r="I283" s="21">
        <f>IF($F283="","",$F283+$H283)</f>
        <v/>
      </c>
      <c r="J283">
        <f>IF($F283="","⚪ NEW",IF($G283&gt;=5,"✅ DONE",IF($I283&lt;TODAY(),"🔴 OVERDUE",IF($I283=TODAY(),"🟢 TODAY",IF($I283=TODAY()+1,"🔵 TOMORROW",IF($I283&lt;=TODAY()+7,"📅 THIS WEEK","⏳ SCHEDULED"))))))</f>
        <v/>
      </c>
      <c r="K283" s="20">
        <f>IF($F283="",999,IF($G283&gt;=5,9999,IF($I283="",999,$I283-TODAY())))</f>
        <v/>
      </c>
    </row>
    <row r="284">
      <c r="A284" s="24">
        <f>ROW()-2</f>
        <v/>
      </c>
      <c r="B284" s="25" t="inlineStr">
        <is>
          <t>S3</t>
        </is>
      </c>
      <c r="C284" s="25" t="inlineStr">
        <is>
          <t>Histologie-Embryologie II</t>
        </is>
      </c>
      <c r="D284" s="25" t="inlineStr">
        <is>
          <t>Histologie II</t>
        </is>
      </c>
      <c r="E284" s="25" t="inlineStr">
        <is>
          <t>Histologie de l'appareil digestif : intestin grêle et côlon</t>
        </is>
      </c>
      <c r="F284" s="18" t="n"/>
      <c r="G284" s="19" t="n"/>
      <c r="H284" s="20">
        <f>IF($G284="",1,IF($G284=0,1,IF($G284=1,3,IF($G284=2,7,IF($G284=3,14,IF($G284=4,30,60))))))</f>
        <v/>
      </c>
      <c r="I284" s="21">
        <f>IF($F284="","",$F284+$H284)</f>
        <v/>
      </c>
      <c r="J284">
        <f>IF($F284="","⚪ NEW",IF($G284&gt;=5,"✅ DONE",IF($I284&lt;TODAY(),"🔴 OVERDUE",IF($I284=TODAY(),"🟢 TODAY",IF($I284=TODAY()+1,"🔵 TOMORROW",IF($I284&lt;=TODAY()+7,"📅 THIS WEEK","⏳ SCHEDULED"))))))</f>
        <v/>
      </c>
      <c r="K284" s="20">
        <f>IF($F284="",999,IF($G284&gt;=5,9999,IF($I284="",999,$I284-TODAY())))</f>
        <v/>
      </c>
    </row>
    <row r="285">
      <c r="A285" s="24">
        <f>ROW()-2</f>
        <v/>
      </c>
      <c r="B285" s="25" t="inlineStr">
        <is>
          <t>S3</t>
        </is>
      </c>
      <c r="C285" s="25" t="inlineStr">
        <is>
          <t>Histologie-Embryologie II</t>
        </is>
      </c>
      <c r="D285" s="25" t="inlineStr">
        <is>
          <t>Histologie II</t>
        </is>
      </c>
      <c r="E285" s="25" t="inlineStr">
        <is>
          <t>Histologie de l'appareil digestif : foie, pancréas et vésicule biliaire</t>
        </is>
      </c>
      <c r="F285" s="18" t="n"/>
      <c r="G285" s="19" t="n"/>
      <c r="H285" s="20">
        <f>IF($G285="",1,IF($G285=0,1,IF($G285=1,3,IF($G285=2,7,IF($G285=3,14,IF($G285=4,30,60))))))</f>
        <v/>
      </c>
      <c r="I285" s="21">
        <f>IF($F285="","",$F285+$H285)</f>
        <v/>
      </c>
      <c r="J285">
        <f>IF($F285="","⚪ NEW",IF($G285&gt;=5,"✅ DONE",IF($I285&lt;TODAY(),"🔴 OVERDUE",IF($I285=TODAY(),"🟢 TODAY",IF($I285=TODAY()+1,"🔵 TOMORROW",IF($I285&lt;=TODAY()+7,"📅 THIS WEEK","⏳ SCHEDULED"))))))</f>
        <v/>
      </c>
      <c r="K285" s="20">
        <f>IF($F285="",999,IF($G285&gt;=5,9999,IF($I285="",999,$I285-TODAY())))</f>
        <v/>
      </c>
    </row>
    <row r="286">
      <c r="A286" s="24">
        <f>ROW()-2</f>
        <v/>
      </c>
      <c r="B286" s="25" t="inlineStr">
        <is>
          <t>S3</t>
        </is>
      </c>
      <c r="C286" s="25" t="inlineStr">
        <is>
          <t>Histologie-Embryologie II</t>
        </is>
      </c>
      <c r="D286" s="25" t="inlineStr">
        <is>
          <t>Histologie II</t>
        </is>
      </c>
      <c r="E286" s="25" t="inlineStr">
        <is>
          <t>Histologie de l'appareil génital masculin</t>
        </is>
      </c>
      <c r="F286" s="18" t="n"/>
      <c r="G286" s="19" t="n"/>
      <c r="H286" s="20">
        <f>IF($G286="",1,IF($G286=0,1,IF($G286=1,3,IF($G286=2,7,IF($G286=3,14,IF($G286=4,30,60))))))</f>
        <v/>
      </c>
      <c r="I286" s="21">
        <f>IF($F286="","",$F286+$H286)</f>
        <v/>
      </c>
      <c r="J286">
        <f>IF($F286="","⚪ NEW",IF($G286&gt;=5,"✅ DONE",IF($I286&lt;TODAY(),"🔴 OVERDUE",IF($I286=TODAY(),"🟢 TODAY",IF($I286=TODAY()+1,"🔵 TOMORROW",IF($I286&lt;=TODAY()+7,"📅 THIS WEEK","⏳ SCHEDULED"))))))</f>
        <v/>
      </c>
      <c r="K286" s="20">
        <f>IF($F286="",999,IF($G286&gt;=5,9999,IF($I286="",999,$I286-TODAY())))</f>
        <v/>
      </c>
    </row>
    <row r="287">
      <c r="A287" s="24">
        <f>ROW()-2</f>
        <v/>
      </c>
      <c r="B287" s="25" t="inlineStr">
        <is>
          <t>S3</t>
        </is>
      </c>
      <c r="C287" s="25" t="inlineStr">
        <is>
          <t>Histologie-Embryologie II</t>
        </is>
      </c>
      <c r="D287" s="25" t="inlineStr">
        <is>
          <t>Histologie II</t>
        </is>
      </c>
      <c r="E287" s="25" t="inlineStr">
        <is>
          <t>Histologie de l'appareil urinaire</t>
        </is>
      </c>
      <c r="F287" s="18" t="n"/>
      <c r="G287" s="19" t="n"/>
      <c r="H287" s="20">
        <f>IF($G287="",1,IF($G287=0,1,IF($G287=1,3,IF($G287=2,7,IF($G287=3,14,IF($G287=4,30,60))))))</f>
        <v/>
      </c>
      <c r="I287" s="21">
        <f>IF($F287="","",$F287+$H287)</f>
        <v/>
      </c>
      <c r="J287">
        <f>IF($F287="","⚪ NEW",IF($G287&gt;=5,"✅ DONE",IF($I287&lt;TODAY(),"🔴 OVERDUE",IF($I287=TODAY(),"🟢 TODAY",IF($I287=TODAY()+1,"🔵 TOMORROW",IF($I287&lt;=TODAY()+7,"📅 THIS WEEK","⏳ SCHEDULED"))))))</f>
        <v/>
      </c>
      <c r="K287" s="20">
        <f>IF($F287="",999,IF($G287&gt;=5,9999,IF($I287="",999,$I287-TODAY())))</f>
        <v/>
      </c>
    </row>
    <row r="288">
      <c r="A288" s="24">
        <f>ROW()-2</f>
        <v/>
      </c>
      <c r="B288" s="25" t="inlineStr">
        <is>
          <t>S3</t>
        </is>
      </c>
      <c r="C288" s="25" t="inlineStr">
        <is>
          <t>Histologie-Embryologie II</t>
        </is>
      </c>
      <c r="D288" s="25" t="inlineStr">
        <is>
          <t>Histologie II</t>
        </is>
      </c>
      <c r="E288" s="25" t="inlineStr">
        <is>
          <t>Histologie de l'appareil respiratoire</t>
        </is>
      </c>
      <c r="F288" s="18" t="n"/>
      <c r="G288" s="19" t="n"/>
      <c r="H288" s="20">
        <f>IF($G288="",1,IF($G288=0,1,IF($G288=1,3,IF($G288=2,7,IF($G288=3,14,IF($G288=4,30,60))))))</f>
        <v/>
      </c>
      <c r="I288" s="21">
        <f>IF($F288="","",$F288+$H288)</f>
        <v/>
      </c>
      <c r="J288">
        <f>IF($F288="","⚪ NEW",IF($G288&gt;=5,"✅ DONE",IF($I288&lt;TODAY(),"🔴 OVERDUE",IF($I288=TODAY(),"🟢 TODAY",IF($I288=TODAY()+1,"🔵 TOMORROW",IF($I288&lt;=TODAY()+7,"📅 THIS WEEK","⏳ SCHEDULED"))))))</f>
        <v/>
      </c>
      <c r="K288" s="20">
        <f>IF($F288="",999,IF($G288&gt;=5,9999,IF($I288="",999,$I288-TODAY())))</f>
        <v/>
      </c>
    </row>
    <row r="289">
      <c r="A289" s="24">
        <f>ROW()-2</f>
        <v/>
      </c>
      <c r="B289" s="25" t="inlineStr">
        <is>
          <t>S3</t>
        </is>
      </c>
      <c r="C289" s="25" t="inlineStr">
        <is>
          <t>Histologie-Embryologie II</t>
        </is>
      </c>
      <c r="D289" s="25" t="inlineStr">
        <is>
          <t>Histologie II</t>
        </is>
      </c>
      <c r="E289" s="25" t="inlineStr">
        <is>
          <t>Histologie de l'appareil génital féminin</t>
        </is>
      </c>
      <c r="F289" s="18" t="n"/>
      <c r="G289" s="19" t="n"/>
      <c r="H289" s="20">
        <f>IF($G289="",1,IF($G289=0,1,IF($G289=1,3,IF($G289=2,7,IF($G289=3,14,IF($G289=4,30,60))))))</f>
        <v/>
      </c>
      <c r="I289" s="21">
        <f>IF($F289="","",$F289+$H289)</f>
        <v/>
      </c>
      <c r="J289">
        <f>IF($F289="","⚪ NEW",IF($G289&gt;=5,"✅ DONE",IF($I289&lt;TODAY(),"🔴 OVERDUE",IF($I289=TODAY(),"🟢 TODAY",IF($I289=TODAY()+1,"🔵 TOMORROW",IF($I289&lt;=TODAY()+7,"📅 THIS WEEK","⏳ SCHEDULED"))))))</f>
        <v/>
      </c>
      <c r="K289" s="20">
        <f>IF($F289="",999,IF($G289&gt;=5,9999,IF($I289="",999,$I289-TODAY())))</f>
        <v/>
      </c>
    </row>
    <row r="290">
      <c r="A290" s="24">
        <f>ROW()-2</f>
        <v/>
      </c>
      <c r="B290" s="25" t="inlineStr">
        <is>
          <t>S3</t>
        </is>
      </c>
      <c r="C290" s="25" t="inlineStr">
        <is>
          <t>Histologie-Embryologie II</t>
        </is>
      </c>
      <c r="D290" s="25" t="inlineStr">
        <is>
          <t>Histologie II</t>
        </is>
      </c>
      <c r="E290" s="25" t="inlineStr">
        <is>
          <t>Histologie du système endocrine</t>
        </is>
      </c>
      <c r="F290" s="18" t="n"/>
      <c r="G290" s="19" t="n"/>
      <c r="H290" s="20">
        <f>IF($G290="",1,IF($G290=0,1,IF($G290=1,3,IF($G290=2,7,IF($G290=3,14,IF($G290=4,30,60))))))</f>
        <v/>
      </c>
      <c r="I290" s="21">
        <f>IF($F290="","",$F290+$H290)</f>
        <v/>
      </c>
      <c r="J290">
        <f>IF($F290="","⚪ NEW",IF($G290&gt;=5,"✅ DONE",IF($I290&lt;TODAY(),"🔴 OVERDUE",IF($I290=TODAY(),"🟢 TODAY",IF($I290=TODAY()+1,"🔵 TOMORROW",IF($I290&lt;=TODAY()+7,"📅 THIS WEEK","⏳ SCHEDULED"))))))</f>
        <v/>
      </c>
      <c r="K290" s="20">
        <f>IF($F290="",999,IF($G290&gt;=5,9999,IF($I290="",999,$I290-TODAY())))</f>
        <v/>
      </c>
    </row>
    <row r="291">
      <c r="A291" s="24">
        <f>ROW()-2</f>
        <v/>
      </c>
      <c r="B291" s="25" t="inlineStr">
        <is>
          <t>S3</t>
        </is>
      </c>
      <c r="C291" s="25" t="inlineStr">
        <is>
          <t>Histologie-Embryologie II</t>
        </is>
      </c>
      <c r="D291" s="25" t="inlineStr">
        <is>
          <t>Embryologie II</t>
        </is>
      </c>
      <c r="E291" s="25" t="inlineStr">
        <is>
          <t>Embryologie de l'appareil uro-génital</t>
        </is>
      </c>
      <c r="F291" s="18" t="n"/>
      <c r="G291" s="19" t="n"/>
      <c r="H291" s="20">
        <f>IF($G291="",1,IF($G291=0,1,IF($G291=1,3,IF($G291=2,7,IF($G291=3,14,IF($G291=4,30,60))))))</f>
        <v/>
      </c>
      <c r="I291" s="21">
        <f>IF($F291="","",$F291+$H291)</f>
        <v/>
      </c>
      <c r="J291">
        <f>IF($F291="","⚪ NEW",IF($G291&gt;=5,"✅ DONE",IF($I291&lt;TODAY(),"🔴 OVERDUE",IF($I291=TODAY(),"🟢 TODAY",IF($I291=TODAY()+1,"🔵 TOMORROW",IF($I291&lt;=TODAY()+7,"📅 THIS WEEK","⏳ SCHEDULED"))))))</f>
        <v/>
      </c>
      <c r="K291" s="20">
        <f>IF($F291="",999,IF($G291&gt;=5,9999,IF($I291="",999,$I291-TODAY())))</f>
        <v/>
      </c>
    </row>
    <row r="292">
      <c r="A292" s="24">
        <f>ROW()-2</f>
        <v/>
      </c>
      <c r="B292" s="25" t="inlineStr">
        <is>
          <t>S3</t>
        </is>
      </c>
      <c r="C292" s="25" t="inlineStr">
        <is>
          <t>Histologie-Embryologie II</t>
        </is>
      </c>
      <c r="D292" s="25" t="inlineStr">
        <is>
          <t>Embryologie II</t>
        </is>
      </c>
      <c r="E292" s="25" t="inlineStr">
        <is>
          <t>Embryologie de l'appareil digestif</t>
        </is>
      </c>
      <c r="F292" s="18" t="n"/>
      <c r="G292" s="19" t="n"/>
      <c r="H292" s="20">
        <f>IF($G292="",1,IF($G292=0,1,IF($G292=1,3,IF($G292=2,7,IF($G292=3,14,IF($G292=4,30,60))))))</f>
        <v/>
      </c>
      <c r="I292" s="21">
        <f>IF($F292="","",$F292+$H292)</f>
        <v/>
      </c>
      <c r="J292">
        <f>IF($F292="","⚪ NEW",IF($G292&gt;=5,"✅ DONE",IF($I292&lt;TODAY(),"🔴 OVERDUE",IF($I292=TODAY(),"🟢 TODAY",IF($I292=TODAY()+1,"🔵 TOMORROW",IF($I292&lt;=TODAY()+7,"📅 THIS WEEK","⏳ SCHEDULED"))))))</f>
        <v/>
      </c>
      <c r="K292" s="20">
        <f>IF($F292="",999,IF($G292&gt;=5,9999,IF($I292="",999,$I292-TODAY())))</f>
        <v/>
      </c>
    </row>
    <row r="293">
      <c r="A293" s="26">
        <f>ROW()-2</f>
        <v/>
      </c>
      <c r="B293" s="27" t="inlineStr">
        <is>
          <t>S3</t>
        </is>
      </c>
      <c r="C293" s="27" t="inlineStr">
        <is>
          <t>Physiologie I</t>
        </is>
      </c>
      <c r="D293" s="27" t="inlineStr">
        <is>
          <t>Physiologie digestive</t>
        </is>
      </c>
      <c r="E293" s="27" t="inlineStr">
        <is>
          <t>Généralités</t>
        </is>
      </c>
      <c r="F293" s="18" t="n"/>
      <c r="G293" s="19" t="n"/>
      <c r="H293" s="20">
        <f>IF($G293="",1,IF($G293=0,1,IF($G293=1,3,IF($G293=2,7,IF($G293=3,14,IF($G293=4,30,60))))))</f>
        <v/>
      </c>
      <c r="I293" s="21">
        <f>IF($F293="","",$F293+$H293)</f>
        <v/>
      </c>
      <c r="J293">
        <f>IF($F293="","⚪ NEW",IF($G293&gt;=5,"✅ DONE",IF($I293&lt;TODAY(),"🔴 OVERDUE",IF($I293=TODAY(),"🟢 TODAY",IF($I293=TODAY()+1,"🔵 TOMORROW",IF($I293&lt;=TODAY()+7,"📅 THIS WEEK","⏳ SCHEDULED"))))))</f>
        <v/>
      </c>
      <c r="K293" s="20">
        <f>IF($F293="",999,IF($G293&gt;=5,9999,IF($I293="",999,$I293-TODAY())))</f>
        <v/>
      </c>
    </row>
    <row r="294">
      <c r="A294" s="26">
        <f>ROW()-2</f>
        <v/>
      </c>
      <c r="B294" s="27" t="inlineStr">
        <is>
          <t>S3</t>
        </is>
      </c>
      <c r="C294" s="27" t="inlineStr">
        <is>
          <t>Physiologie I</t>
        </is>
      </c>
      <c r="D294" s="27" t="inlineStr">
        <is>
          <t>Physiologie digestive</t>
        </is>
      </c>
      <c r="E294" s="27" t="inlineStr">
        <is>
          <t>Phase buccale et œsophagienne</t>
        </is>
      </c>
      <c r="F294" s="18" t="n"/>
      <c r="G294" s="19" t="n"/>
      <c r="H294" s="20">
        <f>IF($G294="",1,IF($G294=0,1,IF($G294=1,3,IF($G294=2,7,IF($G294=3,14,IF($G294=4,30,60))))))</f>
        <v/>
      </c>
      <c r="I294" s="21">
        <f>IF($F294="","",$F294+$H294)</f>
        <v/>
      </c>
      <c r="J294">
        <f>IF($F294="","⚪ NEW",IF($G294&gt;=5,"✅ DONE",IF($I294&lt;TODAY(),"🔴 OVERDUE",IF($I294=TODAY(),"🟢 TODAY",IF($I294=TODAY()+1,"🔵 TOMORROW",IF($I294&lt;=TODAY()+7,"📅 THIS WEEK","⏳ SCHEDULED"))))))</f>
        <v/>
      </c>
      <c r="K294" s="20">
        <f>IF($F294="",999,IF($G294&gt;=5,9999,IF($I294="",999,$I294-TODAY())))</f>
        <v/>
      </c>
    </row>
    <row r="295">
      <c r="A295" s="26">
        <f>ROW()-2</f>
        <v/>
      </c>
      <c r="B295" s="27" t="inlineStr">
        <is>
          <t>S3</t>
        </is>
      </c>
      <c r="C295" s="27" t="inlineStr">
        <is>
          <t>Physiologie I</t>
        </is>
      </c>
      <c r="D295" s="27" t="inlineStr">
        <is>
          <t>Physiologie digestive</t>
        </is>
      </c>
      <c r="E295" s="27" t="inlineStr">
        <is>
          <t>Étape gastrique</t>
        </is>
      </c>
      <c r="F295" s="18" t="n"/>
      <c r="G295" s="19" t="n"/>
      <c r="H295" s="20">
        <f>IF($G295="",1,IF($G295=0,1,IF($G295=1,3,IF($G295=2,7,IF($G295=3,14,IF($G295=4,30,60))))))</f>
        <v/>
      </c>
      <c r="I295" s="21">
        <f>IF($F295="","",$F295+$H295)</f>
        <v/>
      </c>
      <c r="J295">
        <f>IF($F295="","⚪ NEW",IF($G295&gt;=5,"✅ DONE",IF($I295&lt;TODAY(),"🔴 OVERDUE",IF($I295=TODAY(),"🟢 TODAY",IF($I295=TODAY()+1,"🔵 TOMORROW",IF($I295&lt;=TODAY()+7,"📅 THIS WEEK","⏳ SCHEDULED"))))))</f>
        <v/>
      </c>
      <c r="K295" s="20">
        <f>IF($F295="",999,IF($G295&gt;=5,9999,IF($I295="",999,$I295-TODAY())))</f>
        <v/>
      </c>
    </row>
    <row r="296">
      <c r="A296" s="26">
        <f>ROW()-2</f>
        <v/>
      </c>
      <c r="B296" s="27" t="inlineStr">
        <is>
          <t>S3</t>
        </is>
      </c>
      <c r="C296" s="27" t="inlineStr">
        <is>
          <t>Physiologie I</t>
        </is>
      </c>
      <c r="D296" s="27" t="inlineStr">
        <is>
          <t>Physiologie digestive</t>
        </is>
      </c>
      <c r="E296" s="27" t="inlineStr">
        <is>
          <t>Physiologie de la sécrétion gastrique</t>
        </is>
      </c>
      <c r="F296" s="18" t="n"/>
      <c r="G296" s="19" t="n"/>
      <c r="H296" s="20">
        <f>IF($G296="",1,IF($G296=0,1,IF($G296=1,3,IF($G296=2,7,IF($G296=3,14,IF($G296=4,30,60))))))</f>
        <v/>
      </c>
      <c r="I296" s="21">
        <f>IF($F296="","",$F296+$H296)</f>
        <v/>
      </c>
      <c r="J296">
        <f>IF($F296="","⚪ NEW",IF($G296&gt;=5,"✅ DONE",IF($I296&lt;TODAY(),"🔴 OVERDUE",IF($I296=TODAY(),"🟢 TODAY",IF($I296=TODAY()+1,"🔵 TOMORROW",IF($I296&lt;=TODAY()+7,"📅 THIS WEEK","⏳ SCHEDULED"))))))</f>
        <v/>
      </c>
      <c r="K296" s="20">
        <f>IF($F296="",999,IF($G296&gt;=5,9999,IF($I296="",999,$I296-TODAY())))</f>
        <v/>
      </c>
    </row>
    <row r="297">
      <c r="A297" s="26">
        <f>ROW()-2</f>
        <v/>
      </c>
      <c r="B297" s="27" t="inlineStr">
        <is>
          <t>S3</t>
        </is>
      </c>
      <c r="C297" s="27" t="inlineStr">
        <is>
          <t>Physiologie I</t>
        </is>
      </c>
      <c r="D297" s="27" t="inlineStr">
        <is>
          <t>Physiologie digestive</t>
        </is>
      </c>
      <c r="E297" s="27" t="inlineStr">
        <is>
          <t>L'étape intestinale</t>
        </is>
      </c>
      <c r="F297" s="18" t="n"/>
      <c r="G297" s="19" t="n"/>
      <c r="H297" s="20">
        <f>IF($G297="",1,IF($G297=0,1,IF($G297=1,3,IF($G297=2,7,IF($G297=3,14,IF($G297=4,30,60))))))</f>
        <v/>
      </c>
      <c r="I297" s="21">
        <f>IF($F297="","",$F297+$H297)</f>
        <v/>
      </c>
      <c r="J297">
        <f>IF($F297="","⚪ NEW",IF($G297&gt;=5,"✅ DONE",IF($I297&lt;TODAY(),"🔴 OVERDUE",IF($I297=TODAY(),"🟢 TODAY",IF($I297=TODAY()+1,"🔵 TOMORROW",IF($I297&lt;=TODAY()+7,"📅 THIS WEEK","⏳ SCHEDULED"))))))</f>
        <v/>
      </c>
      <c r="K297" s="20">
        <f>IF($F297="",999,IF($G297&gt;=5,9999,IF($I297="",999,$I297-TODAY())))</f>
        <v/>
      </c>
    </row>
    <row r="298">
      <c r="A298" s="26">
        <f>ROW()-2</f>
        <v/>
      </c>
      <c r="B298" s="27" t="inlineStr">
        <is>
          <t>S3</t>
        </is>
      </c>
      <c r="C298" s="27" t="inlineStr">
        <is>
          <t>Physiologie I</t>
        </is>
      </c>
      <c r="D298" s="27" t="inlineStr">
        <is>
          <t>Physiologie digestive</t>
        </is>
      </c>
      <c r="E298" s="27" t="inlineStr">
        <is>
          <t>Physiologie de la motricité intestinale</t>
        </is>
      </c>
      <c r="F298" s="18" t="n"/>
      <c r="G298" s="19" t="n"/>
      <c r="H298" s="20">
        <f>IF($G298="",1,IF($G298=0,1,IF($G298=1,3,IF($G298=2,7,IF($G298=3,14,IF($G298=4,30,60))))))</f>
        <v/>
      </c>
      <c r="I298" s="21">
        <f>IF($F298="","",$F298+$H298)</f>
        <v/>
      </c>
      <c r="J298">
        <f>IF($F298="","⚪ NEW",IF($G298&gt;=5,"✅ DONE",IF($I298&lt;TODAY(),"🔴 OVERDUE",IF($I298=TODAY(),"🟢 TODAY",IF($I298=TODAY()+1,"🔵 TOMORROW",IF($I298&lt;=TODAY()+7,"📅 THIS WEEK","⏳ SCHEDULED"))))))</f>
        <v/>
      </c>
      <c r="K298" s="20">
        <f>IF($F298="",999,IF($G298&gt;=5,9999,IF($I298="",999,$I298-TODAY())))</f>
        <v/>
      </c>
    </row>
    <row r="299">
      <c r="A299" s="26">
        <f>ROW()-2</f>
        <v/>
      </c>
      <c r="B299" s="27" t="inlineStr">
        <is>
          <t>S3</t>
        </is>
      </c>
      <c r="C299" s="27" t="inlineStr">
        <is>
          <t>Physiologie I</t>
        </is>
      </c>
      <c r="D299" s="27" t="inlineStr">
        <is>
          <t>Physiologie digestive</t>
        </is>
      </c>
      <c r="E299" s="27" t="inlineStr">
        <is>
          <t>L'absorption intestinale</t>
        </is>
      </c>
      <c r="F299" s="18" t="n"/>
      <c r="G299" s="19" t="n"/>
      <c r="H299" s="20">
        <f>IF($G299="",1,IF($G299=0,1,IF($G299=1,3,IF($G299=2,7,IF($G299=3,14,IF($G299=4,30,60))))))</f>
        <v/>
      </c>
      <c r="I299" s="21">
        <f>IF($F299="","",$F299+$H299)</f>
        <v/>
      </c>
      <c r="J299">
        <f>IF($F299="","⚪ NEW",IF($G299&gt;=5,"✅ DONE",IF($I299&lt;TODAY(),"🔴 OVERDUE",IF($I299=TODAY(),"🟢 TODAY",IF($I299=TODAY()+1,"🔵 TOMORROW",IF($I299&lt;=TODAY()+7,"📅 THIS WEEK","⏳ SCHEDULED"))))))</f>
        <v/>
      </c>
      <c r="K299" s="20">
        <f>IF($F299="",999,IF($G299&gt;=5,9999,IF($I299="",999,$I299-TODAY())))</f>
        <v/>
      </c>
    </row>
    <row r="300">
      <c r="A300" s="26">
        <f>ROW()-2</f>
        <v/>
      </c>
      <c r="B300" s="27" t="inlineStr">
        <is>
          <t>S3</t>
        </is>
      </c>
      <c r="C300" s="27" t="inlineStr">
        <is>
          <t>Physiologie I</t>
        </is>
      </c>
      <c r="D300" s="27" t="inlineStr">
        <is>
          <t>Physiologie digestive</t>
        </is>
      </c>
      <c r="E300" s="27" t="inlineStr">
        <is>
          <t>Physiologie de la sécrétion biliaire</t>
        </is>
      </c>
      <c r="F300" s="18" t="n"/>
      <c r="G300" s="19" t="n"/>
      <c r="H300" s="20">
        <f>IF($G300="",1,IF($G300=0,1,IF($G300=1,3,IF($G300=2,7,IF($G300=3,14,IF($G300=4,30,60))))))</f>
        <v/>
      </c>
      <c r="I300" s="21">
        <f>IF($F300="","",$F300+$H300)</f>
        <v/>
      </c>
      <c r="J300">
        <f>IF($F300="","⚪ NEW",IF($G300&gt;=5,"✅ DONE",IF($I300&lt;TODAY(),"🔴 OVERDUE",IF($I300=TODAY(),"🟢 TODAY",IF($I300=TODAY()+1,"🔵 TOMORROW",IF($I300&lt;=TODAY()+7,"📅 THIS WEEK","⏳ SCHEDULED"))))))</f>
        <v/>
      </c>
      <c r="K300" s="20">
        <f>IF($F300="",999,IF($G300&gt;=5,9999,IF($I300="",999,$I300-TODAY())))</f>
        <v/>
      </c>
    </row>
    <row r="301">
      <c r="A301" s="26">
        <f>ROW()-2</f>
        <v/>
      </c>
      <c r="B301" s="27" t="inlineStr">
        <is>
          <t>S3</t>
        </is>
      </c>
      <c r="C301" s="27" t="inlineStr">
        <is>
          <t>Physiologie I</t>
        </is>
      </c>
      <c r="D301" s="27" t="inlineStr">
        <is>
          <t>Physiologie digestive</t>
        </is>
      </c>
      <c r="E301" s="27" t="inlineStr">
        <is>
          <t>Physiologie colique</t>
        </is>
      </c>
      <c r="F301" s="18" t="n"/>
      <c r="G301" s="19" t="n"/>
      <c r="H301" s="20">
        <f>IF($G301="",1,IF($G301=0,1,IF($G301=1,3,IF($G301=2,7,IF($G301=3,14,IF($G301=4,30,60))))))</f>
        <v/>
      </c>
      <c r="I301" s="21">
        <f>IF($F301="","",$F301+$H301)</f>
        <v/>
      </c>
      <c r="J301">
        <f>IF($F301="","⚪ NEW",IF($G301&gt;=5,"✅ DONE",IF($I301&lt;TODAY(),"🔴 OVERDUE",IF($I301=TODAY(),"🟢 TODAY",IF($I301=TODAY()+1,"🔵 TOMORROW",IF($I301&lt;=TODAY()+7,"📅 THIS WEEK","⏳ SCHEDULED"))))))</f>
        <v/>
      </c>
      <c r="K301" s="20">
        <f>IF($F301="",999,IF($G301&gt;=5,9999,IF($I301="",999,$I301-TODAY())))</f>
        <v/>
      </c>
    </row>
    <row r="302">
      <c r="A302" s="26">
        <f>ROW()-2</f>
        <v/>
      </c>
      <c r="B302" s="27" t="inlineStr">
        <is>
          <t>S3</t>
        </is>
      </c>
      <c r="C302" s="27" t="inlineStr">
        <is>
          <t>Physiologie I</t>
        </is>
      </c>
      <c r="D302" s="27" t="inlineStr">
        <is>
          <t>Physiologie digestive</t>
        </is>
      </c>
      <c r="E302" s="27" t="inlineStr">
        <is>
          <t>Physiologie hépatique</t>
        </is>
      </c>
      <c r="F302" s="18" t="n"/>
      <c r="G302" s="19" t="n"/>
      <c r="H302" s="20">
        <f>IF($G302="",1,IF($G302=0,1,IF($G302=1,3,IF($G302=2,7,IF($G302=3,14,IF($G302=4,30,60))))))</f>
        <v/>
      </c>
      <c r="I302" s="21">
        <f>IF($F302="","",$F302+$H302)</f>
        <v/>
      </c>
      <c r="J302">
        <f>IF($F302="","⚪ NEW",IF($G302&gt;=5,"✅ DONE",IF($I302&lt;TODAY(),"🔴 OVERDUE",IF($I302=TODAY(),"🟢 TODAY",IF($I302=TODAY()+1,"🔵 TOMORROW",IF($I302&lt;=TODAY()+7,"📅 THIS WEEK","⏳ SCHEDULED"))))))</f>
        <v/>
      </c>
      <c r="K302" s="20">
        <f>IF($F302="",999,IF($G302&gt;=5,9999,IF($I302="",999,$I302-TODAY())))</f>
        <v/>
      </c>
    </row>
    <row r="303">
      <c r="A303" s="26">
        <f>ROW()-2</f>
        <v/>
      </c>
      <c r="B303" s="27" t="inlineStr">
        <is>
          <t>S3</t>
        </is>
      </c>
      <c r="C303" s="27" t="inlineStr">
        <is>
          <t>Physiologie I</t>
        </is>
      </c>
      <c r="D303" s="27" t="inlineStr">
        <is>
          <t>Physiologie cardiaque</t>
        </is>
      </c>
      <c r="E303" s="27" t="inlineStr">
        <is>
          <t>Cycle cardiaque</t>
        </is>
      </c>
      <c r="F303" s="18" t="n"/>
      <c r="G303" s="19" t="n"/>
      <c r="H303" s="20">
        <f>IF($G303="",1,IF($G303=0,1,IF($G303=1,3,IF($G303=2,7,IF($G303=3,14,IF($G303=4,30,60))))))</f>
        <v/>
      </c>
      <c r="I303" s="21">
        <f>IF($F303="","",$F303+$H303)</f>
        <v/>
      </c>
      <c r="J303">
        <f>IF($F303="","⚪ NEW",IF($G303&gt;=5,"✅ DONE",IF($I303&lt;TODAY(),"🔴 OVERDUE",IF($I303=TODAY(),"🟢 TODAY",IF($I303=TODAY()+1,"🔵 TOMORROW",IF($I303&lt;=TODAY()+7,"📅 THIS WEEK","⏳ SCHEDULED"))))))</f>
        <v/>
      </c>
      <c r="K303" s="20">
        <f>IF($F303="",999,IF($G303&gt;=5,9999,IF($I303="",999,$I303-TODAY())))</f>
        <v/>
      </c>
    </row>
    <row r="304">
      <c r="A304" s="26">
        <f>ROW()-2</f>
        <v/>
      </c>
      <c r="B304" s="27" t="inlineStr">
        <is>
          <t>S3</t>
        </is>
      </c>
      <c r="C304" s="27" t="inlineStr">
        <is>
          <t>Physiologie I</t>
        </is>
      </c>
      <c r="D304" s="27" t="inlineStr">
        <is>
          <t>Physiologie cardiaque</t>
        </is>
      </c>
      <c r="E304" s="27" t="inlineStr">
        <is>
          <t>Débit cardiaque</t>
        </is>
      </c>
      <c r="F304" s="18" t="n"/>
      <c r="G304" s="19" t="n"/>
      <c r="H304" s="20">
        <f>IF($G304="",1,IF($G304=0,1,IF($G304=1,3,IF($G304=2,7,IF($G304=3,14,IF($G304=4,30,60))))))</f>
        <v/>
      </c>
      <c r="I304" s="21">
        <f>IF($F304="","",$F304+$H304)</f>
        <v/>
      </c>
      <c r="J304">
        <f>IF($F304="","⚪ NEW",IF($G304&gt;=5,"✅ DONE",IF($I304&lt;TODAY(),"🔴 OVERDUE",IF($I304=TODAY(),"🟢 TODAY",IF($I304=TODAY()+1,"🔵 TOMORROW",IF($I304&lt;=TODAY()+7,"📅 THIS WEEK","⏳ SCHEDULED"))))))</f>
        <v/>
      </c>
      <c r="K304" s="20">
        <f>IF($F304="",999,IF($G304&gt;=5,9999,IF($I304="",999,$I304-TODAY())))</f>
        <v/>
      </c>
    </row>
    <row r="305">
      <c r="A305" s="26">
        <f>ROW()-2</f>
        <v/>
      </c>
      <c r="B305" s="27" t="inlineStr">
        <is>
          <t>S3</t>
        </is>
      </c>
      <c r="C305" s="27" t="inlineStr">
        <is>
          <t>Physiologie I</t>
        </is>
      </c>
      <c r="D305" s="27" t="inlineStr">
        <is>
          <t>Physiologie cardiaque</t>
        </is>
      </c>
      <c r="E305" s="27" t="inlineStr">
        <is>
          <t>Activité électrique cardiaque</t>
        </is>
      </c>
      <c r="F305" s="18" t="n"/>
      <c r="G305" s="19" t="n"/>
      <c r="H305" s="20">
        <f>IF($G305="",1,IF($G305=0,1,IF($G305=1,3,IF($G305=2,7,IF($G305=3,14,IF($G305=4,30,60))))))</f>
        <v/>
      </c>
      <c r="I305" s="21">
        <f>IF($F305="","",$F305+$H305)</f>
        <v/>
      </c>
      <c r="J305">
        <f>IF($F305="","⚪ NEW",IF($G305&gt;=5,"✅ DONE",IF($I305&lt;TODAY(),"🔴 OVERDUE",IF($I305=TODAY(),"🟢 TODAY",IF($I305=TODAY()+1,"🔵 TOMORROW",IF($I305&lt;=TODAY()+7,"📅 THIS WEEK","⏳ SCHEDULED"))))))</f>
        <v/>
      </c>
      <c r="K305" s="20">
        <f>IF($F305="",999,IF($G305&gt;=5,9999,IF($I305="",999,$I305-TODAY())))</f>
        <v/>
      </c>
    </row>
    <row r="306">
      <c r="A306" s="26">
        <f>ROW()-2</f>
        <v/>
      </c>
      <c r="B306" s="27" t="inlineStr">
        <is>
          <t>S3</t>
        </is>
      </c>
      <c r="C306" s="27" t="inlineStr">
        <is>
          <t>Physiologie I</t>
        </is>
      </c>
      <c r="D306" s="27" t="inlineStr">
        <is>
          <t>Physiologie cardiaque</t>
        </is>
      </c>
      <c r="E306" s="27" t="inlineStr">
        <is>
          <t>Mécanismes moléculaires de la contraction et du couplage excitation-contraction cardiaque</t>
        </is>
      </c>
      <c r="F306" s="18" t="n"/>
      <c r="G306" s="19" t="n"/>
      <c r="H306" s="20">
        <f>IF($G306="",1,IF($G306=0,1,IF($G306=1,3,IF($G306=2,7,IF($G306=3,14,IF($G306=4,30,60))))))</f>
        <v/>
      </c>
      <c r="I306" s="21">
        <f>IF($F306="","",$F306+$H306)</f>
        <v/>
      </c>
      <c r="J306">
        <f>IF($F306="","⚪ NEW",IF($G306&gt;=5,"✅ DONE",IF($I306&lt;TODAY(),"🔴 OVERDUE",IF($I306=TODAY(),"🟢 TODAY",IF($I306=TODAY()+1,"🔵 TOMORROW",IF($I306&lt;=TODAY()+7,"📅 THIS WEEK","⏳ SCHEDULED"))))))</f>
        <v/>
      </c>
      <c r="K306" s="20">
        <f>IF($F306="",999,IF($G306&gt;=5,9999,IF($I306="",999,$I306-TODAY())))</f>
        <v/>
      </c>
    </row>
    <row r="307">
      <c r="A307" s="26">
        <f>ROW()-2</f>
        <v/>
      </c>
      <c r="B307" s="27" t="inlineStr">
        <is>
          <t>S3</t>
        </is>
      </c>
      <c r="C307" s="27" t="inlineStr">
        <is>
          <t>Physiologie I</t>
        </is>
      </c>
      <c r="D307" s="27" t="inlineStr">
        <is>
          <t>Physiologie cardiaque</t>
        </is>
      </c>
      <c r="E307" s="27" t="inlineStr">
        <is>
          <t>Vitesse circulatoire et volume sanguin</t>
        </is>
      </c>
      <c r="F307" s="18" t="n"/>
      <c r="G307" s="19" t="n"/>
      <c r="H307" s="20">
        <f>IF($G307="",1,IF($G307=0,1,IF($G307=1,3,IF($G307=2,7,IF($G307=3,14,IF($G307=4,30,60))))))</f>
        <v/>
      </c>
      <c r="I307" s="21">
        <f>IF($F307="","",$F307+$H307)</f>
        <v/>
      </c>
      <c r="J307">
        <f>IF($F307="","⚪ NEW",IF($G307&gt;=5,"✅ DONE",IF($I307&lt;TODAY(),"🔴 OVERDUE",IF($I307=TODAY(),"🟢 TODAY",IF($I307=TODAY()+1,"🔵 TOMORROW",IF($I307&lt;=TODAY()+7,"📅 THIS WEEK","⏳ SCHEDULED"))))))</f>
        <v/>
      </c>
      <c r="K307" s="20">
        <f>IF($F307="",999,IF($G307&gt;=5,9999,IF($I307="",999,$I307-TODAY())))</f>
        <v/>
      </c>
    </row>
    <row r="308">
      <c r="A308" s="26">
        <f>ROW()-2</f>
        <v/>
      </c>
      <c r="B308" s="27" t="inlineStr">
        <is>
          <t>S3</t>
        </is>
      </c>
      <c r="C308" s="27" t="inlineStr">
        <is>
          <t>Physiologie I</t>
        </is>
      </c>
      <c r="D308" s="27" t="inlineStr">
        <is>
          <t>Physiologie cardiaque</t>
        </is>
      </c>
      <c r="E308" s="27" t="inlineStr">
        <is>
          <t>Physiologie de la circulation coronaire</t>
        </is>
      </c>
      <c r="F308" s="18" t="n"/>
      <c r="G308" s="19" t="n"/>
      <c r="H308" s="20">
        <f>IF($G308="",1,IF($G308=0,1,IF($G308=1,3,IF($G308=2,7,IF($G308=3,14,IF($G308=4,30,60))))))</f>
        <v/>
      </c>
      <c r="I308" s="21">
        <f>IF($F308="","",$F308+$H308)</f>
        <v/>
      </c>
      <c r="J308">
        <f>IF($F308="","⚪ NEW",IF($G308&gt;=5,"✅ DONE",IF($I308&lt;TODAY(),"🔴 OVERDUE",IF($I308=TODAY(),"🟢 TODAY",IF($I308=TODAY()+1,"🔵 TOMORROW",IF($I308&lt;=TODAY()+7,"📅 THIS WEEK","⏳ SCHEDULED"))))))</f>
        <v/>
      </c>
      <c r="K308" s="20">
        <f>IF($F308="",999,IF($G308&gt;=5,9999,IF($I308="",999,$I308-TODAY())))</f>
        <v/>
      </c>
    </row>
    <row r="309">
      <c r="A309" s="26">
        <f>ROW()-2</f>
        <v/>
      </c>
      <c r="B309" s="27" t="inlineStr">
        <is>
          <t>S3</t>
        </is>
      </c>
      <c r="C309" s="27" t="inlineStr">
        <is>
          <t>Physiologie I</t>
        </is>
      </c>
      <c r="D309" s="27" t="inlineStr">
        <is>
          <t>Physiologie cardiaque</t>
        </is>
      </c>
      <c r="E309" s="27" t="inlineStr">
        <is>
          <t>Microcirculation et circulation capillaire</t>
        </is>
      </c>
      <c r="F309" s="18" t="n"/>
      <c r="G309" s="19" t="n"/>
      <c r="H309" s="20">
        <f>IF($G309="",1,IF($G309=0,1,IF($G309=1,3,IF($G309=2,7,IF($G309=3,14,IF($G309=4,30,60))))))</f>
        <v/>
      </c>
      <c r="I309" s="21">
        <f>IF($F309="","",$F309+$H309)</f>
        <v/>
      </c>
      <c r="J309">
        <f>IF($F309="","⚪ NEW",IF($G309&gt;=5,"✅ DONE",IF($I309&lt;TODAY(),"🔴 OVERDUE",IF($I309=TODAY(),"🟢 TODAY",IF($I309=TODAY()+1,"🔵 TOMORROW",IF($I309&lt;=TODAY()+7,"📅 THIS WEEK","⏳ SCHEDULED"))))))</f>
        <v/>
      </c>
      <c r="K309" s="20">
        <f>IF($F309="",999,IF($G309&gt;=5,9999,IF($I309="",999,$I309-TODAY())))</f>
        <v/>
      </c>
    </row>
    <row r="310">
      <c r="A310" s="26">
        <f>ROW()-2</f>
        <v/>
      </c>
      <c r="B310" s="27" t="inlineStr">
        <is>
          <t>S3</t>
        </is>
      </c>
      <c r="C310" s="27" t="inlineStr">
        <is>
          <t>Physiologie I</t>
        </is>
      </c>
      <c r="D310" s="27" t="inlineStr">
        <is>
          <t>Physiologie cardiaque</t>
        </is>
      </c>
      <c r="E310" s="27" t="inlineStr">
        <is>
          <t>La stimulation sympathique et parasympathique</t>
        </is>
      </c>
      <c r="F310" s="18" t="n"/>
      <c r="G310" s="19" t="n"/>
      <c r="H310" s="20">
        <f>IF($G310="",1,IF($G310=0,1,IF($G310=1,3,IF($G310=2,7,IF($G310=3,14,IF($G310=4,30,60))))))</f>
        <v/>
      </c>
      <c r="I310" s="21">
        <f>IF($F310="","",$F310+$H310)</f>
        <v/>
      </c>
      <c r="J310">
        <f>IF($F310="","⚪ NEW",IF($G310&gt;=5,"✅ DONE",IF($I310&lt;TODAY(),"🔴 OVERDUE",IF($I310=TODAY(),"🟢 TODAY",IF($I310=TODAY()+1,"🔵 TOMORROW",IF($I310&lt;=TODAY()+7,"📅 THIS WEEK","⏳ SCHEDULED"))))))</f>
        <v/>
      </c>
      <c r="K310" s="20">
        <f>IF($F310="",999,IF($G310&gt;=5,9999,IF($I310="",999,$I310-TODAY())))</f>
        <v/>
      </c>
    </row>
    <row r="311">
      <c r="A311" s="26">
        <f>ROW()-2</f>
        <v/>
      </c>
      <c r="B311" s="27" t="inlineStr">
        <is>
          <t>S3</t>
        </is>
      </c>
      <c r="C311" s="27" t="inlineStr">
        <is>
          <t>Physiologie I</t>
        </is>
      </c>
      <c r="D311" s="27" t="inlineStr">
        <is>
          <t>Physiologie respiratoire</t>
        </is>
      </c>
      <c r="E311" s="27" t="inlineStr">
        <is>
          <t>Introduction sur la physiologie respiratoire</t>
        </is>
      </c>
      <c r="F311" s="18" t="n"/>
      <c r="G311" s="19" t="n"/>
      <c r="H311" s="20">
        <f>IF($G311="",1,IF($G311=0,1,IF($G311=1,3,IF($G311=2,7,IF($G311=3,14,IF($G311=4,30,60))))))</f>
        <v/>
      </c>
      <c r="I311" s="21">
        <f>IF($F311="","",$F311+$H311)</f>
        <v/>
      </c>
      <c r="J311">
        <f>IF($F311="","⚪ NEW",IF($G311&gt;=5,"✅ DONE",IF($I311&lt;TODAY(),"🔴 OVERDUE",IF($I311=TODAY(),"🟢 TODAY",IF($I311=TODAY()+1,"🔵 TOMORROW",IF($I311&lt;=TODAY()+7,"📅 THIS WEEK","⏳ SCHEDULED"))))))</f>
        <v/>
      </c>
      <c r="K311" s="20">
        <f>IF($F311="",999,IF($G311&gt;=5,9999,IF($I311="",999,$I311-TODAY())))</f>
        <v/>
      </c>
    </row>
    <row r="312">
      <c r="A312" s="26">
        <f>ROW()-2</f>
        <v/>
      </c>
      <c r="B312" s="27" t="inlineStr">
        <is>
          <t>S3</t>
        </is>
      </c>
      <c r="C312" s="27" t="inlineStr">
        <is>
          <t>Physiologie I</t>
        </is>
      </c>
      <c r="D312" s="27" t="inlineStr">
        <is>
          <t>Physiologie respiratoire</t>
        </is>
      </c>
      <c r="E312" s="27" t="inlineStr">
        <is>
          <t>Mécanique ventilatoire</t>
        </is>
      </c>
      <c r="F312" s="18" t="n"/>
      <c r="G312" s="19" t="n"/>
      <c r="H312" s="20">
        <f>IF($G312="",1,IF($G312=0,1,IF($G312=1,3,IF($G312=2,7,IF($G312=3,14,IF($G312=4,30,60))))))</f>
        <v/>
      </c>
      <c r="I312" s="21">
        <f>IF($F312="","",$F312+$H312)</f>
        <v/>
      </c>
      <c r="J312">
        <f>IF($F312="","⚪ NEW",IF($G312&gt;=5,"✅ DONE",IF($I312&lt;TODAY(),"🔴 OVERDUE",IF($I312=TODAY(),"🟢 TODAY",IF($I312=TODAY()+1,"🔵 TOMORROW",IF($I312&lt;=TODAY()+7,"📅 THIS WEEK","⏳ SCHEDULED"))))))</f>
        <v/>
      </c>
      <c r="K312" s="20">
        <f>IF($F312="",999,IF($G312&gt;=5,9999,IF($I312="",999,$I312-TODAY())))</f>
        <v/>
      </c>
    </row>
    <row r="313">
      <c r="A313" s="26">
        <f>ROW()-2</f>
        <v/>
      </c>
      <c r="B313" s="27" t="inlineStr">
        <is>
          <t>S3</t>
        </is>
      </c>
      <c r="C313" s="27" t="inlineStr">
        <is>
          <t>Physiologie I</t>
        </is>
      </c>
      <c r="D313" s="27" t="inlineStr">
        <is>
          <t>Physiologie respiratoire</t>
        </is>
      </c>
      <c r="E313" s="27" t="inlineStr">
        <is>
          <t>Transport du gaz dans le sang</t>
        </is>
      </c>
      <c r="F313" s="18" t="n"/>
      <c r="G313" s="19" t="n"/>
      <c r="H313" s="20">
        <f>IF($G313="",1,IF($G313=0,1,IF($G313=1,3,IF($G313=2,7,IF($G313=3,14,IF($G313=4,30,60))))))</f>
        <v/>
      </c>
      <c r="I313" s="21">
        <f>IF($F313="","",$F313+$H313)</f>
        <v/>
      </c>
      <c r="J313">
        <f>IF($F313="","⚪ NEW",IF($G313&gt;=5,"✅ DONE",IF($I313&lt;TODAY(),"🔴 OVERDUE",IF($I313=TODAY(),"🟢 TODAY",IF($I313=TODAY()+1,"🔵 TOMORROW",IF($I313&lt;=TODAY()+7,"📅 THIS WEEK","⏳ SCHEDULED"))))))</f>
        <v/>
      </c>
      <c r="K313" s="20">
        <f>IF($F313="",999,IF($G313&gt;=5,9999,IF($I313="",999,$I313-TODAY())))</f>
        <v/>
      </c>
    </row>
    <row r="314">
      <c r="A314" s="26">
        <f>ROW()-2</f>
        <v/>
      </c>
      <c r="B314" s="27" t="inlineStr">
        <is>
          <t>S3</t>
        </is>
      </c>
      <c r="C314" s="27" t="inlineStr">
        <is>
          <t>Physiologie I</t>
        </is>
      </c>
      <c r="D314" s="27" t="inlineStr">
        <is>
          <t>Physiologie respiratoire</t>
        </is>
      </c>
      <c r="E314" s="27" t="inlineStr">
        <is>
          <t>Physiologie de la broncho-motricité</t>
        </is>
      </c>
      <c r="F314" s="18" t="n"/>
      <c r="G314" s="19" t="n"/>
      <c r="H314" s="20">
        <f>IF($G314="",1,IF($G314=0,1,IF($G314=1,3,IF($G314=2,7,IF($G314=3,14,IF($G314=4,30,60))))))</f>
        <v/>
      </c>
      <c r="I314" s="21">
        <f>IF($F314="","",$F314+$H314)</f>
        <v/>
      </c>
      <c r="J314">
        <f>IF($F314="","⚪ NEW",IF($G314&gt;=5,"✅ DONE",IF($I314&lt;TODAY(),"🔴 OVERDUE",IF($I314=TODAY(),"🟢 TODAY",IF($I314=TODAY()+1,"🔵 TOMORROW",IF($I314&lt;=TODAY()+7,"📅 THIS WEEK","⏳ SCHEDULED"))))))</f>
        <v/>
      </c>
      <c r="K314" s="20">
        <f>IF($F314="",999,IF($G314&gt;=5,9999,IF($I314="",999,$I314-TODAY())))</f>
        <v/>
      </c>
    </row>
    <row r="315">
      <c r="A315" s="26">
        <f>ROW()-2</f>
        <v/>
      </c>
      <c r="B315" s="27" t="inlineStr">
        <is>
          <t>S3</t>
        </is>
      </c>
      <c r="C315" s="27" t="inlineStr">
        <is>
          <t>Physiologie I</t>
        </is>
      </c>
      <c r="D315" s="27" t="inlineStr">
        <is>
          <t>Physiologie respiratoire</t>
        </is>
      </c>
      <c r="E315" s="27" t="inlineStr">
        <is>
          <t>Les échanges gazeux respiratoires</t>
        </is>
      </c>
      <c r="F315" s="18" t="n"/>
      <c r="G315" s="19" t="n"/>
      <c r="H315" s="20">
        <f>IF($G315="",1,IF($G315=0,1,IF($G315=1,3,IF($G315=2,7,IF($G315=3,14,IF($G315=4,30,60))))))</f>
        <v/>
      </c>
      <c r="I315" s="21">
        <f>IF($F315="","",$F315+$H315)</f>
        <v/>
      </c>
      <c r="J315">
        <f>IF($F315="","⚪ NEW",IF($G315&gt;=5,"✅ DONE",IF($I315&lt;TODAY(),"🔴 OVERDUE",IF($I315=TODAY(),"🟢 TODAY",IF($I315=TODAY()+1,"🔵 TOMORROW",IF($I315&lt;=TODAY()+7,"📅 THIS WEEK","⏳ SCHEDULED"))))))</f>
        <v/>
      </c>
      <c r="K315" s="20">
        <f>IF($F315="",999,IF($G315&gt;=5,9999,IF($I315="",999,$I315-TODAY())))</f>
        <v/>
      </c>
    </row>
    <row r="316">
      <c r="A316" s="26">
        <f>ROW()-2</f>
        <v/>
      </c>
      <c r="B316" s="27" t="inlineStr">
        <is>
          <t>S3</t>
        </is>
      </c>
      <c r="C316" s="27" t="inlineStr">
        <is>
          <t>Physiologie I</t>
        </is>
      </c>
      <c r="D316" s="27" t="inlineStr">
        <is>
          <t>Physiologie respiratoire</t>
        </is>
      </c>
      <c r="E316" s="27" t="inlineStr">
        <is>
          <t>La régulation de la ventilation</t>
        </is>
      </c>
      <c r="F316" s="18" t="n"/>
      <c r="G316" s="19" t="n"/>
      <c r="H316" s="20">
        <f>IF($G316="",1,IF($G316=0,1,IF($G316=1,3,IF($G316=2,7,IF($G316=3,14,IF($G316=4,30,60))))))</f>
        <v/>
      </c>
      <c r="I316" s="21">
        <f>IF($F316="","",$F316+$H316)</f>
        <v/>
      </c>
      <c r="J316">
        <f>IF($F316="","⚪ NEW",IF($G316&gt;=5,"✅ DONE",IF($I316&lt;TODAY(),"🔴 OVERDUE",IF($I316=TODAY(),"🟢 TODAY",IF($I316=TODAY()+1,"🔵 TOMORROW",IF($I316&lt;=TODAY()+7,"📅 THIS WEEK","⏳ SCHEDULED"))))))</f>
        <v/>
      </c>
      <c r="K316" s="20">
        <f>IF($F316="",999,IF($G316&gt;=5,9999,IF($I316="",999,$I316-TODAY())))</f>
        <v/>
      </c>
    </row>
    <row r="317">
      <c r="A317" s="28">
        <f>ROW()-2</f>
        <v/>
      </c>
      <c r="B317" s="29" t="inlineStr">
        <is>
          <t>S3</t>
        </is>
      </c>
      <c r="C317" s="29" t="inlineStr">
        <is>
          <t>Microbiologie</t>
        </is>
      </c>
      <c r="D317" s="29" t="inlineStr">
        <is>
          <t>Bactériologie</t>
        </is>
      </c>
      <c r="E317" s="29" t="inlineStr">
        <is>
          <t>Introduction à la microbiologie</t>
        </is>
      </c>
      <c r="F317" s="18" t="n"/>
      <c r="G317" s="19" t="n"/>
      <c r="H317" s="20">
        <f>IF($G317="",1,IF($G317=0,1,IF($G317=1,3,IF($G317=2,7,IF($G317=3,14,IF($G317=4,30,60))))))</f>
        <v/>
      </c>
      <c r="I317" s="21">
        <f>IF($F317="","",$F317+$H317)</f>
        <v/>
      </c>
      <c r="J317">
        <f>IF($F317="","⚪ NEW",IF($G317&gt;=5,"✅ DONE",IF($I317&lt;TODAY(),"🔴 OVERDUE",IF($I317=TODAY(),"🟢 TODAY",IF($I317=TODAY()+1,"🔵 TOMORROW",IF($I317&lt;=TODAY()+7,"📅 THIS WEEK","⏳ SCHEDULED"))))))</f>
        <v/>
      </c>
      <c r="K317" s="20">
        <f>IF($F317="",999,IF($G317&gt;=5,9999,IF($I317="",999,$I317-TODAY())))</f>
        <v/>
      </c>
    </row>
    <row r="318">
      <c r="A318" s="28">
        <f>ROW()-2</f>
        <v/>
      </c>
      <c r="B318" s="29" t="inlineStr">
        <is>
          <t>S3</t>
        </is>
      </c>
      <c r="C318" s="29" t="inlineStr">
        <is>
          <t>Microbiologie</t>
        </is>
      </c>
      <c r="D318" s="29" t="inlineStr">
        <is>
          <t>Bactériologie</t>
        </is>
      </c>
      <c r="E318" s="29" t="inlineStr">
        <is>
          <t>Structure bactérienne</t>
        </is>
      </c>
      <c r="F318" s="18" t="n"/>
      <c r="G318" s="19" t="n"/>
      <c r="H318" s="20">
        <f>IF($G318="",1,IF($G318=0,1,IF($G318=1,3,IF($G318=2,7,IF($G318=3,14,IF($G318=4,30,60))))))</f>
        <v/>
      </c>
      <c r="I318" s="21">
        <f>IF($F318="","",$F318+$H318)</f>
        <v/>
      </c>
      <c r="J318">
        <f>IF($F318="","⚪ NEW",IF($G318&gt;=5,"✅ DONE",IF($I318&lt;TODAY(),"🔴 OVERDUE",IF($I318=TODAY(),"🟢 TODAY",IF($I318=TODAY()+1,"🔵 TOMORROW",IF($I318&lt;=TODAY()+7,"📅 THIS WEEK","⏳ SCHEDULED"))))))</f>
        <v/>
      </c>
      <c r="K318" s="20">
        <f>IF($F318="",999,IF($G318&gt;=5,9999,IF($I318="",999,$I318-TODAY())))</f>
        <v/>
      </c>
    </row>
    <row r="319">
      <c r="A319" s="28">
        <f>ROW()-2</f>
        <v/>
      </c>
      <c r="B319" s="29" t="inlineStr">
        <is>
          <t>S3</t>
        </is>
      </c>
      <c r="C319" s="29" t="inlineStr">
        <is>
          <t>Microbiologie</t>
        </is>
      </c>
      <c r="D319" s="29" t="inlineStr">
        <is>
          <t>Bactériologie</t>
        </is>
      </c>
      <c r="E319" s="29" t="inlineStr">
        <is>
          <t>Physiologie bactérienne</t>
        </is>
      </c>
      <c r="F319" s="18" t="n"/>
      <c r="G319" s="19" t="n"/>
      <c r="H319" s="20">
        <f>IF($G319="",1,IF($G319=0,1,IF($G319=1,3,IF($G319=2,7,IF($G319=3,14,IF($G319=4,30,60))))))</f>
        <v/>
      </c>
      <c r="I319" s="21">
        <f>IF($F319="","",$F319+$H319)</f>
        <v/>
      </c>
      <c r="J319">
        <f>IF($F319="","⚪ NEW",IF($G319&gt;=5,"✅ DONE",IF($I319&lt;TODAY(),"🔴 OVERDUE",IF($I319=TODAY(),"🟢 TODAY",IF($I319=TODAY()+1,"🔵 TOMORROW",IF($I319&lt;=TODAY()+7,"📅 THIS WEEK","⏳ SCHEDULED"))))))</f>
        <v/>
      </c>
      <c r="K319" s="20">
        <f>IF($F319="",999,IF($G319&gt;=5,9999,IF($I319="",999,$I319-TODAY())))</f>
        <v/>
      </c>
    </row>
    <row r="320">
      <c r="A320" s="28">
        <f>ROW()-2</f>
        <v/>
      </c>
      <c r="B320" s="29" t="inlineStr">
        <is>
          <t>S3</t>
        </is>
      </c>
      <c r="C320" s="29" t="inlineStr">
        <is>
          <t>Microbiologie</t>
        </is>
      </c>
      <c r="D320" s="29" t="inlineStr">
        <is>
          <t>Bactériologie</t>
        </is>
      </c>
      <c r="E320" s="29" t="inlineStr">
        <is>
          <t>Génétique bactérienne</t>
        </is>
      </c>
      <c r="F320" s="18" t="n"/>
      <c r="G320" s="19" t="n"/>
      <c r="H320" s="20">
        <f>IF($G320="",1,IF($G320=0,1,IF($G320=1,3,IF($G320=2,7,IF($G320=3,14,IF($G320=4,30,60))))))</f>
        <v/>
      </c>
      <c r="I320" s="21">
        <f>IF($F320="","",$F320+$H320)</f>
        <v/>
      </c>
      <c r="J320">
        <f>IF($F320="","⚪ NEW",IF($G320&gt;=5,"✅ DONE",IF($I320&lt;TODAY(),"🔴 OVERDUE",IF($I320=TODAY(),"🟢 TODAY",IF($I320=TODAY()+1,"🔵 TOMORROW",IF($I320&lt;=TODAY()+7,"📅 THIS WEEK","⏳ SCHEDULED"))))))</f>
        <v/>
      </c>
      <c r="K320" s="20">
        <f>IF($F320="",999,IF($G320&gt;=5,9999,IF($I320="",999,$I320-TODAY())))</f>
        <v/>
      </c>
    </row>
    <row r="321">
      <c r="A321" s="28">
        <f>ROW()-2</f>
        <v/>
      </c>
      <c r="B321" s="29" t="inlineStr">
        <is>
          <t>S3</t>
        </is>
      </c>
      <c r="C321" s="29" t="inlineStr">
        <is>
          <t>Microbiologie</t>
        </is>
      </c>
      <c r="D321" s="29" t="inlineStr">
        <is>
          <t>Bactériologie</t>
        </is>
      </c>
      <c r="E321" s="29" t="inlineStr">
        <is>
          <t>Pouvoir pathogène des bactéries</t>
        </is>
      </c>
      <c r="F321" s="18" t="n"/>
      <c r="G321" s="19" t="n"/>
      <c r="H321" s="20">
        <f>IF($G321="",1,IF($G321=0,1,IF($G321=1,3,IF($G321=2,7,IF($G321=3,14,IF($G321=4,30,60))))))</f>
        <v/>
      </c>
      <c r="I321" s="21">
        <f>IF($F321="","",$F321+$H321)</f>
        <v/>
      </c>
      <c r="J321">
        <f>IF($F321="","⚪ NEW",IF($G321&gt;=5,"✅ DONE",IF($I321&lt;TODAY(),"🔴 OVERDUE",IF($I321=TODAY(),"🟢 TODAY",IF($I321=TODAY()+1,"🔵 TOMORROW",IF($I321&lt;=TODAY()+7,"📅 THIS WEEK","⏳ SCHEDULED"))))))</f>
        <v/>
      </c>
      <c r="K321" s="20">
        <f>IF($F321="",999,IF($G321&gt;=5,9999,IF($I321="",999,$I321-TODAY())))</f>
        <v/>
      </c>
    </row>
    <row r="322">
      <c r="A322" s="28">
        <f>ROW()-2</f>
        <v/>
      </c>
      <c r="B322" s="29" t="inlineStr">
        <is>
          <t>S3</t>
        </is>
      </c>
      <c r="C322" s="29" t="inlineStr">
        <is>
          <t>Microbiologie</t>
        </is>
      </c>
      <c r="D322" s="29" t="inlineStr">
        <is>
          <t>Bactériologie</t>
        </is>
      </c>
      <c r="E322" s="29" t="inlineStr">
        <is>
          <t>Antibiotiques : modes d'action et mécanismes de résistance</t>
        </is>
      </c>
      <c r="F322" s="18" t="n"/>
      <c r="G322" s="19" t="n"/>
      <c r="H322" s="20">
        <f>IF($G322="",1,IF($G322=0,1,IF($G322=1,3,IF($G322=2,7,IF($G322=3,14,IF($G322=4,30,60))))))</f>
        <v/>
      </c>
      <c r="I322" s="21">
        <f>IF($F322="","",$F322+$H322)</f>
        <v/>
      </c>
      <c r="J322">
        <f>IF($F322="","⚪ NEW",IF($G322&gt;=5,"✅ DONE",IF($I322&lt;TODAY(),"🔴 OVERDUE",IF($I322=TODAY(),"🟢 TODAY",IF($I322=TODAY()+1,"🔵 TOMORROW",IF($I322&lt;=TODAY()+7,"📅 THIS WEEK","⏳ SCHEDULED"))))))</f>
        <v/>
      </c>
      <c r="K322" s="20">
        <f>IF($F322="",999,IF($G322&gt;=5,9999,IF($I322="",999,$I322-TODAY())))</f>
        <v/>
      </c>
    </row>
    <row r="323">
      <c r="A323" s="28">
        <f>ROW()-2</f>
        <v/>
      </c>
      <c r="B323" s="29" t="inlineStr">
        <is>
          <t>S3</t>
        </is>
      </c>
      <c r="C323" s="29" t="inlineStr">
        <is>
          <t>Microbiologie</t>
        </is>
      </c>
      <c r="D323" s="29" t="inlineStr">
        <is>
          <t>Bactériologie</t>
        </is>
      </c>
      <c r="E323" s="29" t="inlineStr">
        <is>
          <t>Neisseria</t>
        </is>
      </c>
      <c r="F323" s="18" t="n"/>
      <c r="G323" s="19" t="n"/>
      <c r="H323" s="20">
        <f>IF($G323="",1,IF($G323=0,1,IF($G323=1,3,IF($G323=2,7,IF($G323=3,14,IF($G323=4,30,60))))))</f>
        <v/>
      </c>
      <c r="I323" s="21">
        <f>IF($F323="","",$F323+$H323)</f>
        <v/>
      </c>
      <c r="J323">
        <f>IF($F323="","⚪ NEW",IF($G323&gt;=5,"✅ DONE",IF($I323&lt;TODAY(),"🔴 OVERDUE",IF($I323=TODAY(),"🟢 TODAY",IF($I323=TODAY()+1,"🔵 TOMORROW",IF($I323&lt;=TODAY()+7,"📅 THIS WEEK","⏳ SCHEDULED"))))))</f>
        <v/>
      </c>
      <c r="K323" s="20">
        <f>IF($F323="",999,IF($G323&gt;=5,9999,IF($I323="",999,$I323-TODAY())))</f>
        <v/>
      </c>
    </row>
    <row r="324">
      <c r="A324" s="28">
        <f>ROW()-2</f>
        <v/>
      </c>
      <c r="B324" s="29" t="inlineStr">
        <is>
          <t>S3</t>
        </is>
      </c>
      <c r="C324" s="29" t="inlineStr">
        <is>
          <t>Microbiologie</t>
        </is>
      </c>
      <c r="D324" s="29" t="inlineStr">
        <is>
          <t>Bactériologie</t>
        </is>
      </c>
      <c r="E324" s="29" t="inlineStr">
        <is>
          <t>Haemophilus</t>
        </is>
      </c>
      <c r="F324" s="18" t="n"/>
      <c r="G324" s="19" t="n"/>
      <c r="H324" s="20">
        <f>IF($G324="",1,IF($G324=0,1,IF($G324=1,3,IF($G324=2,7,IF($G324=3,14,IF($G324=4,30,60))))))</f>
        <v/>
      </c>
      <c r="I324" s="21">
        <f>IF($F324="","",$F324+$H324)</f>
        <v/>
      </c>
      <c r="J324">
        <f>IF($F324="","⚪ NEW",IF($G324&gt;=5,"✅ DONE",IF($I324&lt;TODAY(),"🔴 OVERDUE",IF($I324=TODAY(),"🟢 TODAY",IF($I324=TODAY()+1,"🔵 TOMORROW",IF($I324&lt;=TODAY()+7,"📅 THIS WEEK","⏳ SCHEDULED"))))))</f>
        <v/>
      </c>
      <c r="K324" s="20">
        <f>IF($F324="",999,IF($G324&gt;=5,9999,IF($I324="",999,$I324-TODAY())))</f>
        <v/>
      </c>
    </row>
    <row r="325">
      <c r="A325" s="28">
        <f>ROW()-2</f>
        <v/>
      </c>
      <c r="B325" s="29" t="inlineStr">
        <is>
          <t>S3</t>
        </is>
      </c>
      <c r="C325" s="29" t="inlineStr">
        <is>
          <t>Microbiologie</t>
        </is>
      </c>
      <c r="D325" s="29" t="inlineStr">
        <is>
          <t>Bactériologie</t>
        </is>
      </c>
      <c r="E325" s="29" t="inlineStr">
        <is>
          <t>Vibrio cholerae</t>
        </is>
      </c>
      <c r="F325" s="18" t="n"/>
      <c r="G325" s="19" t="n"/>
      <c r="H325" s="20">
        <f>IF($G325="",1,IF($G325=0,1,IF($G325=1,3,IF($G325=2,7,IF($G325=3,14,IF($G325=4,30,60))))))</f>
        <v/>
      </c>
      <c r="I325" s="21">
        <f>IF($F325="","",$F325+$H325)</f>
        <v/>
      </c>
      <c r="J325">
        <f>IF($F325="","⚪ NEW",IF($G325&gt;=5,"✅ DONE",IF($I325&lt;TODAY(),"🔴 OVERDUE",IF($I325=TODAY(),"🟢 TODAY",IF($I325=TODAY()+1,"🔵 TOMORROW",IF($I325&lt;=TODAY()+7,"📅 THIS WEEK","⏳ SCHEDULED"))))))</f>
        <v/>
      </c>
      <c r="K325" s="20">
        <f>IF($F325="",999,IF($G325&gt;=5,9999,IF($I325="",999,$I325-TODAY())))</f>
        <v/>
      </c>
    </row>
    <row r="326">
      <c r="A326" s="28">
        <f>ROW()-2</f>
        <v/>
      </c>
      <c r="B326" s="29" t="inlineStr">
        <is>
          <t>S3</t>
        </is>
      </c>
      <c r="C326" s="29" t="inlineStr">
        <is>
          <t>Microbiologie</t>
        </is>
      </c>
      <c r="D326" s="29" t="inlineStr">
        <is>
          <t>Bactériologie</t>
        </is>
      </c>
      <c r="E326" s="29" t="inlineStr">
        <is>
          <t>Chlamydia</t>
        </is>
      </c>
      <c r="F326" s="18" t="n"/>
      <c r="G326" s="19" t="n"/>
      <c r="H326" s="20">
        <f>IF($G326="",1,IF($G326=0,1,IF($G326=1,3,IF($G326=2,7,IF($G326=3,14,IF($G326=4,30,60))))))</f>
        <v/>
      </c>
      <c r="I326" s="21">
        <f>IF($F326="","",$F326+$H326)</f>
        <v/>
      </c>
      <c r="J326">
        <f>IF($F326="","⚪ NEW",IF($G326&gt;=5,"✅ DONE",IF($I326&lt;TODAY(),"🔴 OVERDUE",IF($I326=TODAY(),"🟢 TODAY",IF($I326=TODAY()+1,"🔵 TOMORROW",IF($I326&lt;=TODAY()+7,"📅 THIS WEEK","⏳ SCHEDULED"))))))</f>
        <v/>
      </c>
      <c r="K326" s="20">
        <f>IF($F326="",999,IF($G326&gt;=5,9999,IF($I326="",999,$I326-TODAY())))</f>
        <v/>
      </c>
    </row>
    <row r="327">
      <c r="A327" s="28">
        <f>ROW()-2</f>
        <v/>
      </c>
      <c r="B327" s="29" t="inlineStr">
        <is>
          <t>S3</t>
        </is>
      </c>
      <c r="C327" s="29" t="inlineStr">
        <is>
          <t>Microbiologie</t>
        </is>
      </c>
      <c r="D327" s="29" t="inlineStr">
        <is>
          <t>Bactériologie</t>
        </is>
      </c>
      <c r="E327" s="29" t="inlineStr">
        <is>
          <t>Mycoplasme</t>
        </is>
      </c>
      <c r="F327" s="18" t="n"/>
      <c r="G327" s="19" t="n"/>
      <c r="H327" s="20">
        <f>IF($G327="",1,IF($G327=0,1,IF($G327=1,3,IF($G327=2,7,IF($G327=3,14,IF($G327=4,30,60))))))</f>
        <v/>
      </c>
      <c r="I327" s="21">
        <f>IF($F327="","",$F327+$H327)</f>
        <v/>
      </c>
      <c r="J327">
        <f>IF($F327="","⚪ NEW",IF($G327&gt;=5,"✅ DONE",IF($I327&lt;TODAY(),"🔴 OVERDUE",IF($I327=TODAY(),"🟢 TODAY",IF($I327=TODAY()+1,"🔵 TOMORROW",IF($I327&lt;=TODAY()+7,"📅 THIS WEEK","⏳ SCHEDULED"))))))</f>
        <v/>
      </c>
      <c r="K327" s="20">
        <f>IF($F327="",999,IF($G327&gt;=5,9999,IF($I327="",999,$I327-TODAY())))</f>
        <v/>
      </c>
    </row>
    <row r="328">
      <c r="A328" s="28">
        <f>ROW()-2</f>
        <v/>
      </c>
      <c r="B328" s="29" t="inlineStr">
        <is>
          <t>S3</t>
        </is>
      </c>
      <c r="C328" s="29" t="inlineStr">
        <is>
          <t>Microbiologie</t>
        </is>
      </c>
      <c r="D328" s="29" t="inlineStr">
        <is>
          <t>Bactériologie</t>
        </is>
      </c>
      <c r="E328" s="29" t="inlineStr">
        <is>
          <t>Spirochètes (syphilis)</t>
        </is>
      </c>
      <c r="F328" s="18" t="n"/>
      <c r="G328" s="19" t="n"/>
      <c r="H328" s="20">
        <f>IF($G328="",1,IF($G328=0,1,IF($G328=1,3,IF($G328=2,7,IF($G328=3,14,IF($G328=4,30,60))))))</f>
        <v/>
      </c>
      <c r="I328" s="21">
        <f>IF($F328="","",$F328+$H328)</f>
        <v/>
      </c>
      <c r="J328">
        <f>IF($F328="","⚪ NEW",IF($G328&gt;=5,"✅ DONE",IF($I328&lt;TODAY(),"🔴 OVERDUE",IF($I328=TODAY(),"🟢 TODAY",IF($I328=TODAY()+1,"🔵 TOMORROW",IF($I328&lt;=TODAY()+7,"📅 THIS WEEK","⏳ SCHEDULED"))))))</f>
        <v/>
      </c>
      <c r="K328" s="20">
        <f>IF($F328="",999,IF($G328&gt;=5,9999,IF($I328="",999,$I328-TODAY())))</f>
        <v/>
      </c>
    </row>
    <row r="329">
      <c r="A329" s="28">
        <f>ROW()-2</f>
        <v/>
      </c>
      <c r="B329" s="29" t="inlineStr">
        <is>
          <t>S3</t>
        </is>
      </c>
      <c r="C329" s="29" t="inlineStr">
        <is>
          <t>Microbiologie</t>
        </is>
      </c>
      <c r="D329" s="29" t="inlineStr">
        <is>
          <t>Bactériologie</t>
        </is>
      </c>
      <c r="E329" s="29" t="inlineStr">
        <is>
          <t>Les anaérobies strictes</t>
        </is>
      </c>
      <c r="F329" s="18" t="n"/>
      <c r="G329" s="19" t="n"/>
      <c r="H329" s="20">
        <f>IF($G329="",1,IF($G329=0,1,IF($G329=1,3,IF($G329=2,7,IF($G329=3,14,IF($G329=4,30,60))))))</f>
        <v/>
      </c>
      <c r="I329" s="21">
        <f>IF($F329="","",$F329+$H329)</f>
        <v/>
      </c>
      <c r="J329">
        <f>IF($F329="","⚪ NEW",IF($G329&gt;=5,"✅ DONE",IF($I329&lt;TODAY(),"🔴 OVERDUE",IF($I329=TODAY(),"🟢 TODAY",IF($I329=TODAY()+1,"🔵 TOMORROW",IF($I329&lt;=TODAY()+7,"📅 THIS WEEK","⏳ SCHEDULED"))))))</f>
        <v/>
      </c>
      <c r="K329" s="20">
        <f>IF($F329="",999,IF($G329&gt;=5,9999,IF($I329="",999,$I329-TODAY())))</f>
        <v/>
      </c>
    </row>
    <row r="330">
      <c r="A330" s="28">
        <f>ROW()-2</f>
        <v/>
      </c>
      <c r="B330" s="29" t="inlineStr">
        <is>
          <t>S3</t>
        </is>
      </c>
      <c r="C330" s="29" t="inlineStr">
        <is>
          <t>Microbiologie</t>
        </is>
      </c>
      <c r="D330" s="29" t="inlineStr">
        <is>
          <t>Bactériologie</t>
        </is>
      </c>
      <c r="E330" s="29" t="inlineStr">
        <is>
          <t>Les entérobactéries</t>
        </is>
      </c>
      <c r="F330" s="18" t="n"/>
      <c r="G330" s="19" t="n"/>
      <c r="H330" s="20">
        <f>IF($G330="",1,IF($G330=0,1,IF($G330=1,3,IF($G330=2,7,IF($G330=3,14,IF($G330=4,30,60))))))</f>
        <v/>
      </c>
      <c r="I330" s="21">
        <f>IF($F330="","",$F330+$H330)</f>
        <v/>
      </c>
      <c r="J330">
        <f>IF($F330="","⚪ NEW",IF($G330&gt;=5,"✅ DONE",IF($I330&lt;TODAY(),"🔴 OVERDUE",IF($I330=TODAY(),"🟢 TODAY",IF($I330=TODAY()+1,"🔵 TOMORROW",IF($I330&lt;=TODAY()+7,"📅 THIS WEEK","⏳ SCHEDULED"))))))</f>
        <v/>
      </c>
      <c r="K330" s="20">
        <f>IF($F330="",999,IF($G330&gt;=5,9999,IF($I330="",999,$I330-TODAY())))</f>
        <v/>
      </c>
    </row>
    <row r="331">
      <c r="A331" s="28">
        <f>ROW()-2</f>
        <v/>
      </c>
      <c r="B331" s="29" t="inlineStr">
        <is>
          <t>S3</t>
        </is>
      </c>
      <c r="C331" s="29" t="inlineStr">
        <is>
          <t>Microbiologie</t>
        </is>
      </c>
      <c r="D331" s="29" t="inlineStr">
        <is>
          <t>Bactériologie</t>
        </is>
      </c>
      <c r="E331" s="29" t="inlineStr">
        <is>
          <t>Les streptocoques</t>
        </is>
      </c>
      <c r="F331" s="18" t="n"/>
      <c r="G331" s="19" t="n"/>
      <c r="H331" s="20">
        <f>IF($G331="",1,IF($G331=0,1,IF($G331=1,3,IF($G331=2,7,IF($G331=3,14,IF($G331=4,30,60))))))</f>
        <v/>
      </c>
      <c r="I331" s="21">
        <f>IF($F331="","",$F331+$H331)</f>
        <v/>
      </c>
      <c r="J331">
        <f>IF($F331="","⚪ NEW",IF($G331&gt;=5,"✅ DONE",IF($I331&lt;TODAY(),"🔴 OVERDUE",IF($I331=TODAY(),"🟢 TODAY",IF($I331=TODAY()+1,"🔵 TOMORROW",IF($I331&lt;=TODAY()+7,"📅 THIS WEEK","⏳ SCHEDULED"))))))</f>
        <v/>
      </c>
      <c r="K331" s="20">
        <f>IF($F331="",999,IF($G331&gt;=5,9999,IF($I331="",999,$I331-TODAY())))</f>
        <v/>
      </c>
    </row>
    <row r="332">
      <c r="A332" s="28">
        <f>ROW()-2</f>
        <v/>
      </c>
      <c r="B332" s="29" t="inlineStr">
        <is>
          <t>S3</t>
        </is>
      </c>
      <c r="C332" s="29" t="inlineStr">
        <is>
          <t>Microbiologie</t>
        </is>
      </c>
      <c r="D332" s="29" t="inlineStr">
        <is>
          <t>Bactériologie</t>
        </is>
      </c>
      <c r="E332" s="29" t="inlineStr">
        <is>
          <t>Les staphylocoques</t>
        </is>
      </c>
      <c r="F332" s="18" t="n"/>
      <c r="G332" s="19" t="n"/>
      <c r="H332" s="20">
        <f>IF($G332="",1,IF($G332=0,1,IF($G332=1,3,IF($G332=2,7,IF($G332=3,14,IF($G332=4,30,60))))))</f>
        <v/>
      </c>
      <c r="I332" s="21">
        <f>IF($F332="","",$F332+$H332)</f>
        <v/>
      </c>
      <c r="J332">
        <f>IF($F332="","⚪ NEW",IF($G332&gt;=5,"✅ DONE",IF($I332&lt;TODAY(),"🔴 OVERDUE",IF($I332=TODAY(),"🟢 TODAY",IF($I332=TODAY()+1,"🔵 TOMORROW",IF($I332&lt;=TODAY()+7,"📅 THIS WEEK","⏳ SCHEDULED"))))))</f>
        <v/>
      </c>
      <c r="K332" s="20">
        <f>IF($F332="",999,IF($G332&gt;=5,9999,IF($I332="",999,$I332-TODAY())))</f>
        <v/>
      </c>
    </row>
    <row r="333">
      <c r="A333" s="28">
        <f>ROW()-2</f>
        <v/>
      </c>
      <c r="B333" s="29" t="inlineStr">
        <is>
          <t>S3</t>
        </is>
      </c>
      <c r="C333" s="29" t="inlineStr">
        <is>
          <t>Microbiologie</t>
        </is>
      </c>
      <c r="D333" s="29" t="inlineStr">
        <is>
          <t>Bactériologie</t>
        </is>
      </c>
      <c r="E333" s="29" t="inlineStr">
        <is>
          <t>Les mycobactéries</t>
        </is>
      </c>
      <c r="F333" s="18" t="n"/>
      <c r="G333" s="19" t="n"/>
      <c r="H333" s="20">
        <f>IF($G333="",1,IF($G333=0,1,IF($G333=1,3,IF($G333=2,7,IF($G333=3,14,IF($G333=4,30,60))))))</f>
        <v/>
      </c>
      <c r="I333" s="21">
        <f>IF($F333="","",$F333+$H333)</f>
        <v/>
      </c>
      <c r="J333">
        <f>IF($F333="","⚪ NEW",IF($G333&gt;=5,"✅ DONE",IF($I333&lt;TODAY(),"🔴 OVERDUE",IF($I333=TODAY(),"🟢 TODAY",IF($I333=TODAY()+1,"🔵 TOMORROW",IF($I333&lt;=TODAY()+7,"📅 THIS WEEK","⏳ SCHEDULED"))))))</f>
        <v/>
      </c>
      <c r="K333" s="20">
        <f>IF($F333="",999,IF($G333&gt;=5,9999,IF($I333="",999,$I333-TODAY())))</f>
        <v/>
      </c>
    </row>
    <row r="334">
      <c r="A334" s="28">
        <f>ROW()-2</f>
        <v/>
      </c>
      <c r="B334" s="29" t="inlineStr">
        <is>
          <t>S3</t>
        </is>
      </c>
      <c r="C334" s="29" t="inlineStr">
        <is>
          <t>Microbiologie</t>
        </is>
      </c>
      <c r="D334" s="29" t="inlineStr">
        <is>
          <t>Bactériologie</t>
        </is>
      </c>
      <c r="E334" s="29" t="inlineStr">
        <is>
          <t>Acinetobacter baumannii</t>
        </is>
      </c>
      <c r="F334" s="18" t="n"/>
      <c r="G334" s="19" t="n"/>
      <c r="H334" s="20">
        <f>IF($G334="",1,IF($G334=0,1,IF($G334=1,3,IF($G334=2,7,IF($G334=3,14,IF($G334=4,30,60))))))</f>
        <v/>
      </c>
      <c r="I334" s="21">
        <f>IF($F334="","",$F334+$H334)</f>
        <v/>
      </c>
      <c r="J334">
        <f>IF($F334="","⚪ NEW",IF($G334&gt;=5,"✅ DONE",IF($I334&lt;TODAY(),"🔴 OVERDUE",IF($I334=TODAY(),"🟢 TODAY",IF($I334=TODAY()+1,"🔵 TOMORROW",IF($I334&lt;=TODAY()+7,"📅 THIS WEEK","⏳ SCHEDULED"))))))</f>
        <v/>
      </c>
      <c r="K334" s="20">
        <f>IF($F334="",999,IF($G334&gt;=5,9999,IF($I334="",999,$I334-TODAY())))</f>
        <v/>
      </c>
    </row>
    <row r="335">
      <c r="A335" s="28">
        <f>ROW()-2</f>
        <v/>
      </c>
      <c r="B335" s="29" t="inlineStr">
        <is>
          <t>S3</t>
        </is>
      </c>
      <c r="C335" s="29" t="inlineStr">
        <is>
          <t>Microbiologie</t>
        </is>
      </c>
      <c r="D335" s="29" t="inlineStr">
        <is>
          <t>Bactériologie</t>
        </is>
      </c>
      <c r="E335" s="29" t="inlineStr">
        <is>
          <t>Pseudomonas aeruginosa</t>
        </is>
      </c>
      <c r="F335" s="18" t="n"/>
      <c r="G335" s="19" t="n"/>
      <c r="H335" s="20">
        <f>IF($G335="",1,IF($G335=0,1,IF($G335=1,3,IF($G335=2,7,IF($G335=3,14,IF($G335=4,30,60))))))</f>
        <v/>
      </c>
      <c r="I335" s="21">
        <f>IF($F335="","",$F335+$H335)</f>
        <v/>
      </c>
      <c r="J335">
        <f>IF($F335="","⚪ NEW",IF($G335&gt;=5,"✅ DONE",IF($I335&lt;TODAY(),"🔴 OVERDUE",IF($I335=TODAY(),"🟢 TODAY",IF($I335=TODAY()+1,"🔵 TOMORROW",IF($I335&lt;=TODAY()+7,"📅 THIS WEEK","⏳ SCHEDULED"))))))</f>
        <v/>
      </c>
      <c r="K335" s="20">
        <f>IF($F335="",999,IF($G335&gt;=5,9999,IF($I335="",999,$I335-TODAY())))</f>
        <v/>
      </c>
    </row>
    <row r="336">
      <c r="A336" s="28">
        <f>ROW()-2</f>
        <v/>
      </c>
      <c r="B336" s="29" t="inlineStr">
        <is>
          <t>S3</t>
        </is>
      </c>
      <c r="C336" s="29" t="inlineStr">
        <is>
          <t>Microbiologie</t>
        </is>
      </c>
      <c r="D336" s="29" t="inlineStr">
        <is>
          <t>Bactériologie</t>
        </is>
      </c>
      <c r="E336" s="29" t="inlineStr">
        <is>
          <t>Listeria monocytogenes</t>
        </is>
      </c>
      <c r="F336" s="18" t="n"/>
      <c r="G336" s="19" t="n"/>
      <c r="H336" s="20">
        <f>IF($G336="",1,IF($G336=0,1,IF($G336=1,3,IF($G336=2,7,IF($G336=3,14,IF($G336=4,30,60))))))</f>
        <v/>
      </c>
      <c r="I336" s="21">
        <f>IF($F336="","",$F336+$H336)</f>
        <v/>
      </c>
      <c r="J336">
        <f>IF($F336="","⚪ NEW",IF($G336&gt;=5,"✅ DONE",IF($I336&lt;TODAY(),"🔴 OVERDUE",IF($I336=TODAY(),"🟢 TODAY",IF($I336=TODAY()+1,"🔵 TOMORROW",IF($I336&lt;=TODAY()+7,"📅 THIS WEEK","⏳ SCHEDULED"))))))</f>
        <v/>
      </c>
      <c r="K336" s="20">
        <f>IF($F336="",999,IF($G336&gt;=5,9999,IF($I336="",999,$I336-TODAY())))</f>
        <v/>
      </c>
    </row>
    <row r="337">
      <c r="A337" s="28">
        <f>ROW()-2</f>
        <v/>
      </c>
      <c r="B337" s="29" t="inlineStr">
        <is>
          <t>S3</t>
        </is>
      </c>
      <c r="C337" s="29" t="inlineStr">
        <is>
          <t>Microbiologie</t>
        </is>
      </c>
      <c r="D337" s="29" t="inlineStr">
        <is>
          <t>Bactériologie</t>
        </is>
      </c>
      <c r="E337" s="29" t="inlineStr">
        <is>
          <t>Rickettsies</t>
        </is>
      </c>
      <c r="F337" s="18" t="n"/>
      <c r="G337" s="19" t="n"/>
      <c r="H337" s="20">
        <f>IF($G337="",1,IF($G337=0,1,IF($G337=1,3,IF($G337=2,7,IF($G337=3,14,IF($G337=4,30,60))))))</f>
        <v/>
      </c>
      <c r="I337" s="21">
        <f>IF($F337="","",$F337+$H337)</f>
        <v/>
      </c>
      <c r="J337">
        <f>IF($F337="","⚪ NEW",IF($G337&gt;=5,"✅ DONE",IF($I337&lt;TODAY(),"🔴 OVERDUE",IF($I337=TODAY(),"🟢 TODAY",IF($I337=TODAY()+1,"🔵 TOMORROW",IF($I337&lt;=TODAY()+7,"📅 THIS WEEK","⏳ SCHEDULED"))))))</f>
        <v/>
      </c>
      <c r="K337" s="20">
        <f>IF($F337="",999,IF($G337&gt;=5,9999,IF($I337="",999,$I337-TODAY())))</f>
        <v/>
      </c>
    </row>
    <row r="338">
      <c r="A338" s="28">
        <f>ROW()-2</f>
        <v/>
      </c>
      <c r="B338" s="29" t="inlineStr">
        <is>
          <t>S3</t>
        </is>
      </c>
      <c r="C338" s="29" t="inlineStr">
        <is>
          <t>Microbiologie</t>
        </is>
      </c>
      <c r="D338" s="29" t="inlineStr">
        <is>
          <t>Bactériologie</t>
        </is>
      </c>
      <c r="E338" s="29" t="inlineStr">
        <is>
          <t>Bacilles à Gram négatif non fermentaires</t>
        </is>
      </c>
      <c r="F338" s="18" t="n"/>
      <c r="G338" s="19" t="n"/>
      <c r="H338" s="20">
        <f>IF($G338="",1,IF($G338=0,1,IF($G338=1,3,IF($G338=2,7,IF($G338=3,14,IF($G338=4,30,60))))))</f>
        <v/>
      </c>
      <c r="I338" s="21">
        <f>IF($F338="","",$F338+$H338)</f>
        <v/>
      </c>
      <c r="J338">
        <f>IF($F338="","⚪ NEW",IF($G338&gt;=5,"✅ DONE",IF($I338&lt;TODAY(),"🔴 OVERDUE",IF($I338=TODAY(),"🟢 TODAY",IF($I338=TODAY()+1,"🔵 TOMORROW",IF($I338&lt;=TODAY()+7,"📅 THIS WEEK","⏳ SCHEDULED"))))))</f>
        <v/>
      </c>
      <c r="K338" s="20">
        <f>IF($F338="",999,IF($G338&gt;=5,9999,IF($I338="",999,$I338-TODAY())))</f>
        <v/>
      </c>
    </row>
    <row r="339">
      <c r="A339" s="28">
        <f>ROW()-2</f>
        <v/>
      </c>
      <c r="B339" s="29" t="inlineStr">
        <is>
          <t>S3</t>
        </is>
      </c>
      <c r="C339" s="29" t="inlineStr">
        <is>
          <t>Microbiologie</t>
        </is>
      </c>
      <c r="D339" s="29" t="inlineStr">
        <is>
          <t>Bactériologie</t>
        </is>
      </c>
      <c r="E339" s="29" t="inlineStr">
        <is>
          <t>Diagnostic biologique d'une infection urinaire</t>
        </is>
      </c>
      <c r="F339" s="18" t="n"/>
      <c r="G339" s="19" t="n"/>
      <c r="H339" s="20">
        <f>IF($G339="",1,IF($G339=0,1,IF($G339=1,3,IF($G339=2,7,IF($G339=3,14,IF($G339=4,30,60))))))</f>
        <v/>
      </c>
      <c r="I339" s="21">
        <f>IF($F339="","",$F339+$H339)</f>
        <v/>
      </c>
      <c r="J339">
        <f>IF($F339="","⚪ NEW",IF($G339&gt;=5,"✅ DONE",IF($I339&lt;TODAY(),"🔴 OVERDUE",IF($I339=TODAY(),"🟢 TODAY",IF($I339=TODAY()+1,"🔵 TOMORROW",IF($I339&lt;=TODAY()+7,"📅 THIS WEEK","⏳ SCHEDULED"))))))</f>
        <v/>
      </c>
      <c r="K339" s="20">
        <f>IF($F339="",999,IF($G339&gt;=5,9999,IF($I339="",999,$I339-TODAY())))</f>
        <v/>
      </c>
    </row>
    <row r="340">
      <c r="A340" s="28">
        <f>ROW()-2</f>
        <v/>
      </c>
      <c r="B340" s="29" t="inlineStr">
        <is>
          <t>S3</t>
        </is>
      </c>
      <c r="C340" s="29" t="inlineStr">
        <is>
          <t>Microbiologie</t>
        </is>
      </c>
      <c r="D340" s="29" t="inlineStr">
        <is>
          <t>Bactériologie</t>
        </is>
      </c>
      <c r="E340" s="29" t="inlineStr">
        <is>
          <t>Diagnostic biologique d'une infection sexuellement transmissible</t>
        </is>
      </c>
      <c r="F340" s="18" t="n"/>
      <c r="G340" s="19" t="n"/>
      <c r="H340" s="20">
        <f>IF($G340="",1,IF($G340=0,1,IF($G340=1,3,IF($G340=2,7,IF($G340=3,14,IF($G340=4,30,60))))))</f>
        <v/>
      </c>
      <c r="I340" s="21">
        <f>IF($F340="","",$F340+$H340)</f>
        <v/>
      </c>
      <c r="J340">
        <f>IF($F340="","⚪ NEW",IF($G340&gt;=5,"✅ DONE",IF($I340&lt;TODAY(),"🔴 OVERDUE",IF($I340=TODAY(),"🟢 TODAY",IF($I340=TODAY()+1,"🔵 TOMORROW",IF($I340&lt;=TODAY()+7,"📅 THIS WEEK","⏳ SCHEDULED"))))))</f>
        <v/>
      </c>
      <c r="K340" s="20">
        <f>IF($F340="",999,IF($G340&gt;=5,9999,IF($I340="",999,$I340-TODAY())))</f>
        <v/>
      </c>
    </row>
    <row r="341">
      <c r="A341" s="28">
        <f>ROW()-2</f>
        <v/>
      </c>
      <c r="B341" s="29" t="inlineStr">
        <is>
          <t>S3</t>
        </is>
      </c>
      <c r="C341" s="29" t="inlineStr">
        <is>
          <t>Microbiologie</t>
        </is>
      </c>
      <c r="D341" s="29" t="inlineStr">
        <is>
          <t>Bactériologie</t>
        </is>
      </c>
      <c r="E341" s="29" t="inlineStr">
        <is>
          <t>Hélicobacter pylori</t>
        </is>
      </c>
      <c r="F341" s="18" t="n"/>
      <c r="G341" s="19" t="n"/>
      <c r="H341" s="20">
        <f>IF($G341="",1,IF($G341=0,1,IF($G341=1,3,IF($G341=2,7,IF($G341=3,14,IF($G341=4,30,60))))))</f>
        <v/>
      </c>
      <c r="I341" s="21">
        <f>IF($F341="","",$F341+$H341)</f>
        <v/>
      </c>
      <c r="J341">
        <f>IF($F341="","⚪ NEW",IF($G341&gt;=5,"✅ DONE",IF($I341&lt;TODAY(),"🔴 OVERDUE",IF($I341=TODAY(),"🟢 TODAY",IF($I341=TODAY()+1,"🔵 TOMORROW",IF($I341&lt;=TODAY()+7,"📅 THIS WEEK","⏳ SCHEDULED"))))))</f>
        <v/>
      </c>
      <c r="K341" s="20">
        <f>IF($F341="",999,IF($G341&gt;=5,9999,IF($I341="",999,$I341-TODAY())))</f>
        <v/>
      </c>
    </row>
    <row r="342">
      <c r="A342" s="28">
        <f>ROW()-2</f>
        <v/>
      </c>
      <c r="B342" s="29" t="inlineStr">
        <is>
          <t>S3</t>
        </is>
      </c>
      <c r="C342" s="29" t="inlineStr">
        <is>
          <t>Microbiologie</t>
        </is>
      </c>
      <c r="D342" s="29" t="inlineStr">
        <is>
          <t>Bactériologie</t>
        </is>
      </c>
      <c r="E342" s="29" t="inlineStr">
        <is>
          <t>Brucella</t>
        </is>
      </c>
      <c r="F342" s="18" t="n"/>
      <c r="G342" s="19" t="n"/>
      <c r="H342" s="20">
        <f>IF($G342="",1,IF($G342=0,1,IF($G342=1,3,IF($G342=2,7,IF($G342=3,14,IF($G342=4,30,60))))))</f>
        <v/>
      </c>
      <c r="I342" s="21">
        <f>IF($F342="","",$F342+$H342)</f>
        <v/>
      </c>
      <c r="J342">
        <f>IF($F342="","⚪ NEW",IF($G342&gt;=5,"✅ DONE",IF($I342&lt;TODAY(),"🔴 OVERDUE",IF($I342=TODAY(),"🟢 TODAY",IF($I342=TODAY()+1,"🔵 TOMORROW",IF($I342&lt;=TODAY()+7,"📅 THIS WEEK","⏳ SCHEDULED"))))))</f>
        <v/>
      </c>
      <c r="K342" s="20">
        <f>IF($F342="",999,IF($G342&gt;=5,9999,IF($I342="",999,$I342-TODAY())))</f>
        <v/>
      </c>
    </row>
    <row r="343">
      <c r="A343" s="28">
        <f>ROW()-2</f>
        <v/>
      </c>
      <c r="B343" s="29" t="inlineStr">
        <is>
          <t>S3</t>
        </is>
      </c>
      <c r="C343" s="29" t="inlineStr">
        <is>
          <t>Microbiologie</t>
        </is>
      </c>
      <c r="D343" s="29" t="inlineStr">
        <is>
          <t>Bactériologie</t>
        </is>
      </c>
      <c r="E343" s="29" t="inlineStr">
        <is>
          <t>Legionella</t>
        </is>
      </c>
      <c r="F343" s="18" t="n"/>
      <c r="G343" s="19" t="n"/>
      <c r="H343" s="20">
        <f>IF($G343="",1,IF($G343=0,1,IF($G343=1,3,IF($G343=2,7,IF($G343=3,14,IF($G343=4,30,60))))))</f>
        <v/>
      </c>
      <c r="I343" s="21">
        <f>IF($F343="","",$F343+$H343)</f>
        <v/>
      </c>
      <c r="J343">
        <f>IF($F343="","⚪ NEW",IF($G343&gt;=5,"✅ DONE",IF($I343&lt;TODAY(),"🔴 OVERDUE",IF($I343=TODAY(),"🟢 TODAY",IF($I343=TODAY()+1,"🔵 TOMORROW",IF($I343&lt;=TODAY()+7,"📅 THIS WEEK","⏳ SCHEDULED"))))))</f>
        <v/>
      </c>
      <c r="K343" s="20">
        <f>IF($F343="",999,IF($G343&gt;=5,9999,IF($I343="",999,$I343-TODAY())))</f>
        <v/>
      </c>
    </row>
    <row r="344">
      <c r="A344" s="28">
        <f>ROW()-2</f>
        <v/>
      </c>
      <c r="B344" s="29" t="inlineStr">
        <is>
          <t>S3</t>
        </is>
      </c>
      <c r="C344" s="29" t="inlineStr">
        <is>
          <t>Microbiologie</t>
        </is>
      </c>
      <c r="D344" s="29" t="inlineStr">
        <is>
          <t>Immunologie</t>
        </is>
      </c>
      <c r="E344" s="29" t="inlineStr">
        <is>
          <t>Introduction au système immunitaire</t>
        </is>
      </c>
      <c r="F344" s="18" t="n"/>
      <c r="G344" s="19" t="n"/>
      <c r="H344" s="20">
        <f>IF($G344="",1,IF($G344=0,1,IF($G344=1,3,IF($G344=2,7,IF($G344=3,14,IF($G344=4,30,60))))))</f>
        <v/>
      </c>
      <c r="I344" s="21">
        <f>IF($F344="","",$F344+$H344)</f>
        <v/>
      </c>
      <c r="J344">
        <f>IF($F344="","⚪ NEW",IF($G344&gt;=5,"✅ DONE",IF($I344&lt;TODAY(),"🔴 OVERDUE",IF($I344=TODAY(),"🟢 TODAY",IF($I344=TODAY()+1,"🔵 TOMORROW",IF($I344&lt;=TODAY()+7,"📅 THIS WEEK","⏳ SCHEDULED"))))))</f>
        <v/>
      </c>
      <c r="K344" s="20">
        <f>IF($F344="",999,IF($G344&gt;=5,9999,IF($I344="",999,$I344-TODAY())))</f>
        <v/>
      </c>
    </row>
    <row r="345">
      <c r="A345" s="28">
        <f>ROW()-2</f>
        <v/>
      </c>
      <c r="B345" s="29" t="inlineStr">
        <is>
          <t>S3</t>
        </is>
      </c>
      <c r="C345" s="29" t="inlineStr">
        <is>
          <t>Microbiologie</t>
        </is>
      </c>
      <c r="D345" s="29" t="inlineStr">
        <is>
          <t>Immunologie</t>
        </is>
      </c>
      <c r="E345" s="29" t="inlineStr">
        <is>
          <t>Les antigènes</t>
        </is>
      </c>
      <c r="F345" s="18" t="n"/>
      <c r="G345" s="19" t="n"/>
      <c r="H345" s="20">
        <f>IF($G345="",1,IF($G345=0,1,IF($G345=1,3,IF($G345=2,7,IF($G345=3,14,IF($G345=4,30,60))))))</f>
        <v/>
      </c>
      <c r="I345" s="21">
        <f>IF($F345="","",$F345+$H345)</f>
        <v/>
      </c>
      <c r="J345">
        <f>IF($F345="","⚪ NEW",IF($G345&gt;=5,"✅ DONE",IF($I345&lt;TODAY(),"🔴 OVERDUE",IF($I345=TODAY(),"🟢 TODAY",IF($I345=TODAY()+1,"🔵 TOMORROW",IF($I345&lt;=TODAY()+7,"📅 THIS WEEK","⏳ SCHEDULED"))))))</f>
        <v/>
      </c>
      <c r="K345" s="20">
        <f>IF($F345="",999,IF($G345&gt;=5,9999,IF($I345="",999,$I345-TODAY())))</f>
        <v/>
      </c>
    </row>
    <row r="346">
      <c r="A346" s="28">
        <f>ROW()-2</f>
        <v/>
      </c>
      <c r="B346" s="29" t="inlineStr">
        <is>
          <t>S3</t>
        </is>
      </c>
      <c r="C346" s="29" t="inlineStr">
        <is>
          <t>Microbiologie</t>
        </is>
      </c>
      <c r="D346" s="29" t="inlineStr">
        <is>
          <t>Immunologie</t>
        </is>
      </c>
      <c r="E346" s="29" t="inlineStr">
        <is>
          <t>Les immunoglobulines</t>
        </is>
      </c>
      <c r="F346" s="18" t="n"/>
      <c r="G346" s="19" t="n"/>
      <c r="H346" s="20">
        <f>IF($G346="",1,IF($G346=0,1,IF($G346=1,3,IF($G346=2,7,IF($G346=3,14,IF($G346=4,30,60))))))</f>
        <v/>
      </c>
      <c r="I346" s="21">
        <f>IF($F346="","",$F346+$H346)</f>
        <v/>
      </c>
      <c r="J346">
        <f>IF($F346="","⚪ NEW",IF($G346&gt;=5,"✅ DONE",IF($I346&lt;TODAY(),"🔴 OVERDUE",IF($I346=TODAY(),"🟢 TODAY",IF($I346=TODAY()+1,"🔵 TOMORROW",IF($I346&lt;=TODAY()+7,"📅 THIS WEEK","⏳ SCHEDULED"))))))</f>
        <v/>
      </c>
      <c r="K346" s="20">
        <f>IF($F346="",999,IF($G346&gt;=5,9999,IF($I346="",999,$I346-TODAY())))</f>
        <v/>
      </c>
    </row>
    <row r="347">
      <c r="A347" s="28">
        <f>ROW()-2</f>
        <v/>
      </c>
      <c r="B347" s="29" t="inlineStr">
        <is>
          <t>S3</t>
        </is>
      </c>
      <c r="C347" s="29" t="inlineStr">
        <is>
          <t>Microbiologie</t>
        </is>
      </c>
      <c r="D347" s="29" t="inlineStr">
        <is>
          <t>Immunologie</t>
        </is>
      </c>
      <c r="E347" s="29" t="inlineStr">
        <is>
          <t>Les organes lymphoïdes et les cellules de l'immunité</t>
        </is>
      </c>
      <c r="F347" s="18" t="n"/>
      <c r="G347" s="19" t="n"/>
      <c r="H347" s="20">
        <f>IF($G347="",1,IF($G347=0,1,IF($G347=1,3,IF($G347=2,7,IF($G347=3,14,IF($G347=4,30,60))))))</f>
        <v/>
      </c>
      <c r="I347" s="21">
        <f>IF($F347="","",$F347+$H347)</f>
        <v/>
      </c>
      <c r="J347">
        <f>IF($F347="","⚪ NEW",IF($G347&gt;=5,"✅ DONE",IF($I347&lt;TODAY(),"🔴 OVERDUE",IF($I347=TODAY(),"🟢 TODAY",IF($I347=TODAY()+1,"🔵 TOMORROW",IF($I347&lt;=TODAY()+7,"📅 THIS WEEK","⏳ SCHEDULED"))))))</f>
        <v/>
      </c>
      <c r="K347" s="20">
        <f>IF($F347="",999,IF($G347&gt;=5,9999,IF($I347="",999,$I347-TODAY())))</f>
        <v/>
      </c>
    </row>
    <row r="348">
      <c r="A348" s="28">
        <f>ROW()-2</f>
        <v/>
      </c>
      <c r="B348" s="29" t="inlineStr">
        <is>
          <t>S3</t>
        </is>
      </c>
      <c r="C348" s="29" t="inlineStr">
        <is>
          <t>Microbiologie</t>
        </is>
      </c>
      <c r="D348" s="29" t="inlineStr">
        <is>
          <t>Immunologie</t>
        </is>
      </c>
      <c r="E348" s="29" t="inlineStr">
        <is>
          <t>Système du complément</t>
        </is>
      </c>
      <c r="F348" s="18" t="n"/>
      <c r="G348" s="19" t="n"/>
      <c r="H348" s="20">
        <f>IF($G348="",1,IF($G348=0,1,IF($G348=1,3,IF($G348=2,7,IF($G348=3,14,IF($G348=4,30,60))))))</f>
        <v/>
      </c>
      <c r="I348" s="21">
        <f>IF($F348="","",$F348+$H348)</f>
        <v/>
      </c>
      <c r="J348">
        <f>IF($F348="","⚪ NEW",IF($G348&gt;=5,"✅ DONE",IF($I348&lt;TODAY(),"🔴 OVERDUE",IF($I348=TODAY(),"🟢 TODAY",IF($I348=TODAY()+1,"🔵 TOMORROW",IF($I348&lt;=TODAY()+7,"📅 THIS WEEK","⏳ SCHEDULED"))))))</f>
        <v/>
      </c>
      <c r="K348" s="20">
        <f>IF($F348="",999,IF($G348&gt;=5,9999,IF($I348="",999,$I348-TODAY())))</f>
        <v/>
      </c>
    </row>
    <row r="349">
      <c r="A349" s="28">
        <f>ROW()-2</f>
        <v/>
      </c>
      <c r="B349" s="29" t="inlineStr">
        <is>
          <t>S3</t>
        </is>
      </c>
      <c r="C349" s="29" t="inlineStr">
        <is>
          <t>Microbiologie</t>
        </is>
      </c>
      <c r="D349" s="29" t="inlineStr">
        <is>
          <t>Immunologie</t>
        </is>
      </c>
      <c r="E349" s="29" t="inlineStr">
        <is>
          <t>L'immunité innée</t>
        </is>
      </c>
      <c r="F349" s="18" t="n"/>
      <c r="G349" s="19" t="n"/>
      <c r="H349" s="20">
        <f>IF($G349="",1,IF($G349=0,1,IF($G349=1,3,IF($G349=2,7,IF($G349=3,14,IF($G349=4,30,60))))))</f>
        <v/>
      </c>
      <c r="I349" s="21">
        <f>IF($F349="","",$F349+$H349)</f>
        <v/>
      </c>
      <c r="J349">
        <f>IF($F349="","⚪ NEW",IF($G349&gt;=5,"✅ DONE",IF($I349&lt;TODAY(),"🔴 OVERDUE",IF($I349=TODAY(),"🟢 TODAY",IF($I349=TODAY()+1,"🔵 TOMORROW",IF($I349&lt;=TODAY()+7,"📅 THIS WEEK","⏳ SCHEDULED"))))))</f>
        <v/>
      </c>
      <c r="K349" s="20">
        <f>IF($F349="",999,IF($G349&gt;=5,9999,IF($I349="",999,$I349-TODAY())))</f>
        <v/>
      </c>
    </row>
    <row r="350">
      <c r="A350" s="28">
        <f>ROW()-2</f>
        <v/>
      </c>
      <c r="B350" s="29" t="inlineStr">
        <is>
          <t>S3</t>
        </is>
      </c>
      <c r="C350" s="29" t="inlineStr">
        <is>
          <t>Microbiologie</t>
        </is>
      </c>
      <c r="D350" s="29" t="inlineStr">
        <is>
          <t>Immunologie</t>
        </is>
      </c>
      <c r="E350" s="29" t="inlineStr">
        <is>
          <t>Système HLA/CMH (complexe majeur d'histocompatibilité)</t>
        </is>
      </c>
      <c r="F350" s="18" t="n"/>
      <c r="G350" s="19" t="n"/>
      <c r="H350" s="20">
        <f>IF($G350="",1,IF($G350=0,1,IF($G350=1,3,IF($G350=2,7,IF($G350=3,14,IF($G350=4,30,60))))))</f>
        <v/>
      </c>
      <c r="I350" s="21">
        <f>IF($F350="","",$F350+$H350)</f>
        <v/>
      </c>
      <c r="J350">
        <f>IF($F350="","⚪ NEW",IF($G350&gt;=5,"✅ DONE",IF($I350&lt;TODAY(),"🔴 OVERDUE",IF($I350=TODAY(),"🟢 TODAY",IF($I350=TODAY()+1,"🔵 TOMORROW",IF($I350&lt;=TODAY()+7,"📅 THIS WEEK","⏳ SCHEDULED"))))))</f>
        <v/>
      </c>
      <c r="K350" s="20">
        <f>IF($F350="",999,IF($G350&gt;=5,9999,IF($I350="",999,$I350-TODAY())))</f>
        <v/>
      </c>
    </row>
    <row r="351">
      <c r="A351" s="28">
        <f>ROW()-2</f>
        <v/>
      </c>
      <c r="B351" s="29" t="inlineStr">
        <is>
          <t>S3</t>
        </is>
      </c>
      <c r="C351" s="29" t="inlineStr">
        <is>
          <t>Microbiologie</t>
        </is>
      </c>
      <c r="D351" s="29" t="inlineStr">
        <is>
          <t>Immunologie</t>
        </is>
      </c>
      <c r="E351" s="29" t="inlineStr">
        <is>
          <t>La réponse immunitaire adaptative</t>
        </is>
      </c>
      <c r="F351" s="18" t="n"/>
      <c r="G351" s="19" t="n"/>
      <c r="H351" s="20">
        <f>IF($G351="",1,IF($G351=0,1,IF($G351=1,3,IF($G351=2,7,IF($G351=3,14,IF($G351=4,30,60))))))</f>
        <v/>
      </c>
      <c r="I351" s="21">
        <f>IF($F351="","",$F351+$H351)</f>
        <v/>
      </c>
      <c r="J351">
        <f>IF($F351="","⚪ NEW",IF($G351&gt;=5,"✅ DONE",IF($I351&lt;TODAY(),"🔴 OVERDUE",IF($I351=TODAY(),"🟢 TODAY",IF($I351=TODAY()+1,"🔵 TOMORROW",IF($I351&lt;=TODAY()+7,"📅 THIS WEEK","⏳ SCHEDULED"))))))</f>
        <v/>
      </c>
      <c r="K351" s="20">
        <f>IF($F351="",999,IF($G351&gt;=5,9999,IF($I351="",999,$I351-TODAY())))</f>
        <v/>
      </c>
    </row>
    <row r="352">
      <c r="A352" s="28">
        <f>ROW()-2</f>
        <v/>
      </c>
      <c r="B352" s="29" t="inlineStr">
        <is>
          <t>S3</t>
        </is>
      </c>
      <c r="C352" s="29" t="inlineStr">
        <is>
          <t>Microbiologie</t>
        </is>
      </c>
      <c r="D352" s="29" t="inlineStr">
        <is>
          <t>Virologie</t>
        </is>
      </c>
      <c r="E352" s="29" t="inlineStr">
        <is>
          <t>Structure et classification des virus</t>
        </is>
      </c>
      <c r="F352" s="18" t="n"/>
      <c r="G352" s="19" t="n"/>
      <c r="H352" s="20">
        <f>IF($G352="",1,IF($G352=0,1,IF($G352=1,3,IF($G352=2,7,IF($G352=3,14,IF($G352=4,30,60))))))</f>
        <v/>
      </c>
      <c r="I352" s="21">
        <f>IF($F352="","",$F352+$H352)</f>
        <v/>
      </c>
      <c r="J352">
        <f>IF($F352="","⚪ NEW",IF($G352&gt;=5,"✅ DONE",IF($I352&lt;TODAY(),"🔴 OVERDUE",IF($I352=TODAY(),"🟢 TODAY",IF($I352=TODAY()+1,"🔵 TOMORROW",IF($I352&lt;=TODAY()+7,"📅 THIS WEEK","⏳ SCHEDULED"))))))</f>
        <v/>
      </c>
      <c r="K352" s="20">
        <f>IF($F352="",999,IF($G352&gt;=5,9999,IF($I352="",999,$I352-TODAY())))</f>
        <v/>
      </c>
    </row>
    <row r="353">
      <c r="A353" s="28">
        <f>ROW()-2</f>
        <v/>
      </c>
      <c r="B353" s="29" t="inlineStr">
        <is>
          <t>S3</t>
        </is>
      </c>
      <c r="C353" s="29" t="inlineStr">
        <is>
          <t>Microbiologie</t>
        </is>
      </c>
      <c r="D353" s="29" t="inlineStr">
        <is>
          <t>Virologie</t>
        </is>
      </c>
      <c r="E353" s="29" t="inlineStr">
        <is>
          <t>Multiplication intracellulaire des virus</t>
        </is>
      </c>
      <c r="F353" s="18" t="n"/>
      <c r="G353" s="19" t="n"/>
      <c r="H353" s="20">
        <f>IF($G353="",1,IF($G353=0,1,IF($G353=1,3,IF($G353=2,7,IF($G353=3,14,IF($G353=4,30,60))))))</f>
        <v/>
      </c>
      <c r="I353" s="21">
        <f>IF($F353="","",$F353+$H353)</f>
        <v/>
      </c>
      <c r="J353">
        <f>IF($F353="","⚪ NEW",IF($G353&gt;=5,"✅ DONE",IF($I353&lt;TODAY(),"🔴 OVERDUE",IF($I353=TODAY(),"🟢 TODAY",IF($I353=TODAY()+1,"🔵 TOMORROW",IF($I353&lt;=TODAY()+7,"📅 THIS WEEK","⏳ SCHEDULED"))))))</f>
        <v/>
      </c>
      <c r="K353" s="20">
        <f>IF($F353="",999,IF($G353&gt;=5,9999,IF($I353="",999,$I353-TODAY())))</f>
        <v/>
      </c>
    </row>
    <row r="354">
      <c r="A354" s="28">
        <f>ROW()-2</f>
        <v/>
      </c>
      <c r="B354" s="29" t="inlineStr">
        <is>
          <t>S3</t>
        </is>
      </c>
      <c r="C354" s="29" t="inlineStr">
        <is>
          <t>Microbiologie</t>
        </is>
      </c>
      <c r="D354" s="29" t="inlineStr">
        <is>
          <t>Virologie</t>
        </is>
      </c>
      <c r="E354" s="29" t="inlineStr">
        <is>
          <t>Mécanismes généraux des infections virales</t>
        </is>
      </c>
      <c r="F354" s="18" t="n"/>
      <c r="G354" s="19" t="n"/>
      <c r="H354" s="20">
        <f>IF($G354="",1,IF($G354=0,1,IF($G354=1,3,IF($G354=2,7,IF($G354=3,14,IF($G354=4,30,60))))))</f>
        <v/>
      </c>
      <c r="I354" s="21">
        <f>IF($F354="","",$F354+$H354)</f>
        <v/>
      </c>
      <c r="J354">
        <f>IF($F354="","⚪ NEW",IF($G354&gt;=5,"✅ DONE",IF($I354&lt;TODAY(),"🔴 OVERDUE",IF($I354=TODAY(),"🟢 TODAY",IF($I354=TODAY()+1,"🔵 TOMORROW",IF($I354&lt;=TODAY()+7,"📅 THIS WEEK","⏳ SCHEDULED"))))))</f>
        <v/>
      </c>
      <c r="K354" s="20">
        <f>IF($F354="",999,IF($G354&gt;=5,9999,IF($I354="",999,$I354-TODAY())))</f>
        <v/>
      </c>
    </row>
    <row r="355">
      <c r="A355" s="28">
        <f>ROW()-2</f>
        <v/>
      </c>
      <c r="B355" s="29" t="inlineStr">
        <is>
          <t>S3</t>
        </is>
      </c>
      <c r="C355" s="29" t="inlineStr">
        <is>
          <t>Microbiologie</t>
        </is>
      </c>
      <c r="D355" s="29" t="inlineStr">
        <is>
          <t>Virologie</t>
        </is>
      </c>
      <c r="E355" s="29" t="inlineStr">
        <is>
          <t>Vaccins</t>
        </is>
      </c>
      <c r="F355" s="18" t="n"/>
      <c r="G355" s="19" t="n"/>
      <c r="H355" s="20">
        <f>IF($G355="",1,IF($G355=0,1,IF($G355=1,3,IF($G355=2,7,IF($G355=3,14,IF($G355=4,30,60))))))</f>
        <v/>
      </c>
      <c r="I355" s="21">
        <f>IF($F355="","",$F355+$H355)</f>
        <v/>
      </c>
      <c r="J355">
        <f>IF($F355="","⚪ NEW",IF($G355&gt;=5,"✅ DONE",IF($I355&lt;TODAY(),"🔴 OVERDUE",IF($I355=TODAY(),"🟢 TODAY",IF($I355=TODAY()+1,"🔵 TOMORROW",IF($I355&lt;=TODAY()+7,"📅 THIS WEEK","⏳ SCHEDULED"))))))</f>
        <v/>
      </c>
      <c r="K355" s="20">
        <f>IF($F355="",999,IF($G355&gt;=5,9999,IF($I355="",999,$I355-TODAY())))</f>
        <v/>
      </c>
    </row>
    <row r="356">
      <c r="A356" s="28">
        <f>ROW()-2</f>
        <v/>
      </c>
      <c r="B356" s="29" t="inlineStr">
        <is>
          <t>S3</t>
        </is>
      </c>
      <c r="C356" s="29" t="inlineStr">
        <is>
          <t>Microbiologie</t>
        </is>
      </c>
      <c r="D356" s="29" t="inlineStr">
        <is>
          <t>Virologie</t>
        </is>
      </c>
      <c r="E356" s="29" t="inlineStr">
        <is>
          <t>Diagnostic virologique</t>
        </is>
      </c>
      <c r="F356" s="18" t="n"/>
      <c r="G356" s="19" t="n"/>
      <c r="H356" s="20">
        <f>IF($G356="",1,IF($G356=0,1,IF($G356=1,3,IF($G356=2,7,IF($G356=3,14,IF($G356=4,30,60))))))</f>
        <v/>
      </c>
      <c r="I356" s="21">
        <f>IF($F356="","",$F356+$H356)</f>
        <v/>
      </c>
      <c r="J356">
        <f>IF($F356="","⚪ NEW",IF($G356&gt;=5,"✅ DONE",IF($I356&lt;TODAY(),"🔴 OVERDUE",IF($I356=TODAY(),"🟢 TODAY",IF($I356=TODAY()+1,"🔵 TOMORROW",IF($I356&lt;=TODAY()+7,"📅 THIS WEEK","⏳ SCHEDULED"))))))</f>
        <v/>
      </c>
      <c r="K356" s="20">
        <f>IF($F356="",999,IF($G356&gt;=5,9999,IF($I356="",999,$I356-TODAY())))</f>
        <v/>
      </c>
    </row>
    <row r="357">
      <c r="A357" s="28">
        <f>ROW()-2</f>
        <v/>
      </c>
      <c r="B357" s="29" t="inlineStr">
        <is>
          <t>S3</t>
        </is>
      </c>
      <c r="C357" s="29" t="inlineStr">
        <is>
          <t>Microbiologie</t>
        </is>
      </c>
      <c r="D357" s="29" t="inlineStr">
        <is>
          <t>Virologie</t>
        </is>
      </c>
      <c r="E357" s="29" t="inlineStr">
        <is>
          <t>Chimiothérapie antivirale</t>
        </is>
      </c>
      <c r="F357" s="18" t="n"/>
      <c r="G357" s="19" t="n"/>
      <c r="H357" s="20">
        <f>IF($G357="",1,IF($G357=0,1,IF($G357=1,3,IF($G357=2,7,IF($G357=3,14,IF($G357=4,30,60))))))</f>
        <v/>
      </c>
      <c r="I357" s="21">
        <f>IF($F357="","",$F357+$H357)</f>
        <v/>
      </c>
      <c r="J357">
        <f>IF($F357="","⚪ NEW",IF($G357&gt;=5,"✅ DONE",IF($I357&lt;TODAY(),"🔴 OVERDUE",IF($I357=TODAY(),"🟢 TODAY",IF($I357=TODAY()+1,"🔵 TOMORROW",IF($I357&lt;=TODAY()+7,"📅 THIS WEEK","⏳ SCHEDULED"))))))</f>
        <v/>
      </c>
      <c r="K357" s="20">
        <f>IF($F357="",999,IF($G357&gt;=5,9999,IF($I357="",999,$I357-TODAY())))</f>
        <v/>
      </c>
    </row>
    <row r="358">
      <c r="A358" s="28">
        <f>ROW()-2</f>
        <v/>
      </c>
      <c r="B358" s="29" t="inlineStr">
        <is>
          <t>S3</t>
        </is>
      </c>
      <c r="C358" s="29" t="inlineStr">
        <is>
          <t>Microbiologie</t>
        </is>
      </c>
      <c r="D358" s="29" t="inlineStr">
        <is>
          <t>Virologie</t>
        </is>
      </c>
      <c r="E358" s="29" t="inlineStr">
        <is>
          <t>Herpesviridae</t>
        </is>
      </c>
      <c r="F358" s="18" t="n"/>
      <c r="G358" s="19" t="n"/>
      <c r="H358" s="20">
        <f>IF($G358="",1,IF($G358=0,1,IF($G358=1,3,IF($G358=2,7,IF($G358=3,14,IF($G358=4,30,60))))))</f>
        <v/>
      </c>
      <c r="I358" s="21">
        <f>IF($F358="","",$F358+$H358)</f>
        <v/>
      </c>
      <c r="J358">
        <f>IF($F358="","⚪ NEW",IF($G358&gt;=5,"✅ DONE",IF($I358&lt;TODAY(),"🔴 OVERDUE",IF($I358=TODAY(),"🟢 TODAY",IF($I358=TODAY()+1,"🔵 TOMORROW",IF($I358&lt;=TODAY()+7,"📅 THIS WEEK","⏳ SCHEDULED"))))))</f>
        <v/>
      </c>
      <c r="K358" s="20">
        <f>IF($F358="",999,IF($G358&gt;=5,9999,IF($I358="",999,$I358-TODAY())))</f>
        <v/>
      </c>
    </row>
    <row r="359">
      <c r="A359" s="28">
        <f>ROW()-2</f>
        <v/>
      </c>
      <c r="B359" s="29" t="inlineStr">
        <is>
          <t>S3</t>
        </is>
      </c>
      <c r="C359" s="29" t="inlineStr">
        <is>
          <t>Microbiologie</t>
        </is>
      </c>
      <c r="D359" s="29" t="inlineStr">
        <is>
          <t>Virologie</t>
        </is>
      </c>
      <c r="E359" s="29" t="inlineStr">
        <is>
          <t>Les virus respiratoires</t>
        </is>
      </c>
      <c r="F359" s="18" t="n"/>
      <c r="G359" s="19" t="n"/>
      <c r="H359" s="20">
        <f>IF($G359="",1,IF($G359=0,1,IF($G359=1,3,IF($G359=2,7,IF($G359=3,14,IF($G359=4,30,60))))))</f>
        <v/>
      </c>
      <c r="I359" s="21">
        <f>IF($F359="","",$F359+$H359)</f>
        <v/>
      </c>
      <c r="J359">
        <f>IF($F359="","⚪ NEW",IF($G359&gt;=5,"✅ DONE",IF($I359&lt;TODAY(),"🔴 OVERDUE",IF($I359=TODAY(),"🟢 TODAY",IF($I359=TODAY()+1,"🔵 TOMORROW",IF($I359&lt;=TODAY()+7,"📅 THIS WEEK","⏳ SCHEDULED"))))))</f>
        <v/>
      </c>
      <c r="K359" s="20">
        <f>IF($F359="",999,IF($G359&gt;=5,9999,IF($I359="",999,$I359-TODAY())))</f>
        <v/>
      </c>
    </row>
    <row r="360">
      <c r="A360" s="28">
        <f>ROW()-2</f>
        <v/>
      </c>
      <c r="B360" s="29" t="inlineStr">
        <is>
          <t>S3</t>
        </is>
      </c>
      <c r="C360" s="29" t="inlineStr">
        <is>
          <t>Microbiologie</t>
        </is>
      </c>
      <c r="D360" s="29" t="inlineStr">
        <is>
          <t>Virologie</t>
        </is>
      </c>
      <c r="E360" s="29" t="inlineStr">
        <is>
          <t>Picornaviridae</t>
        </is>
      </c>
      <c r="F360" s="18" t="n"/>
      <c r="G360" s="19" t="n"/>
      <c r="H360" s="20">
        <f>IF($G360="",1,IF($G360=0,1,IF($G360=1,3,IF($G360=2,7,IF($G360=3,14,IF($G360=4,30,60))))))</f>
        <v/>
      </c>
      <c r="I360" s="21">
        <f>IF($F360="","",$F360+$H360)</f>
        <v/>
      </c>
      <c r="J360">
        <f>IF($F360="","⚪ NEW",IF($G360&gt;=5,"✅ DONE",IF($I360&lt;TODAY(),"🔴 OVERDUE",IF($I360=TODAY(),"🟢 TODAY",IF($I360=TODAY()+1,"🔵 TOMORROW",IF($I360&lt;=TODAY()+7,"📅 THIS WEEK","⏳ SCHEDULED"))))))</f>
        <v/>
      </c>
      <c r="K360" s="20">
        <f>IF($F360="",999,IF($G360&gt;=5,9999,IF($I360="",999,$I360-TODAY())))</f>
        <v/>
      </c>
    </row>
    <row r="361">
      <c r="A361" s="28">
        <f>ROW()-2</f>
        <v/>
      </c>
      <c r="B361" s="29" t="inlineStr">
        <is>
          <t>S3</t>
        </is>
      </c>
      <c r="C361" s="29" t="inlineStr">
        <is>
          <t>Microbiologie</t>
        </is>
      </c>
      <c r="D361" s="29" t="inlineStr">
        <is>
          <t>Virologie</t>
        </is>
      </c>
      <c r="E361" s="29" t="inlineStr">
        <is>
          <t>Virus de la rage</t>
        </is>
      </c>
      <c r="F361" s="18" t="n"/>
      <c r="G361" s="19" t="n"/>
      <c r="H361" s="20">
        <f>IF($G361="",1,IF($G361=0,1,IF($G361=1,3,IF($G361=2,7,IF($G361=3,14,IF($G361=4,30,60))))))</f>
        <v/>
      </c>
      <c r="I361" s="21">
        <f>IF($F361="","",$F361+$H361)</f>
        <v/>
      </c>
      <c r="J361">
        <f>IF($F361="","⚪ NEW",IF($G361&gt;=5,"✅ DONE",IF($I361&lt;TODAY(),"🔴 OVERDUE",IF($I361=TODAY(),"🟢 TODAY",IF($I361=TODAY()+1,"🔵 TOMORROW",IF($I361&lt;=TODAY()+7,"📅 THIS WEEK","⏳ SCHEDULED"))))))</f>
        <v/>
      </c>
      <c r="K361" s="20">
        <f>IF($F361="",999,IF($G361&gt;=5,9999,IF($I361="",999,$I361-TODAY())))</f>
        <v/>
      </c>
    </row>
    <row r="362">
      <c r="A362" s="28">
        <f>ROW()-2</f>
        <v/>
      </c>
      <c r="B362" s="29" t="inlineStr">
        <is>
          <t>S3</t>
        </is>
      </c>
      <c r="C362" s="29" t="inlineStr">
        <is>
          <t>Microbiologie</t>
        </is>
      </c>
      <c r="D362" s="29" t="inlineStr">
        <is>
          <t>Virologie</t>
        </is>
      </c>
      <c r="E362" s="29" t="inlineStr">
        <is>
          <t>Parvoviridae</t>
        </is>
      </c>
      <c r="F362" s="18" t="n"/>
      <c r="G362" s="19" t="n"/>
      <c r="H362" s="20">
        <f>IF($G362="",1,IF($G362=0,1,IF($G362=1,3,IF($G362=2,7,IF($G362=3,14,IF($G362=4,30,60))))))</f>
        <v/>
      </c>
      <c r="I362" s="21">
        <f>IF($F362="","",$F362+$H362)</f>
        <v/>
      </c>
      <c r="J362">
        <f>IF($F362="","⚪ NEW",IF($G362&gt;=5,"✅ DONE",IF($I362&lt;TODAY(),"🔴 OVERDUE",IF($I362=TODAY(),"🟢 TODAY",IF($I362=TODAY()+1,"🔵 TOMORROW",IF($I362&lt;=TODAY()+7,"📅 THIS WEEK","⏳ SCHEDULED"))))))</f>
        <v/>
      </c>
      <c r="K362" s="20">
        <f>IF($F362="",999,IF($G362&gt;=5,9999,IF($I362="",999,$I362-TODAY())))</f>
        <v/>
      </c>
    </row>
    <row r="363">
      <c r="A363" s="28">
        <f>ROW()-2</f>
        <v/>
      </c>
      <c r="B363" s="29" t="inlineStr">
        <is>
          <t>S3</t>
        </is>
      </c>
      <c r="C363" s="29" t="inlineStr">
        <is>
          <t>Microbiologie</t>
        </is>
      </c>
      <c r="D363" s="29" t="inlineStr">
        <is>
          <t>Virologie</t>
        </is>
      </c>
      <c r="E363" s="29" t="inlineStr">
        <is>
          <t>Reoviridae</t>
        </is>
      </c>
      <c r="F363" s="18" t="n"/>
      <c r="G363" s="19" t="n"/>
      <c r="H363" s="20">
        <f>IF($G363="",1,IF($G363=0,1,IF($G363=1,3,IF($G363=2,7,IF($G363=3,14,IF($G363=4,30,60))))))</f>
        <v/>
      </c>
      <c r="I363" s="21">
        <f>IF($F363="","",$F363+$H363)</f>
        <v/>
      </c>
      <c r="J363">
        <f>IF($F363="","⚪ NEW",IF($G363&gt;=5,"✅ DONE",IF($I363&lt;TODAY(),"🔴 OVERDUE",IF($I363=TODAY(),"🟢 TODAY",IF($I363=TODAY()+1,"🔵 TOMORROW",IF($I363&lt;=TODAY()+7,"📅 THIS WEEK","⏳ SCHEDULED"))))))</f>
        <v/>
      </c>
      <c r="K363" s="20">
        <f>IF($F363="",999,IF($G363&gt;=5,9999,IF($I363="",999,$I363-TODAY())))</f>
        <v/>
      </c>
    </row>
    <row r="364">
      <c r="A364" s="28">
        <f>ROW()-2</f>
        <v/>
      </c>
      <c r="B364" s="29" t="inlineStr">
        <is>
          <t>S3</t>
        </is>
      </c>
      <c r="C364" s="29" t="inlineStr">
        <is>
          <t>Microbiologie</t>
        </is>
      </c>
      <c r="D364" s="29" t="inlineStr">
        <is>
          <t>Virologie</t>
        </is>
      </c>
      <c r="E364" s="29" t="inlineStr">
        <is>
          <t>Rotavirus</t>
        </is>
      </c>
      <c r="F364" s="18" t="n"/>
      <c r="G364" s="19" t="n"/>
      <c r="H364" s="20">
        <f>IF($G364="",1,IF($G364=0,1,IF($G364=1,3,IF($G364=2,7,IF($G364=3,14,IF($G364=4,30,60))))))</f>
        <v/>
      </c>
      <c r="I364" s="21">
        <f>IF($F364="","",$F364+$H364)</f>
        <v/>
      </c>
      <c r="J364">
        <f>IF($F364="","⚪ NEW",IF($G364&gt;=5,"✅ DONE",IF($I364&lt;TODAY(),"🔴 OVERDUE",IF($I364=TODAY(),"🟢 TODAY",IF($I364=TODAY()+1,"🔵 TOMORROW",IF($I364&lt;=TODAY()+7,"📅 THIS WEEK","⏳ SCHEDULED"))))))</f>
        <v/>
      </c>
      <c r="K364" s="20">
        <f>IF($F364="",999,IF($G364&gt;=5,9999,IF($I364="",999,$I364-TODAY())))</f>
        <v/>
      </c>
    </row>
    <row r="365">
      <c r="A365" s="28">
        <f>ROW()-2</f>
        <v/>
      </c>
      <c r="B365" s="29" t="inlineStr">
        <is>
          <t>S3</t>
        </is>
      </c>
      <c r="C365" s="29" t="inlineStr">
        <is>
          <t>Microbiologie</t>
        </is>
      </c>
      <c r="D365" s="29" t="inlineStr">
        <is>
          <t>Virologie</t>
        </is>
      </c>
      <c r="E365" s="29" t="inlineStr">
        <is>
          <t>La rubéole</t>
        </is>
      </c>
      <c r="F365" s="18" t="n"/>
      <c r="G365" s="19" t="n"/>
      <c r="H365" s="20">
        <f>IF($G365="",1,IF($G365=0,1,IF($G365=1,3,IF($G365=2,7,IF($G365=3,14,IF($G365=4,30,60))))))</f>
        <v/>
      </c>
      <c r="I365" s="21">
        <f>IF($F365="","",$F365+$H365)</f>
        <v/>
      </c>
      <c r="J365">
        <f>IF($F365="","⚪ NEW",IF($G365&gt;=5,"✅ DONE",IF($I365&lt;TODAY(),"🔴 OVERDUE",IF($I365=TODAY(),"🟢 TODAY",IF($I365=TODAY()+1,"🔵 TOMORROW",IF($I365&lt;=TODAY()+7,"📅 THIS WEEK","⏳ SCHEDULED"))))))</f>
        <v/>
      </c>
      <c r="K365" s="20">
        <f>IF($F365="",999,IF($G365&gt;=5,9999,IF($I365="",999,$I365-TODAY())))</f>
        <v/>
      </c>
    </row>
    <row r="366">
      <c r="A366" s="28">
        <f>ROW()-2</f>
        <v/>
      </c>
      <c r="B366" s="29" t="inlineStr">
        <is>
          <t>S3</t>
        </is>
      </c>
      <c r="C366" s="29" t="inlineStr">
        <is>
          <t>Microbiologie</t>
        </is>
      </c>
      <c r="D366" s="29" t="inlineStr">
        <is>
          <t>Virologie</t>
        </is>
      </c>
      <c r="E366" s="29" t="inlineStr">
        <is>
          <t>Retroviridae</t>
        </is>
      </c>
      <c r="F366" s="18" t="n"/>
      <c r="G366" s="19" t="n"/>
      <c r="H366" s="20">
        <f>IF($G366="",1,IF($G366=0,1,IF($G366=1,3,IF($G366=2,7,IF($G366=3,14,IF($G366=4,30,60))))))</f>
        <v/>
      </c>
      <c r="I366" s="21">
        <f>IF($F366="","",$F366+$H366)</f>
        <v/>
      </c>
      <c r="J366">
        <f>IF($F366="","⚪ NEW",IF($G366&gt;=5,"✅ DONE",IF($I366&lt;TODAY(),"🔴 OVERDUE",IF($I366=TODAY(),"🟢 TODAY",IF($I366=TODAY()+1,"🔵 TOMORROW",IF($I366&lt;=TODAY()+7,"📅 THIS WEEK","⏳ SCHEDULED"))))))</f>
        <v/>
      </c>
      <c r="K366" s="20">
        <f>IF($F366="",999,IF($G366&gt;=5,9999,IF($I366="",999,$I366-TODAY())))</f>
        <v/>
      </c>
    </row>
    <row r="367">
      <c r="A367" s="28">
        <f>ROW()-2</f>
        <v/>
      </c>
      <c r="B367" s="29" t="inlineStr">
        <is>
          <t>S3</t>
        </is>
      </c>
      <c r="C367" s="29" t="inlineStr">
        <is>
          <t>Microbiologie</t>
        </is>
      </c>
      <c r="D367" s="29" t="inlineStr">
        <is>
          <t>Virologie</t>
        </is>
      </c>
      <c r="E367" s="29" t="inlineStr">
        <is>
          <t>Les hépatites virales</t>
        </is>
      </c>
      <c r="F367" s="18" t="n"/>
      <c r="G367" s="19" t="n"/>
      <c r="H367" s="20">
        <f>IF($G367="",1,IF($G367=0,1,IF($G367=1,3,IF($G367=2,7,IF($G367=3,14,IF($G367=4,30,60))))))</f>
        <v/>
      </c>
      <c r="I367" s="21">
        <f>IF($F367="","",$F367+$H367)</f>
        <v/>
      </c>
      <c r="J367">
        <f>IF($F367="","⚪ NEW",IF($G367&gt;=5,"✅ DONE",IF($I367&lt;TODAY(),"🔴 OVERDUE",IF($I367=TODAY(),"🟢 TODAY",IF($I367=TODAY()+1,"🔵 TOMORROW",IF($I367&lt;=TODAY()+7,"📅 THIS WEEK","⏳ SCHEDULED"))))))</f>
        <v/>
      </c>
      <c r="K367" s="20">
        <f>IF($F367="",999,IF($G367&gt;=5,9999,IF($I367="",999,$I367-TODAY())))</f>
        <v/>
      </c>
    </row>
    <row r="368">
      <c r="A368" s="28">
        <f>ROW()-2</f>
        <v/>
      </c>
      <c r="B368" s="29" t="inlineStr">
        <is>
          <t>S3</t>
        </is>
      </c>
      <c r="C368" s="29" t="inlineStr">
        <is>
          <t>Microbiologie</t>
        </is>
      </c>
      <c r="D368" s="29" t="inlineStr">
        <is>
          <t>Virologie</t>
        </is>
      </c>
      <c r="E368" s="29" t="inlineStr">
        <is>
          <t>Paramyxoviridae</t>
        </is>
      </c>
      <c r="F368" s="18" t="n"/>
      <c r="G368" s="19" t="n"/>
      <c r="H368" s="20">
        <f>IF($G368="",1,IF($G368=0,1,IF($G368=1,3,IF($G368=2,7,IF($G368=3,14,IF($G368=4,30,60))))))</f>
        <v/>
      </c>
      <c r="I368" s="21">
        <f>IF($F368="","",$F368+$H368)</f>
        <v/>
      </c>
      <c r="J368">
        <f>IF($F368="","⚪ NEW",IF($G368&gt;=5,"✅ DONE",IF($I368&lt;TODAY(),"🔴 OVERDUE",IF($I368=TODAY(),"🟢 TODAY",IF($I368=TODAY()+1,"🔵 TOMORROW",IF($I368&lt;=TODAY()+7,"📅 THIS WEEK","⏳ SCHEDULED"))))))</f>
        <v/>
      </c>
      <c r="K368" s="20">
        <f>IF($F368="",999,IF($G368&gt;=5,9999,IF($I368="",999,$I368-TODAY())))</f>
        <v/>
      </c>
    </row>
    <row r="369">
      <c r="A369" s="28">
        <f>ROW()-2</f>
        <v/>
      </c>
      <c r="B369" s="29" t="inlineStr">
        <is>
          <t>S3</t>
        </is>
      </c>
      <c r="C369" s="29" t="inlineStr">
        <is>
          <t>Microbiologie</t>
        </is>
      </c>
      <c r="D369" s="29" t="inlineStr">
        <is>
          <t>Virologie</t>
        </is>
      </c>
      <c r="E369" s="29" t="inlineStr">
        <is>
          <t>Papillomavirus</t>
        </is>
      </c>
      <c r="F369" s="18" t="n"/>
      <c r="G369" s="19" t="n"/>
      <c r="H369" s="20">
        <f>IF($G369="",1,IF($G369=0,1,IF($G369=1,3,IF($G369=2,7,IF($G369=3,14,IF($G369=4,30,60))))))</f>
        <v/>
      </c>
      <c r="I369" s="21">
        <f>IF($F369="","",$F369+$H369)</f>
        <v/>
      </c>
      <c r="J369">
        <f>IF($F369="","⚪ NEW",IF($G369&gt;=5,"✅ DONE",IF($I369&lt;TODAY(),"🔴 OVERDUE",IF($I369=TODAY(),"🟢 TODAY",IF($I369=TODAY()+1,"🔵 TOMORROW",IF($I369&lt;=TODAY()+7,"📅 THIS WEEK","⏳ SCHEDULED"))))))</f>
        <v/>
      </c>
      <c r="K369" s="20">
        <f>IF($F369="",999,IF($G369&gt;=5,9999,IF($I369="",999,$I369-TODAY())))</f>
        <v/>
      </c>
    </row>
    <row r="370">
      <c r="A370" s="28">
        <f>ROW()-2</f>
        <v/>
      </c>
      <c r="B370" s="29" t="inlineStr">
        <is>
          <t>S3</t>
        </is>
      </c>
      <c r="C370" s="29" t="inlineStr">
        <is>
          <t>Microbiologie</t>
        </is>
      </c>
      <c r="D370" s="29" t="inlineStr">
        <is>
          <t>Virologie</t>
        </is>
      </c>
      <c r="E370" s="29" t="inlineStr">
        <is>
          <t>EBOLA</t>
        </is>
      </c>
      <c r="F370" s="18" t="n"/>
      <c r="G370" s="19" t="n"/>
      <c r="H370" s="20">
        <f>IF($G370="",1,IF($G370=0,1,IF($G370=1,3,IF($G370=2,7,IF($G370=3,14,IF($G370=4,30,60))))))</f>
        <v/>
      </c>
      <c r="I370" s="21">
        <f>IF($F370="","",$F370+$H370)</f>
        <v/>
      </c>
      <c r="J370">
        <f>IF($F370="","⚪ NEW",IF($G370&gt;=5,"✅ DONE",IF($I370&lt;TODAY(),"🔴 OVERDUE",IF($I370=TODAY(),"🟢 TODAY",IF($I370=TODAY()+1,"🔵 TOMORROW",IF($I370&lt;=TODAY()+7,"📅 THIS WEEK","⏳ SCHEDULED"))))))</f>
        <v/>
      </c>
      <c r="K370" s="20">
        <f>IF($F370="",999,IF($G370&gt;=5,9999,IF($I370="",999,$I370-TODAY())))</f>
        <v/>
      </c>
    </row>
    <row r="371">
      <c r="A371" s="28">
        <f>ROW()-2</f>
        <v/>
      </c>
      <c r="B371" s="29" t="inlineStr">
        <is>
          <t>S3</t>
        </is>
      </c>
      <c r="C371" s="29" t="inlineStr">
        <is>
          <t>Microbiologie</t>
        </is>
      </c>
      <c r="D371" s="29" t="inlineStr">
        <is>
          <t>Virologie</t>
        </is>
      </c>
      <c r="E371" s="29" t="inlineStr">
        <is>
          <t>ZIKA virus</t>
        </is>
      </c>
      <c r="F371" s="18" t="n"/>
      <c r="G371" s="19" t="n"/>
      <c r="H371" s="20">
        <f>IF($G371="",1,IF($G371=0,1,IF($G371=1,3,IF($G371=2,7,IF($G371=3,14,IF($G371=4,30,60))))))</f>
        <v/>
      </c>
      <c r="I371" s="21">
        <f>IF($F371="","",$F371+$H371)</f>
        <v/>
      </c>
      <c r="J371">
        <f>IF($F371="","⚪ NEW",IF($G371&gt;=5,"✅ DONE",IF($I371&lt;TODAY(),"🔴 OVERDUE",IF($I371=TODAY(),"🟢 TODAY",IF($I371=TODAY()+1,"🔵 TOMORROW",IF($I371&lt;=TODAY()+7,"📅 THIS WEEK","⏳ SCHEDULED"))))))</f>
        <v/>
      </c>
      <c r="K371" s="20">
        <f>IF($F371="",999,IF($G371&gt;=5,9999,IF($I371="",999,$I371-TODAY())))</f>
        <v/>
      </c>
    </row>
    <row r="372">
      <c r="A372" s="28">
        <f>ROW()-2</f>
        <v/>
      </c>
      <c r="B372" s="29" t="inlineStr">
        <is>
          <t>S3</t>
        </is>
      </c>
      <c r="C372" s="29" t="inlineStr">
        <is>
          <t>Microbiologie</t>
        </is>
      </c>
      <c r="D372" s="29" t="inlineStr">
        <is>
          <t>Virologie</t>
        </is>
      </c>
      <c r="E372" s="29" t="inlineStr">
        <is>
          <t>Coronavirus</t>
        </is>
      </c>
      <c r="F372" s="18" t="n"/>
      <c r="G372" s="19" t="n"/>
      <c r="H372" s="20">
        <f>IF($G372="",1,IF($G372=0,1,IF($G372=1,3,IF($G372=2,7,IF($G372=3,14,IF($G372=4,30,60))))))</f>
        <v/>
      </c>
      <c r="I372" s="21">
        <f>IF($F372="","",$F372+$H372)</f>
        <v/>
      </c>
      <c r="J372">
        <f>IF($F372="","⚪ NEW",IF($G372&gt;=5,"✅ DONE",IF($I372&lt;TODAY(),"🔴 OVERDUE",IF($I372=TODAY(),"🟢 TODAY",IF($I372=TODAY()+1,"🔵 TOMORROW",IF($I372&lt;=TODAY()+7,"📅 THIS WEEK","⏳ SCHEDULED"))))))</f>
        <v/>
      </c>
      <c r="K372" s="20">
        <f>IF($F372="",999,IF($G372&gt;=5,9999,IF($I372="",999,$I372-TODAY())))</f>
        <v/>
      </c>
    </row>
    <row r="373">
      <c r="A373" s="30">
        <f>ROW()-2</f>
        <v/>
      </c>
      <c r="B373" s="31" t="inlineStr">
        <is>
          <t>S3</t>
        </is>
      </c>
      <c r="C373" s="31" t="inlineStr">
        <is>
          <t>Médecine expérimentale - Secourisme</t>
        </is>
      </c>
      <c r="D373" s="31" t="inlineStr">
        <is>
          <t>Médecine expérimentale</t>
        </is>
      </c>
      <c r="E373" s="31" t="inlineStr">
        <is>
          <t>Déséquilibres du milieu intérieur (troubles de l'hydratation cellulaire)</t>
        </is>
      </c>
      <c r="F373" s="18" t="n"/>
      <c r="G373" s="19" t="n"/>
      <c r="H373" s="20">
        <f>IF($G373="",1,IF($G373=0,1,IF($G373=1,3,IF($G373=2,7,IF($G373=3,14,IF($G373=4,30,60))))))</f>
        <v/>
      </c>
      <c r="I373" s="21">
        <f>IF($F373="","",$F373+$H373)</f>
        <v/>
      </c>
      <c r="J373">
        <f>IF($F373="","⚪ NEW",IF($G373&gt;=5,"✅ DONE",IF($I373&lt;TODAY(),"🔴 OVERDUE",IF($I373=TODAY(),"🟢 TODAY",IF($I373=TODAY()+1,"🔵 TOMORROW",IF($I373&lt;=TODAY()+7,"📅 THIS WEEK","⏳ SCHEDULED"))))))</f>
        <v/>
      </c>
      <c r="K373" s="20">
        <f>IF($F373="",999,IF($G373&gt;=5,9999,IF($I373="",999,$I373-TODAY())))</f>
        <v/>
      </c>
    </row>
    <row r="374">
      <c r="A374" s="30">
        <f>ROW()-2</f>
        <v/>
      </c>
      <c r="B374" s="31" t="inlineStr">
        <is>
          <t>S3</t>
        </is>
      </c>
      <c r="C374" s="31" t="inlineStr">
        <is>
          <t>Médecine expérimentale - Secourisme</t>
        </is>
      </c>
      <c r="D374" s="31" t="inlineStr">
        <is>
          <t>Médecine expérimentale</t>
        </is>
      </c>
      <c r="E374" s="31" t="inlineStr">
        <is>
          <t>Déséquilibres acido-basiques</t>
        </is>
      </c>
      <c r="F374" s="18" t="n"/>
      <c r="G374" s="19" t="n"/>
      <c r="H374" s="20">
        <f>IF($G374="",1,IF($G374=0,1,IF($G374=1,3,IF($G374=2,7,IF($G374=3,14,IF($G374=4,30,60))))))</f>
        <v/>
      </c>
      <c r="I374" s="21">
        <f>IF($F374="","",$F374+$H374)</f>
        <v/>
      </c>
      <c r="J374">
        <f>IF($F374="","⚪ NEW",IF($G374&gt;=5,"✅ DONE",IF($I374&lt;TODAY(),"🔴 OVERDUE",IF($I374=TODAY(),"🟢 TODAY",IF($I374=TODAY()+1,"🔵 TOMORROW",IF($I374&lt;=TODAY()+7,"📅 THIS WEEK","⏳ SCHEDULED"))))))</f>
        <v/>
      </c>
      <c r="K374" s="20">
        <f>IF($F374="",999,IF($G374&gt;=5,9999,IF($I374="",999,$I374-TODAY())))</f>
        <v/>
      </c>
    </row>
    <row r="375">
      <c r="A375" s="30">
        <f>ROW()-2</f>
        <v/>
      </c>
      <c r="B375" s="31" t="inlineStr">
        <is>
          <t>S3</t>
        </is>
      </c>
      <c r="C375" s="31" t="inlineStr">
        <is>
          <t>Médecine expérimentale - Secourisme</t>
        </is>
      </c>
      <c r="D375" s="31" t="inlineStr">
        <is>
          <t>Médecine expérimentale</t>
        </is>
      </c>
      <c r="E375" s="31" t="inlineStr">
        <is>
          <t>Hypertension intracrânienne (HTIC) et œdèmes cérébraux</t>
        </is>
      </c>
      <c r="F375" s="18" t="n"/>
      <c r="G375" s="19" t="n"/>
      <c r="H375" s="20">
        <f>IF($G375="",1,IF($G375=0,1,IF($G375=1,3,IF($G375=2,7,IF($G375=3,14,IF($G375=4,30,60))))))</f>
        <v/>
      </c>
      <c r="I375" s="21">
        <f>IF($F375="","",$F375+$H375)</f>
        <v/>
      </c>
      <c r="J375">
        <f>IF($F375="","⚪ NEW",IF($G375&gt;=5,"✅ DONE",IF($I375&lt;TODAY(),"🔴 OVERDUE",IF($I375=TODAY(),"🟢 TODAY",IF($I375=TODAY()+1,"🔵 TOMORROW",IF($I375&lt;=TODAY()+7,"📅 THIS WEEK","⏳ SCHEDULED"))))))</f>
        <v/>
      </c>
      <c r="K375" s="20">
        <f>IF($F375="",999,IF($G375&gt;=5,9999,IF($I375="",999,$I375-TODAY())))</f>
        <v/>
      </c>
    </row>
    <row r="376">
      <c r="A376" s="30">
        <f>ROW()-2</f>
        <v/>
      </c>
      <c r="B376" s="31" t="inlineStr">
        <is>
          <t>S3</t>
        </is>
      </c>
      <c r="C376" s="31" t="inlineStr">
        <is>
          <t>Médecine expérimentale - Secourisme</t>
        </is>
      </c>
      <c r="D376" s="31" t="inlineStr">
        <is>
          <t>Médecine expérimentale</t>
        </is>
      </c>
      <c r="E376" s="31" t="inlineStr">
        <is>
          <t>États de choc</t>
        </is>
      </c>
      <c r="F376" s="18" t="n"/>
      <c r="G376" s="19" t="n"/>
      <c r="H376" s="20">
        <f>IF($G376="",1,IF($G376=0,1,IF($G376=1,3,IF($G376=2,7,IF($G376=3,14,IF($G376=4,30,60))))))</f>
        <v/>
      </c>
      <c r="I376" s="21">
        <f>IF($F376="","",$F376+$H376)</f>
        <v/>
      </c>
      <c r="J376">
        <f>IF($F376="","⚪ NEW",IF($G376&gt;=5,"✅ DONE",IF($I376&lt;TODAY(),"🔴 OVERDUE",IF($I376=TODAY(),"🟢 TODAY",IF($I376=TODAY()+1,"🔵 TOMORROW",IF($I376&lt;=TODAY()+7,"📅 THIS WEEK","⏳ SCHEDULED"))))))</f>
        <v/>
      </c>
      <c r="K376" s="20">
        <f>IF($F376="",999,IF($G376&gt;=5,9999,IF($I376="",999,$I376-TODAY())))</f>
        <v/>
      </c>
    </row>
    <row r="377">
      <c r="A377" s="30">
        <f>ROW()-2</f>
        <v/>
      </c>
      <c r="B377" s="31" t="inlineStr">
        <is>
          <t>S3</t>
        </is>
      </c>
      <c r="C377" s="31" t="inlineStr">
        <is>
          <t>Médecine expérimentale - Secourisme</t>
        </is>
      </c>
      <c r="D377" s="31" t="inlineStr">
        <is>
          <t>Médecine expérimentale</t>
        </is>
      </c>
      <c r="E377" s="31" t="inlineStr">
        <is>
          <t>Insuffisance rénale aiguë et méthodes d'épuration extrarénale</t>
        </is>
      </c>
      <c r="F377" s="18" t="n"/>
      <c r="G377" s="19" t="n"/>
      <c r="H377" s="20">
        <f>IF($G377="",1,IF($G377=0,1,IF($G377=1,3,IF($G377=2,7,IF($G377=3,14,IF($G377=4,30,60))))))</f>
        <v/>
      </c>
      <c r="I377" s="21">
        <f>IF($F377="","",$F377+$H377)</f>
        <v/>
      </c>
      <c r="J377">
        <f>IF($F377="","⚪ NEW",IF($G377&gt;=5,"✅ DONE",IF($I377&lt;TODAY(),"🔴 OVERDUE",IF($I377=TODAY(),"🟢 TODAY",IF($I377=TODAY()+1,"🔵 TOMORROW",IF($I377&lt;=TODAY()+7,"📅 THIS WEEK","⏳ SCHEDULED"))))))</f>
        <v/>
      </c>
      <c r="K377" s="20">
        <f>IF($F377="",999,IF($G377&gt;=5,9999,IF($I377="",999,$I377-TODAY())))</f>
        <v/>
      </c>
    </row>
    <row r="378">
      <c r="A378" s="30">
        <f>ROW()-2</f>
        <v/>
      </c>
      <c r="B378" s="31" t="inlineStr">
        <is>
          <t>S3</t>
        </is>
      </c>
      <c r="C378" s="31" t="inlineStr">
        <is>
          <t>Médecine expérimentale - Secourisme</t>
        </is>
      </c>
      <c r="D378" s="31" t="inlineStr">
        <is>
          <t>Médecine expérimentale</t>
        </is>
      </c>
      <c r="E378" s="31" t="inlineStr">
        <is>
          <t>Insuffisance respiratoire aiguë</t>
        </is>
      </c>
      <c r="F378" s="18" t="n"/>
      <c r="G378" s="19" t="n"/>
      <c r="H378" s="20">
        <f>IF($G378="",1,IF($G378=0,1,IF($G378=1,3,IF($G378=2,7,IF($G378=3,14,IF($G378=4,30,60))))))</f>
        <v/>
      </c>
      <c r="I378" s="21">
        <f>IF($F378="","",$F378+$H378)</f>
        <v/>
      </c>
      <c r="J378">
        <f>IF($F378="","⚪ NEW",IF($G378&gt;=5,"✅ DONE",IF($I378&lt;TODAY(),"🔴 OVERDUE",IF($I378=TODAY(),"🟢 TODAY",IF($I378=TODAY()+1,"🔵 TOMORROW",IF($I378&lt;=TODAY()+7,"📅 THIS WEEK","⏳ SCHEDULED"))))))</f>
        <v/>
      </c>
      <c r="K378" s="20">
        <f>IF($F378="",999,IF($G378&gt;=5,9999,IF($I378="",999,$I378-TODAY())))</f>
        <v/>
      </c>
    </row>
    <row r="379">
      <c r="A379" s="30">
        <f>ROW()-2</f>
        <v/>
      </c>
      <c r="B379" s="31" t="inlineStr">
        <is>
          <t>S3</t>
        </is>
      </c>
      <c r="C379" s="31" t="inlineStr">
        <is>
          <t>Médecine expérimentale - Secourisme</t>
        </is>
      </c>
      <c r="D379" s="31" t="inlineStr">
        <is>
          <t>Secourisme</t>
        </is>
      </c>
      <c r="E379" s="31" t="inlineStr">
        <is>
          <t>Gestes et soins d'urgences niveau I</t>
        </is>
      </c>
      <c r="F379" s="18" t="n"/>
      <c r="G379" s="19" t="n"/>
      <c r="H379" s="20">
        <f>IF($G379="",1,IF($G379=0,1,IF($G379=1,3,IF($G379=2,7,IF($G379=3,14,IF($G379=4,30,60))))))</f>
        <v/>
      </c>
      <c r="I379" s="21">
        <f>IF($F379="","",$F379+$H379)</f>
        <v/>
      </c>
      <c r="J379">
        <f>IF($F379="","⚪ NEW",IF($G379&gt;=5,"✅ DONE",IF($I379&lt;TODAY(),"🔴 OVERDUE",IF($I379=TODAY(),"🟢 TODAY",IF($I379=TODAY()+1,"🔵 TOMORROW",IF($I379&lt;=TODAY()+7,"📅 THIS WEEK","⏳ SCHEDULED"))))))</f>
        <v/>
      </c>
      <c r="K379" s="20">
        <f>IF($F379="",999,IF($G379&gt;=5,9999,IF($I379="",999,$I379-TODAY())))</f>
        <v/>
      </c>
    </row>
    <row r="380">
      <c r="A380" s="32">
        <f>ROW()-2</f>
        <v/>
      </c>
      <c r="B380" s="33" t="inlineStr">
        <is>
          <t>S4</t>
        </is>
      </c>
      <c r="C380" s="33" t="inlineStr">
        <is>
          <t>Sémiologie II</t>
        </is>
      </c>
      <c r="D380" s="33" t="inlineStr">
        <is>
          <t>Sémiologie dermatologique</t>
        </is>
      </c>
      <c r="E380" s="33" t="inlineStr">
        <is>
          <t>Lésions élémentaires</t>
        </is>
      </c>
      <c r="F380" s="18" t="n"/>
      <c r="G380" s="19" t="n"/>
      <c r="H380" s="20">
        <f>IF($G380="",1,IF($G380=0,1,IF($G380=1,3,IF($G380=2,7,IF($G380=3,14,IF($G380=4,30,60))))))</f>
        <v/>
      </c>
      <c r="I380" s="21">
        <f>IF($F380="","",$F380+$H380)</f>
        <v/>
      </c>
      <c r="J380">
        <f>IF($F380="","⚪ NEW",IF($G380&gt;=5,"✅ DONE",IF($I380&lt;TODAY(),"🔴 OVERDUE",IF($I380=TODAY(),"🟢 TODAY",IF($I380=TODAY()+1,"🔵 TOMORROW",IF($I380&lt;=TODAY()+7,"📅 THIS WEEK","⏳ SCHEDULED"))))))</f>
        <v/>
      </c>
      <c r="K380" s="20">
        <f>IF($F380="",999,IF($G380&gt;=5,9999,IF($I380="",999,$I380-TODAY())))</f>
        <v/>
      </c>
    </row>
    <row r="381">
      <c r="A381" s="32">
        <f>ROW()-2</f>
        <v/>
      </c>
      <c r="B381" s="33" t="inlineStr">
        <is>
          <t>S4</t>
        </is>
      </c>
      <c r="C381" s="33" t="inlineStr">
        <is>
          <t>Sémiologie II</t>
        </is>
      </c>
      <c r="D381" s="33" t="inlineStr">
        <is>
          <t>Sémiologie gynécologique</t>
        </is>
      </c>
      <c r="E381" s="33" t="inlineStr">
        <is>
          <t>Sémiologie gynécologique (interrogatoire et examen)</t>
        </is>
      </c>
      <c r="F381" s="18" t="n"/>
      <c r="G381" s="19" t="n"/>
      <c r="H381" s="20">
        <f>IF($G381="",1,IF($G381=0,1,IF($G381=1,3,IF($G381=2,7,IF($G381=3,14,IF($G381=4,30,60))))))</f>
        <v/>
      </c>
      <c r="I381" s="21">
        <f>IF($F381="","",$F381+$H381)</f>
        <v/>
      </c>
      <c r="J381">
        <f>IF($F381="","⚪ NEW",IF($G381&gt;=5,"✅ DONE",IF($I381&lt;TODAY(),"🔴 OVERDUE",IF($I381=TODAY(),"🟢 TODAY",IF($I381=TODAY()+1,"🔵 TOMORROW",IF($I381&lt;=TODAY()+7,"📅 THIS WEEK","⏳ SCHEDULED"))))))</f>
        <v/>
      </c>
      <c r="K381" s="20">
        <f>IF($F381="",999,IF($G381&gt;=5,9999,IF($I381="",999,$I381-TODAY())))</f>
        <v/>
      </c>
    </row>
    <row r="382">
      <c r="A382" s="32">
        <f>ROW()-2</f>
        <v/>
      </c>
      <c r="B382" s="33" t="inlineStr">
        <is>
          <t>S4</t>
        </is>
      </c>
      <c r="C382" s="33" t="inlineStr">
        <is>
          <t>Sémiologie II</t>
        </is>
      </c>
      <c r="D382" s="33" t="inlineStr">
        <is>
          <t>Sémiologie gynécologique</t>
        </is>
      </c>
      <c r="E382" s="33" t="inlineStr">
        <is>
          <t>Explorations gynécologiques</t>
        </is>
      </c>
      <c r="F382" s="18" t="n"/>
      <c r="G382" s="19" t="n"/>
      <c r="H382" s="20">
        <f>IF($G382="",1,IF($G382=0,1,IF($G382=1,3,IF($G382=2,7,IF($G382=3,14,IF($G382=4,30,60))))))</f>
        <v/>
      </c>
      <c r="I382" s="21">
        <f>IF($F382="","",$F382+$H382)</f>
        <v/>
      </c>
      <c r="J382">
        <f>IF($F382="","⚪ NEW",IF($G382&gt;=5,"✅ DONE",IF($I382&lt;TODAY(),"🔴 OVERDUE",IF($I382=TODAY(),"🟢 TODAY",IF($I382=TODAY()+1,"🔵 TOMORROW",IF($I382&lt;=TODAY()+7,"📅 THIS WEEK","⏳ SCHEDULED"))))))</f>
        <v/>
      </c>
      <c r="K382" s="20">
        <f>IF($F382="",999,IF($G382&gt;=5,9999,IF($I382="",999,$I382-TODAY())))</f>
        <v/>
      </c>
    </row>
    <row r="383">
      <c r="A383" s="32">
        <f>ROW()-2</f>
        <v/>
      </c>
      <c r="B383" s="33" t="inlineStr">
        <is>
          <t>S4</t>
        </is>
      </c>
      <c r="C383" s="33" t="inlineStr">
        <is>
          <t>Sémiologie II</t>
        </is>
      </c>
      <c r="D383" s="33" t="inlineStr">
        <is>
          <t>Sémiologie gynécologique</t>
        </is>
      </c>
      <c r="E383" s="33" t="inlineStr">
        <is>
          <t>Hémorragies génitales</t>
        </is>
      </c>
      <c r="F383" s="18" t="n"/>
      <c r="G383" s="19" t="n"/>
      <c r="H383" s="20">
        <f>IF($G383="",1,IF($G383=0,1,IF($G383=1,3,IF($G383=2,7,IF($G383=3,14,IF($G383=4,30,60))))))</f>
        <v/>
      </c>
      <c r="I383" s="21">
        <f>IF($F383="","",$F383+$H383)</f>
        <v/>
      </c>
      <c r="J383">
        <f>IF($F383="","⚪ NEW",IF($G383&gt;=5,"✅ DONE",IF($I383&lt;TODAY(),"🔴 OVERDUE",IF($I383=TODAY(),"🟢 TODAY",IF($I383=TODAY()+1,"🔵 TOMORROW",IF($I383&lt;=TODAY()+7,"📅 THIS WEEK","⏳ SCHEDULED"))))))</f>
        <v/>
      </c>
      <c r="K383" s="20">
        <f>IF($F383="",999,IF($G383&gt;=5,9999,IF($I383="",999,$I383-TODAY())))</f>
        <v/>
      </c>
    </row>
    <row r="384">
      <c r="A384" s="32">
        <f>ROW()-2</f>
        <v/>
      </c>
      <c r="B384" s="33" t="inlineStr">
        <is>
          <t>S4</t>
        </is>
      </c>
      <c r="C384" s="33" t="inlineStr">
        <is>
          <t>Sémiologie II</t>
        </is>
      </c>
      <c r="D384" s="33" t="inlineStr">
        <is>
          <t>Sémiologie gynécologique</t>
        </is>
      </c>
      <c r="E384" s="33" t="inlineStr">
        <is>
          <t>Algies pelviennes chez la femme</t>
        </is>
      </c>
      <c r="F384" s="18" t="n"/>
      <c r="G384" s="19" t="n"/>
      <c r="H384" s="20">
        <f>IF($G384="",1,IF($G384=0,1,IF($G384=1,3,IF($G384=2,7,IF($G384=3,14,IF($G384=4,30,60))))))</f>
        <v/>
      </c>
      <c r="I384" s="21">
        <f>IF($F384="","",$F384+$H384)</f>
        <v/>
      </c>
      <c r="J384">
        <f>IF($F384="","⚪ NEW",IF($G384&gt;=5,"✅ DONE",IF($I384&lt;TODAY(),"🔴 OVERDUE",IF($I384=TODAY(),"🟢 TODAY",IF($I384=TODAY()+1,"🔵 TOMORROW",IF($I384&lt;=TODAY()+7,"📅 THIS WEEK","⏳ SCHEDULED"))))))</f>
        <v/>
      </c>
      <c r="K384" s="20">
        <f>IF($F384="",999,IF($G384&gt;=5,9999,IF($I384="",999,$I384-TODAY())))</f>
        <v/>
      </c>
    </row>
    <row r="385">
      <c r="A385" s="32">
        <f>ROW()-2</f>
        <v/>
      </c>
      <c r="B385" s="33" t="inlineStr">
        <is>
          <t>S4</t>
        </is>
      </c>
      <c r="C385" s="33" t="inlineStr">
        <is>
          <t>Sémiologie II</t>
        </is>
      </c>
      <c r="D385" s="33" t="inlineStr">
        <is>
          <t>Sémiologie gynécologique</t>
        </is>
      </c>
      <c r="E385" s="33" t="inlineStr">
        <is>
          <t>Les leucorrhées</t>
        </is>
      </c>
      <c r="F385" s="18" t="n"/>
      <c r="G385" s="19" t="n"/>
      <c r="H385" s="20">
        <f>IF($G385="",1,IF($G385=0,1,IF($G385=1,3,IF($G385=2,7,IF($G385=3,14,IF($G385=4,30,60))))))</f>
        <v/>
      </c>
      <c r="I385" s="21">
        <f>IF($F385="","",$F385+$H385)</f>
        <v/>
      </c>
      <c r="J385">
        <f>IF($F385="","⚪ NEW",IF($G385&gt;=5,"✅ DONE",IF($I385&lt;TODAY(),"🔴 OVERDUE",IF($I385=TODAY(),"🟢 TODAY",IF($I385=TODAY()+1,"🔵 TOMORROW",IF($I385&lt;=TODAY()+7,"📅 THIS WEEK","⏳ SCHEDULED"))))))</f>
        <v/>
      </c>
      <c r="K385" s="20">
        <f>IF($F385="",999,IF($G385&gt;=5,9999,IF($I385="",999,$I385-TODAY())))</f>
        <v/>
      </c>
    </row>
    <row r="386">
      <c r="A386" s="32">
        <f>ROW()-2</f>
        <v/>
      </c>
      <c r="B386" s="33" t="inlineStr">
        <is>
          <t>S4</t>
        </is>
      </c>
      <c r="C386" s="33" t="inlineStr">
        <is>
          <t>Sémiologie II</t>
        </is>
      </c>
      <c r="D386" s="33" t="inlineStr">
        <is>
          <t>Sémiologie gynécologique</t>
        </is>
      </c>
      <c r="E386" s="33" t="inlineStr">
        <is>
          <t>Masses pelviennes chez la femme</t>
        </is>
      </c>
      <c r="F386" s="18" t="n"/>
      <c r="G386" s="19" t="n"/>
      <c r="H386" s="20">
        <f>IF($G386="",1,IF($G386=0,1,IF($G386=1,3,IF($G386=2,7,IF($G386=3,14,IF($G386=4,30,60))))))</f>
        <v/>
      </c>
      <c r="I386" s="21">
        <f>IF($F386="","",$F386+$H386)</f>
        <v/>
      </c>
      <c r="J386">
        <f>IF($F386="","⚪ NEW",IF($G386&gt;=5,"✅ DONE",IF($I386&lt;TODAY(),"🔴 OVERDUE",IF($I386=TODAY(),"🟢 TODAY",IF($I386=TODAY()+1,"🔵 TOMORROW",IF($I386&lt;=TODAY()+7,"📅 THIS WEEK","⏳ SCHEDULED"))))))</f>
        <v/>
      </c>
      <c r="K386" s="20">
        <f>IF($F386="",999,IF($G386&gt;=5,9999,IF($I386="",999,$I386-TODAY())))</f>
        <v/>
      </c>
    </row>
    <row r="387">
      <c r="A387" s="32">
        <f>ROW()-2</f>
        <v/>
      </c>
      <c r="B387" s="33" t="inlineStr">
        <is>
          <t>S4</t>
        </is>
      </c>
      <c r="C387" s="33" t="inlineStr">
        <is>
          <t>Sémiologie II</t>
        </is>
      </c>
      <c r="D387" s="33" t="inlineStr">
        <is>
          <t>Sémiologie psychiatrique</t>
        </is>
      </c>
      <c r="E387" s="33" t="inlineStr">
        <is>
          <t>Entretien psychiatrique</t>
        </is>
      </c>
      <c r="F387" s="18" t="n"/>
      <c r="G387" s="19" t="n"/>
      <c r="H387" s="20">
        <f>IF($G387="",1,IF($G387=0,1,IF($G387=1,3,IF($G387=2,7,IF($G387=3,14,IF($G387=4,30,60))))))</f>
        <v/>
      </c>
      <c r="I387" s="21">
        <f>IF($F387="","",$F387+$H387)</f>
        <v/>
      </c>
      <c r="J387">
        <f>IF($F387="","⚪ NEW",IF($G387&gt;=5,"✅ DONE",IF($I387&lt;TODAY(),"🔴 OVERDUE",IF($I387=TODAY(),"🟢 TODAY",IF($I387=TODAY()+1,"🔵 TOMORROW",IF($I387&lt;=TODAY()+7,"📅 THIS WEEK","⏳ SCHEDULED"))))))</f>
        <v/>
      </c>
      <c r="K387" s="20">
        <f>IF($F387="",999,IF($G387&gt;=5,9999,IF($I387="",999,$I387-TODAY())))</f>
        <v/>
      </c>
    </row>
    <row r="388">
      <c r="A388" s="32">
        <f>ROW()-2</f>
        <v/>
      </c>
      <c r="B388" s="33" t="inlineStr">
        <is>
          <t>S4</t>
        </is>
      </c>
      <c r="C388" s="33" t="inlineStr">
        <is>
          <t>Sémiologie II</t>
        </is>
      </c>
      <c r="D388" s="33" t="inlineStr">
        <is>
          <t>Sémiologie psychiatrique</t>
        </is>
      </c>
      <c r="E388" s="33" t="inlineStr">
        <is>
          <t>Le syndrome anxieux</t>
        </is>
      </c>
      <c r="F388" s="18" t="n"/>
      <c r="G388" s="19" t="n"/>
      <c r="H388" s="20">
        <f>IF($G388="",1,IF($G388=0,1,IF($G388=1,3,IF($G388=2,7,IF($G388=3,14,IF($G388=4,30,60))))))</f>
        <v/>
      </c>
      <c r="I388" s="21">
        <f>IF($F388="","",$F388+$H388)</f>
        <v/>
      </c>
      <c r="J388">
        <f>IF($F388="","⚪ NEW",IF($G388&gt;=5,"✅ DONE",IF($I388&lt;TODAY(),"🔴 OVERDUE",IF($I388=TODAY(),"🟢 TODAY",IF($I388=TODAY()+1,"🔵 TOMORROW",IF($I388&lt;=TODAY()+7,"📅 THIS WEEK","⏳ SCHEDULED"))))))</f>
        <v/>
      </c>
      <c r="K388" s="20">
        <f>IF($F388="",999,IF($G388&gt;=5,9999,IF($I388="",999,$I388-TODAY())))</f>
        <v/>
      </c>
    </row>
    <row r="389">
      <c r="A389" s="32">
        <f>ROW()-2</f>
        <v/>
      </c>
      <c r="B389" s="33" t="inlineStr">
        <is>
          <t>S4</t>
        </is>
      </c>
      <c r="C389" s="33" t="inlineStr">
        <is>
          <t>Sémiologie II</t>
        </is>
      </c>
      <c r="D389" s="33" t="inlineStr">
        <is>
          <t>Sémiologie psychiatrique</t>
        </is>
      </c>
      <c r="E389" s="33" t="inlineStr">
        <is>
          <t>Le syndrome dépressif</t>
        </is>
      </c>
      <c r="F389" s="18" t="n"/>
      <c r="G389" s="19" t="n"/>
      <c r="H389" s="20">
        <f>IF($G389="",1,IF($G389=0,1,IF($G389=1,3,IF($G389=2,7,IF($G389=3,14,IF($G389=4,30,60))))))</f>
        <v/>
      </c>
      <c r="I389" s="21">
        <f>IF($F389="","",$F389+$H389)</f>
        <v/>
      </c>
      <c r="J389">
        <f>IF($F389="","⚪ NEW",IF($G389&gt;=5,"✅ DONE",IF($I389&lt;TODAY(),"🔴 OVERDUE",IF($I389=TODAY(),"🟢 TODAY",IF($I389=TODAY()+1,"🔵 TOMORROW",IF($I389&lt;=TODAY()+7,"📅 THIS WEEK","⏳ SCHEDULED"))))))</f>
        <v/>
      </c>
      <c r="K389" s="20">
        <f>IF($F389="",999,IF($G389&gt;=5,9999,IF($I389="",999,$I389-TODAY())))</f>
        <v/>
      </c>
    </row>
    <row r="390">
      <c r="A390" s="32">
        <f>ROW()-2</f>
        <v/>
      </c>
      <c r="B390" s="33" t="inlineStr">
        <is>
          <t>S4</t>
        </is>
      </c>
      <c r="C390" s="33" t="inlineStr">
        <is>
          <t>Sémiologie II</t>
        </is>
      </c>
      <c r="D390" s="33" t="inlineStr">
        <is>
          <t>Sémiologie infectieuse</t>
        </is>
      </c>
      <c r="E390" s="33" t="inlineStr">
        <is>
          <t>Syndrome méningé</t>
        </is>
      </c>
      <c r="F390" s="18" t="n"/>
      <c r="G390" s="19" t="n"/>
      <c r="H390" s="20">
        <f>IF($G390="",1,IF($G390=0,1,IF($G390=1,3,IF($G390=2,7,IF($G390=3,14,IF($G390=4,30,60))))))</f>
        <v/>
      </c>
      <c r="I390" s="21">
        <f>IF($F390="","",$F390+$H390)</f>
        <v/>
      </c>
      <c r="J390">
        <f>IF($F390="","⚪ NEW",IF($G390&gt;=5,"✅ DONE",IF($I390&lt;TODAY(),"🔴 OVERDUE",IF($I390=TODAY(),"🟢 TODAY",IF($I390=TODAY()+1,"🔵 TOMORROW",IF($I390&lt;=TODAY()+7,"📅 THIS WEEK","⏳ SCHEDULED"))))))</f>
        <v/>
      </c>
      <c r="K390" s="20">
        <f>IF($F390="",999,IF($G390&gt;=5,9999,IF($I390="",999,$I390-TODAY())))</f>
        <v/>
      </c>
    </row>
    <row r="391">
      <c r="A391" s="32">
        <f>ROW()-2</f>
        <v/>
      </c>
      <c r="B391" s="33" t="inlineStr">
        <is>
          <t>S4</t>
        </is>
      </c>
      <c r="C391" s="33" t="inlineStr">
        <is>
          <t>Sémiologie II</t>
        </is>
      </c>
      <c r="D391" s="33" t="inlineStr">
        <is>
          <t>Sémiologie infectieuse</t>
        </is>
      </c>
      <c r="E391" s="33" t="inlineStr">
        <is>
          <t>Le sepsis</t>
        </is>
      </c>
      <c r="F391" s="18" t="n"/>
      <c r="G391" s="19" t="n"/>
      <c r="H391" s="20">
        <f>IF($G391="",1,IF($G391=0,1,IF($G391=1,3,IF($G391=2,7,IF($G391=3,14,IF($G391=4,30,60))))))</f>
        <v/>
      </c>
      <c r="I391" s="21">
        <f>IF($F391="","",$F391+$H391)</f>
        <v/>
      </c>
      <c r="J391">
        <f>IF($F391="","⚪ NEW",IF($G391&gt;=5,"✅ DONE",IF($I391&lt;TODAY(),"🔴 OVERDUE",IF($I391=TODAY(),"🟢 TODAY",IF($I391=TODAY()+1,"🔵 TOMORROW",IF($I391&lt;=TODAY()+7,"📅 THIS WEEK","⏳ SCHEDULED"))))))</f>
        <v/>
      </c>
      <c r="K391" s="20">
        <f>IF($F391="",999,IF($G391&gt;=5,9999,IF($I391="",999,$I391-TODAY())))</f>
        <v/>
      </c>
    </row>
    <row r="392">
      <c r="A392" s="32">
        <f>ROW()-2</f>
        <v/>
      </c>
      <c r="B392" s="33" t="inlineStr">
        <is>
          <t>S4</t>
        </is>
      </c>
      <c r="C392" s="33" t="inlineStr">
        <is>
          <t>Sémiologie II</t>
        </is>
      </c>
      <c r="D392" s="33" t="inlineStr">
        <is>
          <t>Sémiologie infectieuse</t>
        </is>
      </c>
      <c r="E392" s="33" t="inlineStr">
        <is>
          <t>Les angines</t>
        </is>
      </c>
      <c r="F392" s="18" t="n"/>
      <c r="G392" s="19" t="n"/>
      <c r="H392" s="20">
        <f>IF($G392="",1,IF($G392=0,1,IF($G392=1,3,IF($G392=2,7,IF($G392=3,14,IF($G392=4,30,60))))))</f>
        <v/>
      </c>
      <c r="I392" s="21">
        <f>IF($F392="","",$F392+$H392)</f>
        <v/>
      </c>
      <c r="J392">
        <f>IF($F392="","⚪ NEW",IF($G392&gt;=5,"✅ DONE",IF($I392&lt;TODAY(),"🔴 OVERDUE",IF($I392=TODAY(),"🟢 TODAY",IF($I392=TODAY()+1,"🔵 TOMORROW",IF($I392&lt;=TODAY()+7,"📅 THIS WEEK","⏳ SCHEDULED"))))))</f>
        <v/>
      </c>
      <c r="K392" s="20">
        <f>IF($F392="",999,IF($G392&gt;=5,9999,IF($I392="",999,$I392-TODAY())))</f>
        <v/>
      </c>
    </row>
    <row r="393">
      <c r="A393" s="32">
        <f>ROW()-2</f>
        <v/>
      </c>
      <c r="B393" s="33" t="inlineStr">
        <is>
          <t>S4</t>
        </is>
      </c>
      <c r="C393" s="33" t="inlineStr">
        <is>
          <t>Sémiologie II</t>
        </is>
      </c>
      <c r="D393" s="33" t="inlineStr">
        <is>
          <t>Sémiologie infectieuse</t>
        </is>
      </c>
      <c r="E393" s="33" t="inlineStr">
        <is>
          <t>La fièvre</t>
        </is>
      </c>
      <c r="F393" s="18" t="n"/>
      <c r="G393" s="19" t="n"/>
      <c r="H393" s="20">
        <f>IF($G393="",1,IF($G393=0,1,IF($G393=1,3,IF($G393=2,7,IF($G393=3,14,IF($G393=4,30,60))))))</f>
        <v/>
      </c>
      <c r="I393" s="21">
        <f>IF($F393="","",$F393+$H393)</f>
        <v/>
      </c>
      <c r="J393">
        <f>IF($F393="","⚪ NEW",IF($G393&gt;=5,"✅ DONE",IF($I393&lt;TODAY(),"🔴 OVERDUE",IF($I393=TODAY(),"🟢 TODAY",IF($I393=TODAY()+1,"🔵 TOMORROW",IF($I393&lt;=TODAY()+7,"📅 THIS WEEK","⏳ SCHEDULED"))))))</f>
        <v/>
      </c>
      <c r="K393" s="20">
        <f>IF($F393="",999,IF($G393&gt;=5,9999,IF($I393="",999,$I393-TODAY())))</f>
        <v/>
      </c>
    </row>
    <row r="394">
      <c r="A394" s="32">
        <f>ROW()-2</f>
        <v/>
      </c>
      <c r="B394" s="33" t="inlineStr">
        <is>
          <t>S4</t>
        </is>
      </c>
      <c r="C394" s="33" t="inlineStr">
        <is>
          <t>Sémiologie II</t>
        </is>
      </c>
      <c r="D394" s="33" t="inlineStr">
        <is>
          <t>Sémiologie urologique</t>
        </is>
      </c>
      <c r="E394" s="33" t="inlineStr">
        <is>
          <t>L'examen physique en urologie</t>
        </is>
      </c>
      <c r="F394" s="18" t="n"/>
      <c r="G394" s="19" t="n"/>
      <c r="H394" s="20">
        <f>IF($G394="",1,IF($G394=0,1,IF($G394=1,3,IF($G394=2,7,IF($G394=3,14,IF($G394=4,30,60))))))</f>
        <v/>
      </c>
      <c r="I394" s="21">
        <f>IF($F394="","",$F394+$H394)</f>
        <v/>
      </c>
      <c r="J394">
        <f>IF($F394="","⚪ NEW",IF($G394&gt;=5,"✅ DONE",IF($I394&lt;TODAY(),"🔴 OVERDUE",IF($I394=TODAY(),"🟢 TODAY",IF($I394=TODAY()+1,"🔵 TOMORROW",IF($I394&lt;=TODAY()+7,"📅 THIS WEEK","⏳ SCHEDULED"))))))</f>
        <v/>
      </c>
      <c r="K394" s="20">
        <f>IF($F394="",999,IF($G394&gt;=5,9999,IF($I394="",999,$I394-TODAY())))</f>
        <v/>
      </c>
    </row>
    <row r="395">
      <c r="A395" s="32">
        <f>ROW()-2</f>
        <v/>
      </c>
      <c r="B395" s="33" t="inlineStr">
        <is>
          <t>S4</t>
        </is>
      </c>
      <c r="C395" s="33" t="inlineStr">
        <is>
          <t>Sémiologie II</t>
        </is>
      </c>
      <c r="D395" s="33" t="inlineStr">
        <is>
          <t>Sémiologie urologique</t>
        </is>
      </c>
      <c r="E395" s="33" t="inlineStr">
        <is>
          <t>Les troubles de la miction</t>
        </is>
      </c>
      <c r="F395" s="18" t="n"/>
      <c r="G395" s="19" t="n"/>
      <c r="H395" s="20">
        <f>IF($G395="",1,IF($G395=0,1,IF($G395=1,3,IF($G395=2,7,IF($G395=3,14,IF($G395=4,30,60))))))</f>
        <v/>
      </c>
      <c r="I395" s="21">
        <f>IF($F395="","",$F395+$H395)</f>
        <v/>
      </c>
      <c r="J395">
        <f>IF($F395="","⚪ NEW",IF($G395&gt;=5,"✅ DONE",IF($I395&lt;TODAY(),"🔴 OVERDUE",IF($I395=TODAY(),"🟢 TODAY",IF($I395=TODAY()+1,"🔵 TOMORROW",IF($I395&lt;=TODAY()+7,"📅 THIS WEEK","⏳ SCHEDULED"))))))</f>
        <v/>
      </c>
      <c r="K395" s="20">
        <f>IF($F395="",999,IF($G395&gt;=5,9999,IF($I395="",999,$I395-TODAY())))</f>
        <v/>
      </c>
    </row>
    <row r="396">
      <c r="A396" s="32">
        <f>ROW()-2</f>
        <v/>
      </c>
      <c r="B396" s="33" t="inlineStr">
        <is>
          <t>S4</t>
        </is>
      </c>
      <c r="C396" s="33" t="inlineStr">
        <is>
          <t>Sémiologie II</t>
        </is>
      </c>
      <c r="D396" s="33" t="inlineStr">
        <is>
          <t>Sémiologie urologique</t>
        </is>
      </c>
      <c r="E396" s="33" t="inlineStr">
        <is>
          <t>Les douleurs en urologie</t>
        </is>
      </c>
      <c r="F396" s="18" t="n"/>
      <c r="G396" s="19" t="n"/>
      <c r="H396" s="20">
        <f>IF($G396="",1,IF($G396=0,1,IF($G396=1,3,IF($G396=2,7,IF($G396=3,14,IF($G396=4,30,60))))))</f>
        <v/>
      </c>
      <c r="I396" s="21">
        <f>IF($F396="","",$F396+$H396)</f>
        <v/>
      </c>
      <c r="J396">
        <f>IF($F396="","⚪ NEW",IF($G396&gt;=5,"✅ DONE",IF($I396&lt;TODAY(),"🔴 OVERDUE",IF($I396=TODAY(),"🟢 TODAY",IF($I396=TODAY()+1,"🔵 TOMORROW",IF($I396&lt;=TODAY()+7,"📅 THIS WEEK","⏳ SCHEDULED"))))))</f>
        <v/>
      </c>
      <c r="K396" s="20">
        <f>IF($F396="",999,IF($G396&gt;=5,9999,IF($I396="",999,$I396-TODAY())))</f>
        <v/>
      </c>
    </row>
    <row r="397">
      <c r="A397" s="32">
        <f>ROW()-2</f>
        <v/>
      </c>
      <c r="B397" s="33" t="inlineStr">
        <is>
          <t>S4</t>
        </is>
      </c>
      <c r="C397" s="33" t="inlineStr">
        <is>
          <t>Sémiologie II</t>
        </is>
      </c>
      <c r="D397" s="33" t="inlineStr">
        <is>
          <t>Sémiologie urologique</t>
        </is>
      </c>
      <c r="E397" s="33" t="inlineStr">
        <is>
          <t>Les gros reins</t>
        </is>
      </c>
      <c r="F397" s="18" t="n"/>
      <c r="G397" s="19" t="n"/>
      <c r="H397" s="20">
        <f>IF($G397="",1,IF($G397=0,1,IF($G397=1,3,IF($G397=2,7,IF($G397=3,14,IF($G397=4,30,60))))))</f>
        <v/>
      </c>
      <c r="I397" s="21">
        <f>IF($F397="","",$F397+$H397)</f>
        <v/>
      </c>
      <c r="J397">
        <f>IF($F397="","⚪ NEW",IF($G397&gt;=5,"✅ DONE",IF($I397&lt;TODAY(),"🔴 OVERDUE",IF($I397=TODAY(),"🟢 TODAY",IF($I397=TODAY()+1,"🔵 TOMORROW",IF($I397&lt;=TODAY()+7,"📅 THIS WEEK","⏳ SCHEDULED"))))))</f>
        <v/>
      </c>
      <c r="K397" s="20">
        <f>IF($F397="",999,IF($G397&gt;=5,9999,IF($I397="",999,$I397-TODAY())))</f>
        <v/>
      </c>
    </row>
    <row r="398">
      <c r="A398" s="32">
        <f>ROW()-2</f>
        <v/>
      </c>
      <c r="B398" s="33" t="inlineStr">
        <is>
          <t>S4</t>
        </is>
      </c>
      <c r="C398" s="33" t="inlineStr">
        <is>
          <t>Sémiologie II</t>
        </is>
      </c>
      <c r="D398" s="33" t="inlineStr">
        <is>
          <t>Sémiologie urologique</t>
        </is>
      </c>
      <c r="E398" s="33" t="inlineStr">
        <is>
          <t>Les grosses bourses</t>
        </is>
      </c>
      <c r="F398" s="18" t="n"/>
      <c r="G398" s="19" t="n"/>
      <c r="H398" s="20">
        <f>IF($G398="",1,IF($G398=0,1,IF($G398=1,3,IF($G398=2,7,IF($G398=3,14,IF($G398=4,30,60))))))</f>
        <v/>
      </c>
      <c r="I398" s="21">
        <f>IF($F398="","",$F398+$H398)</f>
        <v/>
      </c>
      <c r="J398">
        <f>IF($F398="","⚪ NEW",IF($G398&gt;=5,"✅ DONE",IF($I398&lt;TODAY(),"🔴 OVERDUE",IF($I398=TODAY(),"🟢 TODAY",IF($I398=TODAY()+1,"🔵 TOMORROW",IF($I398&lt;=TODAY()+7,"📅 THIS WEEK","⏳ SCHEDULED"))))))</f>
        <v/>
      </c>
      <c r="K398" s="20">
        <f>IF($F398="",999,IF($G398&gt;=5,9999,IF($I398="",999,$I398-TODAY())))</f>
        <v/>
      </c>
    </row>
    <row r="399">
      <c r="A399" s="32">
        <f>ROW()-2</f>
        <v/>
      </c>
      <c r="B399" s="33" t="inlineStr">
        <is>
          <t>S4</t>
        </is>
      </c>
      <c r="C399" s="33" t="inlineStr">
        <is>
          <t>Sémiologie II</t>
        </is>
      </c>
      <c r="D399" s="33" t="inlineStr">
        <is>
          <t>Sémiologie urologique</t>
        </is>
      </c>
      <c r="E399" s="33" t="inlineStr">
        <is>
          <t>Les examens complémentaires en urologie</t>
        </is>
      </c>
      <c r="F399" s="18" t="n"/>
      <c r="G399" s="19" t="n"/>
      <c r="H399" s="20">
        <f>IF($G399="",1,IF($G399=0,1,IF($G399=1,3,IF($G399=2,7,IF($G399=3,14,IF($G399=4,30,60))))))</f>
        <v/>
      </c>
      <c r="I399" s="21">
        <f>IF($F399="","",$F399+$H399)</f>
        <v/>
      </c>
      <c r="J399">
        <f>IF($F399="","⚪ NEW",IF($G399&gt;=5,"✅ DONE",IF($I399&lt;TODAY(),"🔴 OVERDUE",IF($I399=TODAY(),"🟢 TODAY",IF($I399=TODAY()+1,"🔵 TOMORROW",IF($I399&lt;=TODAY()+7,"📅 THIS WEEK","⏳ SCHEDULED"))))))</f>
        <v/>
      </c>
      <c r="K399" s="20">
        <f>IF($F399="",999,IF($G399&gt;=5,9999,IF($I399="",999,$I399-TODAY())))</f>
        <v/>
      </c>
    </row>
    <row r="400">
      <c r="A400" s="32">
        <f>ROW()-2</f>
        <v/>
      </c>
      <c r="B400" s="33" t="inlineStr">
        <is>
          <t>S4</t>
        </is>
      </c>
      <c r="C400" s="33" t="inlineStr">
        <is>
          <t>Sémiologie II</t>
        </is>
      </c>
      <c r="D400" s="33" t="inlineStr">
        <is>
          <t>Sémiologie néphrologique</t>
        </is>
      </c>
      <c r="E400" s="33" t="inlineStr">
        <is>
          <t>Introduction à la sémiologie rénale et sédiment urinaire</t>
        </is>
      </c>
      <c r="F400" s="18" t="n"/>
      <c r="G400" s="19" t="n"/>
      <c r="H400" s="20">
        <f>IF($G400="",1,IF($G400=0,1,IF($G400=1,3,IF($G400=2,7,IF($G400=3,14,IF($G400=4,30,60))))))</f>
        <v/>
      </c>
      <c r="I400" s="21">
        <f>IF($F400="","",$F400+$H400)</f>
        <v/>
      </c>
      <c r="J400">
        <f>IF($F400="","⚪ NEW",IF($G400&gt;=5,"✅ DONE",IF($I400&lt;TODAY(),"🔴 OVERDUE",IF($I400=TODAY(),"🟢 TODAY",IF($I400=TODAY()+1,"🔵 TOMORROW",IF($I400&lt;=TODAY()+7,"📅 THIS WEEK","⏳ SCHEDULED"))))))</f>
        <v/>
      </c>
      <c r="K400" s="20">
        <f>IF($F400="",999,IF($G400&gt;=5,9999,IF($I400="",999,$I400-TODAY())))</f>
        <v/>
      </c>
    </row>
    <row r="401">
      <c r="A401" s="32">
        <f>ROW()-2</f>
        <v/>
      </c>
      <c r="B401" s="33" t="inlineStr">
        <is>
          <t>S4</t>
        </is>
      </c>
      <c r="C401" s="33" t="inlineStr">
        <is>
          <t>Sémiologie II</t>
        </is>
      </c>
      <c r="D401" s="33" t="inlineStr">
        <is>
          <t>Sémiologie néphrologique</t>
        </is>
      </c>
      <c r="E401" s="33" t="inlineStr">
        <is>
          <t>La protéinurie</t>
        </is>
      </c>
      <c r="F401" s="18" t="n"/>
      <c r="G401" s="19" t="n"/>
      <c r="H401" s="20">
        <f>IF($G401="",1,IF($G401=0,1,IF($G401=1,3,IF($G401=2,7,IF($G401=3,14,IF($G401=4,30,60))))))</f>
        <v/>
      </c>
      <c r="I401" s="21">
        <f>IF($F401="","",$F401+$H401)</f>
        <v/>
      </c>
      <c r="J401">
        <f>IF($F401="","⚪ NEW",IF($G401&gt;=5,"✅ DONE",IF($I401&lt;TODAY(),"🔴 OVERDUE",IF($I401=TODAY(),"🟢 TODAY",IF($I401=TODAY()+1,"🔵 TOMORROW",IF($I401&lt;=TODAY()+7,"📅 THIS WEEK","⏳ SCHEDULED"))))))</f>
        <v/>
      </c>
      <c r="K401" s="20">
        <f>IF($F401="",999,IF($G401&gt;=5,9999,IF($I401="",999,$I401-TODAY())))</f>
        <v/>
      </c>
    </row>
    <row r="402">
      <c r="A402" s="32">
        <f>ROW()-2</f>
        <v/>
      </c>
      <c r="B402" s="33" t="inlineStr">
        <is>
          <t>S4</t>
        </is>
      </c>
      <c r="C402" s="33" t="inlineStr">
        <is>
          <t>Sémiologie II</t>
        </is>
      </c>
      <c r="D402" s="33" t="inlineStr">
        <is>
          <t>Sémiologie néphrologique</t>
        </is>
      </c>
      <c r="E402" s="33" t="inlineStr">
        <is>
          <t>Classification des maladies rénales</t>
        </is>
      </c>
      <c r="F402" s="18" t="n"/>
      <c r="G402" s="19" t="n"/>
      <c r="H402" s="20">
        <f>IF($G402="",1,IF($G402=0,1,IF($G402=1,3,IF($G402=2,7,IF($G402=3,14,IF($G402=4,30,60))))))</f>
        <v/>
      </c>
      <c r="I402" s="21">
        <f>IF($F402="","",$F402+$H402)</f>
        <v/>
      </c>
      <c r="J402">
        <f>IF($F402="","⚪ NEW",IF($G402&gt;=5,"✅ DONE",IF($I402&lt;TODAY(),"🔴 OVERDUE",IF($I402=TODAY(),"🟢 TODAY",IF($I402=TODAY()+1,"🔵 TOMORROW",IF($I402&lt;=TODAY()+7,"📅 THIS WEEK","⏳ SCHEDULED"))))))</f>
        <v/>
      </c>
      <c r="K402" s="20">
        <f>IF($F402="",999,IF($G402&gt;=5,9999,IF($I402="",999,$I402-TODAY())))</f>
        <v/>
      </c>
    </row>
    <row r="403">
      <c r="A403" s="32">
        <f>ROW()-2</f>
        <v/>
      </c>
      <c r="B403" s="33" t="inlineStr">
        <is>
          <t>S4</t>
        </is>
      </c>
      <c r="C403" s="33" t="inlineStr">
        <is>
          <t>Sémiologie II</t>
        </is>
      </c>
      <c r="D403" s="33" t="inlineStr">
        <is>
          <t>Sémiologie néphrologique</t>
        </is>
      </c>
      <c r="E403" s="33" t="inlineStr">
        <is>
          <t>Sémiologie des insuffisances rénales</t>
        </is>
      </c>
      <c r="F403" s="18" t="n"/>
      <c r="G403" s="19" t="n"/>
      <c r="H403" s="20">
        <f>IF($G403="",1,IF($G403=0,1,IF($G403=1,3,IF($G403=2,7,IF($G403=3,14,IF($G403=4,30,60))))))</f>
        <v/>
      </c>
      <c r="I403" s="21">
        <f>IF($F403="","",$F403+$H403)</f>
        <v/>
      </c>
      <c r="J403">
        <f>IF($F403="","⚪ NEW",IF($G403&gt;=5,"✅ DONE",IF($I403&lt;TODAY(),"🔴 OVERDUE",IF($I403=TODAY(),"🟢 TODAY",IF($I403=TODAY()+1,"🔵 TOMORROW",IF($I403&lt;=TODAY()+7,"📅 THIS WEEK","⏳ SCHEDULED"))))))</f>
        <v/>
      </c>
      <c r="K403" s="20">
        <f>IF($F403="",999,IF($G403&gt;=5,9999,IF($I403="",999,$I403-TODAY())))</f>
        <v/>
      </c>
    </row>
    <row r="404">
      <c r="A404" s="32">
        <f>ROW()-2</f>
        <v/>
      </c>
      <c r="B404" s="33" t="inlineStr">
        <is>
          <t>S4</t>
        </is>
      </c>
      <c r="C404" s="33" t="inlineStr">
        <is>
          <t>Sémiologie II</t>
        </is>
      </c>
      <c r="D404" s="33" t="inlineStr">
        <is>
          <t>Sémiologie endocrinienne</t>
        </is>
      </c>
      <c r="E404" s="33" t="inlineStr">
        <is>
          <t>Généralités et sémiologie du diabète</t>
        </is>
      </c>
      <c r="F404" s="18" t="n"/>
      <c r="G404" s="19" t="n"/>
      <c r="H404" s="20">
        <f>IF($G404="",1,IF($G404=0,1,IF($G404=1,3,IF($G404=2,7,IF($G404=3,14,IF($G404=4,30,60))))))</f>
        <v/>
      </c>
      <c r="I404" s="21">
        <f>IF($F404="","",$F404+$H404)</f>
        <v/>
      </c>
      <c r="J404">
        <f>IF($F404="","⚪ NEW",IF($G404&gt;=5,"✅ DONE",IF($I404&lt;TODAY(),"🔴 OVERDUE",IF($I404=TODAY(),"🟢 TODAY",IF($I404=TODAY()+1,"🔵 TOMORROW",IF($I404&lt;=TODAY()+7,"📅 THIS WEEK","⏳ SCHEDULED"))))))</f>
        <v/>
      </c>
      <c r="K404" s="20">
        <f>IF($F404="",999,IF($G404&gt;=5,9999,IF($I404="",999,$I404-TODAY())))</f>
        <v/>
      </c>
    </row>
    <row r="405">
      <c r="A405" s="32">
        <f>ROW()-2</f>
        <v/>
      </c>
      <c r="B405" s="33" t="inlineStr">
        <is>
          <t>S4</t>
        </is>
      </c>
      <c r="C405" s="33" t="inlineStr">
        <is>
          <t>Sémiologie II</t>
        </is>
      </c>
      <c r="D405" s="33" t="inlineStr">
        <is>
          <t>Sémiologie endocrinienne</t>
        </is>
      </c>
      <c r="E405" s="33" t="inlineStr">
        <is>
          <t>Sémiologie thyroïdienne</t>
        </is>
      </c>
      <c r="F405" s="18" t="n"/>
      <c r="G405" s="19" t="n"/>
      <c r="H405" s="20">
        <f>IF($G405="",1,IF($G405=0,1,IF($G405=1,3,IF($G405=2,7,IF($G405=3,14,IF($G405=4,30,60))))))</f>
        <v/>
      </c>
      <c r="I405" s="21">
        <f>IF($F405="","",$F405+$H405)</f>
        <v/>
      </c>
      <c r="J405">
        <f>IF($F405="","⚪ NEW",IF($G405&gt;=5,"✅ DONE",IF($I405&lt;TODAY(),"🔴 OVERDUE",IF($I405=TODAY(),"🟢 TODAY",IF($I405=TODAY()+1,"🔵 TOMORROW",IF($I405&lt;=TODAY()+7,"📅 THIS WEEK","⏳ SCHEDULED"))))))</f>
        <v/>
      </c>
      <c r="K405" s="20">
        <f>IF($F405="",999,IF($G405&gt;=5,9999,IF($I405="",999,$I405-TODAY())))</f>
        <v/>
      </c>
    </row>
    <row r="406">
      <c r="A406" s="32">
        <f>ROW()-2</f>
        <v/>
      </c>
      <c r="B406" s="33" t="inlineStr">
        <is>
          <t>S4</t>
        </is>
      </c>
      <c r="C406" s="33" t="inlineStr">
        <is>
          <t>Sémiologie II</t>
        </is>
      </c>
      <c r="D406" s="33" t="inlineStr">
        <is>
          <t>Sémiologie endocrinienne</t>
        </is>
      </c>
      <c r="E406" s="33" t="inlineStr">
        <is>
          <t>Sémiologie de la surrénale</t>
        </is>
      </c>
      <c r="F406" s="18" t="n"/>
      <c r="G406" s="19" t="n"/>
      <c r="H406" s="20">
        <f>IF($G406="",1,IF($G406=0,1,IF($G406=1,3,IF($G406=2,7,IF($G406=3,14,IF($G406=4,30,60))))))</f>
        <v/>
      </c>
      <c r="I406" s="21">
        <f>IF($F406="","",$F406+$H406)</f>
        <v/>
      </c>
      <c r="J406">
        <f>IF($F406="","⚪ NEW",IF($G406&gt;=5,"✅ DONE",IF($I406&lt;TODAY(),"🔴 OVERDUE",IF($I406=TODAY(),"🟢 TODAY",IF($I406=TODAY()+1,"🔵 TOMORROW",IF($I406&lt;=TODAY()+7,"📅 THIS WEEK","⏳ SCHEDULED"))))))</f>
        <v/>
      </c>
      <c r="K406" s="20">
        <f>IF($F406="",999,IF($G406&gt;=5,9999,IF($I406="",999,$I406-TODAY())))</f>
        <v/>
      </c>
    </row>
    <row r="407">
      <c r="A407" s="32">
        <f>ROW()-2</f>
        <v/>
      </c>
      <c r="B407" s="33" t="inlineStr">
        <is>
          <t>S4</t>
        </is>
      </c>
      <c r="C407" s="33" t="inlineStr">
        <is>
          <t>Sémiologie II</t>
        </is>
      </c>
      <c r="D407" s="33" t="inlineStr">
        <is>
          <t>Sémiologie endocrinienne</t>
        </is>
      </c>
      <c r="E407" s="33" t="inlineStr">
        <is>
          <t>Sémiologie hypothalamo-hypophysaire</t>
        </is>
      </c>
      <c r="F407" s="18" t="n"/>
      <c r="G407" s="19" t="n"/>
      <c r="H407" s="20">
        <f>IF($G407="",1,IF($G407=0,1,IF($G407=1,3,IF($G407=2,7,IF($G407=3,14,IF($G407=4,30,60))))))</f>
        <v/>
      </c>
      <c r="I407" s="21">
        <f>IF($F407="","",$F407+$H407)</f>
        <v/>
      </c>
      <c r="J407">
        <f>IF($F407="","⚪ NEW",IF($G407&gt;=5,"✅ DONE",IF($I407&lt;TODAY(),"🔴 OVERDUE",IF($I407=TODAY(),"🟢 TODAY",IF($I407=TODAY()+1,"🔵 TOMORROW",IF($I407&lt;=TODAY()+7,"📅 THIS WEEK","⏳ SCHEDULED"))))))</f>
        <v/>
      </c>
      <c r="K407" s="20">
        <f>IF($F407="",999,IF($G407&gt;=5,9999,IF($I407="",999,$I407-TODAY())))</f>
        <v/>
      </c>
    </row>
    <row r="408">
      <c r="A408" s="32">
        <f>ROW()-2</f>
        <v/>
      </c>
      <c r="B408" s="33" t="inlineStr">
        <is>
          <t>S4</t>
        </is>
      </c>
      <c r="C408" s="33" t="inlineStr">
        <is>
          <t>Sémiologie II</t>
        </is>
      </c>
      <c r="D408" s="33" t="inlineStr">
        <is>
          <t>Sémiologie ophtalmologique</t>
        </is>
      </c>
      <c r="E408" s="33" t="inlineStr">
        <is>
          <t>Sémiologie ophtalmologique</t>
        </is>
      </c>
      <c r="F408" s="18" t="n"/>
      <c r="G408" s="19" t="n"/>
      <c r="H408" s="20">
        <f>IF($G408="",1,IF($G408=0,1,IF($G408=1,3,IF($G408=2,7,IF($G408=3,14,IF($G408=4,30,60))))))</f>
        <v/>
      </c>
      <c r="I408" s="21">
        <f>IF($F408="","",$F408+$H408)</f>
        <v/>
      </c>
      <c r="J408">
        <f>IF($F408="","⚪ NEW",IF($G408&gt;=5,"✅ DONE",IF($I408&lt;TODAY(),"🔴 OVERDUE",IF($I408=TODAY(),"🟢 TODAY",IF($I408=TODAY()+1,"🔵 TOMORROW",IF($I408&lt;=TODAY()+7,"📅 THIS WEEK","⏳ SCHEDULED"))))))</f>
        <v/>
      </c>
      <c r="K408" s="20">
        <f>IF($F408="",999,IF($G408&gt;=5,9999,IF($I408="",999,$I408-TODAY())))</f>
        <v/>
      </c>
    </row>
    <row r="409">
      <c r="A409" s="32">
        <f>ROW()-2</f>
        <v/>
      </c>
      <c r="B409" s="33" t="inlineStr">
        <is>
          <t>S4</t>
        </is>
      </c>
      <c r="C409" s="33" t="inlineStr">
        <is>
          <t>Sémiologie II</t>
        </is>
      </c>
      <c r="D409" s="33" t="inlineStr">
        <is>
          <t>Sémiologie ORL</t>
        </is>
      </c>
      <c r="E409" s="33" t="inlineStr">
        <is>
          <t>Les surdités</t>
        </is>
      </c>
      <c r="F409" s="18" t="n"/>
      <c r="G409" s="19" t="n"/>
      <c r="H409" s="20">
        <f>IF($G409="",1,IF($G409=0,1,IF($G409=1,3,IF($G409=2,7,IF($G409=3,14,IF($G409=4,30,60))))))</f>
        <v/>
      </c>
      <c r="I409" s="21">
        <f>IF($F409="","",$F409+$H409)</f>
        <v/>
      </c>
      <c r="J409">
        <f>IF($F409="","⚪ NEW",IF($G409&gt;=5,"✅ DONE",IF($I409&lt;TODAY(),"🔴 OVERDUE",IF($I409=TODAY(),"🟢 TODAY",IF($I409=TODAY()+1,"🔵 TOMORROW",IF($I409&lt;=TODAY()+7,"📅 THIS WEEK","⏳ SCHEDULED"))))))</f>
        <v/>
      </c>
      <c r="K409" s="20">
        <f>IF($F409="",999,IF($G409&gt;=5,9999,IF($I409="",999,$I409-TODAY())))</f>
        <v/>
      </c>
    </row>
    <row r="410">
      <c r="A410" s="32">
        <f>ROW()-2</f>
        <v/>
      </c>
      <c r="B410" s="33" t="inlineStr">
        <is>
          <t>S4</t>
        </is>
      </c>
      <c r="C410" s="33" t="inlineStr">
        <is>
          <t>Sémiologie II</t>
        </is>
      </c>
      <c r="D410" s="33" t="inlineStr">
        <is>
          <t>Sémiologie ORL</t>
        </is>
      </c>
      <c r="E410" s="33" t="inlineStr">
        <is>
          <t>Les otalgies</t>
        </is>
      </c>
      <c r="F410" s="18" t="n"/>
      <c r="G410" s="19" t="n"/>
      <c r="H410" s="20">
        <f>IF($G410="",1,IF($G410=0,1,IF($G410=1,3,IF($G410=2,7,IF($G410=3,14,IF($G410=4,30,60))))))</f>
        <v/>
      </c>
      <c r="I410" s="21">
        <f>IF($F410="","",$F410+$H410)</f>
        <v/>
      </c>
      <c r="J410">
        <f>IF($F410="","⚪ NEW",IF($G410&gt;=5,"✅ DONE",IF($I410&lt;TODAY(),"🔴 OVERDUE",IF($I410=TODAY(),"🟢 TODAY",IF($I410=TODAY()+1,"🔵 TOMORROW",IF($I410&lt;=TODAY()+7,"📅 THIS WEEK","⏳ SCHEDULED"))))))</f>
        <v/>
      </c>
      <c r="K410" s="20">
        <f>IF($F410="",999,IF($G410&gt;=5,9999,IF($I410="",999,$I410-TODAY())))</f>
        <v/>
      </c>
    </row>
    <row r="411">
      <c r="A411" s="32">
        <f>ROW()-2</f>
        <v/>
      </c>
      <c r="B411" s="33" t="inlineStr">
        <is>
          <t>S4</t>
        </is>
      </c>
      <c r="C411" s="33" t="inlineStr">
        <is>
          <t>Sémiologie II</t>
        </is>
      </c>
      <c r="D411" s="33" t="inlineStr">
        <is>
          <t>Sémiologie ORL</t>
        </is>
      </c>
      <c r="E411" s="33" t="inlineStr">
        <is>
          <t>Les otorrhées</t>
        </is>
      </c>
      <c r="F411" s="18" t="n"/>
      <c r="G411" s="19" t="n"/>
      <c r="H411" s="20">
        <f>IF($G411="",1,IF($G411=0,1,IF($G411=1,3,IF($G411=2,7,IF($G411=3,14,IF($G411=4,30,60))))))</f>
        <v/>
      </c>
      <c r="I411" s="21">
        <f>IF($F411="","",$F411+$H411)</f>
        <v/>
      </c>
      <c r="J411">
        <f>IF($F411="","⚪ NEW",IF($G411&gt;=5,"✅ DONE",IF($I411&lt;TODAY(),"🔴 OVERDUE",IF($I411=TODAY(),"🟢 TODAY",IF($I411=TODAY()+1,"🔵 TOMORROW",IF($I411&lt;=TODAY()+7,"📅 THIS WEEK","⏳ SCHEDULED"))))))</f>
        <v/>
      </c>
      <c r="K411" s="20">
        <f>IF($F411="",999,IF($G411&gt;=5,9999,IF($I411="",999,$I411-TODAY())))</f>
        <v/>
      </c>
    </row>
    <row r="412">
      <c r="A412" s="32">
        <f>ROW()-2</f>
        <v/>
      </c>
      <c r="B412" s="33" t="inlineStr">
        <is>
          <t>S4</t>
        </is>
      </c>
      <c r="C412" s="33" t="inlineStr">
        <is>
          <t>Sémiologie II</t>
        </is>
      </c>
      <c r="D412" s="33" t="inlineStr">
        <is>
          <t>Sémiologie ORL</t>
        </is>
      </c>
      <c r="E412" s="33" t="inlineStr">
        <is>
          <t>Les vertiges</t>
        </is>
      </c>
      <c r="F412" s="18" t="n"/>
      <c r="G412" s="19" t="n"/>
      <c r="H412" s="20">
        <f>IF($G412="",1,IF($G412=0,1,IF($G412=1,3,IF($G412=2,7,IF($G412=3,14,IF($G412=4,30,60))))))</f>
        <v/>
      </c>
      <c r="I412" s="21">
        <f>IF($F412="","",$F412+$H412)</f>
        <v/>
      </c>
      <c r="J412">
        <f>IF($F412="","⚪ NEW",IF($G412&gt;=5,"✅ DONE",IF($I412&lt;TODAY(),"🔴 OVERDUE",IF($I412=TODAY(),"🟢 TODAY",IF($I412=TODAY()+1,"🔵 TOMORROW",IF($I412&lt;=TODAY()+7,"📅 THIS WEEK","⏳ SCHEDULED"))))))</f>
        <v/>
      </c>
      <c r="K412" s="20">
        <f>IF($F412="",999,IF($G412&gt;=5,9999,IF($I412="",999,$I412-TODAY())))</f>
        <v/>
      </c>
    </row>
    <row r="413">
      <c r="A413" s="32">
        <f>ROW()-2</f>
        <v/>
      </c>
      <c r="B413" s="33" t="inlineStr">
        <is>
          <t>S4</t>
        </is>
      </c>
      <c r="C413" s="33" t="inlineStr">
        <is>
          <t>Sémiologie II</t>
        </is>
      </c>
      <c r="D413" s="33" t="inlineStr">
        <is>
          <t>Sémiologie ORL</t>
        </is>
      </c>
      <c r="E413" s="33" t="inlineStr">
        <is>
          <t>Les rhinorrhées</t>
        </is>
      </c>
      <c r="F413" s="18" t="n"/>
      <c r="G413" s="19" t="n"/>
      <c r="H413" s="20">
        <f>IF($G413="",1,IF($G413=0,1,IF($G413=1,3,IF($G413=2,7,IF($G413=3,14,IF($G413=4,30,60))))))</f>
        <v/>
      </c>
      <c r="I413" s="21">
        <f>IF($F413="","",$F413+$H413)</f>
        <v/>
      </c>
      <c r="J413">
        <f>IF($F413="","⚪ NEW",IF($G413&gt;=5,"✅ DONE",IF($I413&lt;TODAY(),"🔴 OVERDUE",IF($I413=TODAY(),"🟢 TODAY",IF($I413=TODAY()+1,"🔵 TOMORROW",IF($I413&lt;=TODAY()+7,"📅 THIS WEEK","⏳ SCHEDULED"))))))</f>
        <v/>
      </c>
      <c r="K413" s="20">
        <f>IF($F413="",999,IF($G413&gt;=5,9999,IF($I413="",999,$I413-TODAY())))</f>
        <v/>
      </c>
    </row>
    <row r="414">
      <c r="A414" s="32">
        <f>ROW()-2</f>
        <v/>
      </c>
      <c r="B414" s="33" t="inlineStr">
        <is>
          <t>S4</t>
        </is>
      </c>
      <c r="C414" s="33" t="inlineStr">
        <is>
          <t>Sémiologie II</t>
        </is>
      </c>
      <c r="D414" s="33" t="inlineStr">
        <is>
          <t>Sémiologie ORL</t>
        </is>
      </c>
      <c r="E414" s="33" t="inlineStr">
        <is>
          <t>L'obstruction nasale</t>
        </is>
      </c>
      <c r="F414" s="18" t="n"/>
      <c r="G414" s="19" t="n"/>
      <c r="H414" s="20">
        <f>IF($G414="",1,IF($G414=0,1,IF($G414=1,3,IF($G414=2,7,IF($G414=3,14,IF($G414=4,30,60))))))</f>
        <v/>
      </c>
      <c r="I414" s="21">
        <f>IF($F414="","",$F414+$H414)</f>
        <v/>
      </c>
      <c r="J414">
        <f>IF($F414="","⚪ NEW",IF($G414&gt;=5,"✅ DONE",IF($I414&lt;TODAY(),"🔴 OVERDUE",IF($I414=TODAY(),"🟢 TODAY",IF($I414=TODAY()+1,"🔵 TOMORROW",IF($I414&lt;=TODAY()+7,"📅 THIS WEEK","⏳ SCHEDULED"))))))</f>
        <v/>
      </c>
      <c r="K414" s="20">
        <f>IF($F414="",999,IF($G414&gt;=5,9999,IF($I414="",999,$I414-TODAY())))</f>
        <v/>
      </c>
    </row>
    <row r="415">
      <c r="A415" s="32">
        <f>ROW()-2</f>
        <v/>
      </c>
      <c r="B415" s="33" t="inlineStr">
        <is>
          <t>S4</t>
        </is>
      </c>
      <c r="C415" s="33" t="inlineStr">
        <is>
          <t>Sémiologie II</t>
        </is>
      </c>
      <c r="D415" s="33" t="inlineStr">
        <is>
          <t>Sémiologie ORL</t>
        </is>
      </c>
      <c r="E415" s="33" t="inlineStr">
        <is>
          <t>Dysphonies</t>
        </is>
      </c>
      <c r="F415" s="18" t="n"/>
      <c r="G415" s="19" t="n"/>
      <c r="H415" s="20">
        <f>IF($G415="",1,IF($G415=0,1,IF($G415=1,3,IF($G415=2,7,IF($G415=3,14,IF($G415=4,30,60))))))</f>
        <v/>
      </c>
      <c r="I415" s="21">
        <f>IF($F415="","",$F415+$H415)</f>
        <v/>
      </c>
      <c r="J415">
        <f>IF($F415="","⚪ NEW",IF($G415&gt;=5,"✅ DONE",IF($I415&lt;TODAY(),"🔴 OVERDUE",IF($I415=TODAY(),"🟢 TODAY",IF($I415=TODAY()+1,"🔵 TOMORROW",IF($I415&lt;=TODAY()+7,"📅 THIS WEEK","⏳ SCHEDULED"))))))</f>
        <v/>
      </c>
      <c r="K415" s="20">
        <f>IF($F415="",999,IF($G415&gt;=5,9999,IF($I415="",999,$I415-TODAY())))</f>
        <v/>
      </c>
    </row>
    <row r="416">
      <c r="A416" s="32">
        <f>ROW()-2</f>
        <v/>
      </c>
      <c r="B416" s="33" t="inlineStr">
        <is>
          <t>S4</t>
        </is>
      </c>
      <c r="C416" s="33" t="inlineStr">
        <is>
          <t>Sémiologie II</t>
        </is>
      </c>
      <c r="D416" s="33" t="inlineStr">
        <is>
          <t>Sémiologie maxillo-faciale</t>
        </is>
      </c>
      <c r="E416" s="33" t="inlineStr">
        <is>
          <t>Sémiologie maxillo-faciale</t>
        </is>
      </c>
      <c r="F416" s="18" t="n"/>
      <c r="G416" s="19" t="n"/>
      <c r="H416" s="20">
        <f>IF($G416="",1,IF($G416=0,1,IF($G416=1,3,IF($G416=2,7,IF($G416=3,14,IF($G416=4,30,60))))))</f>
        <v/>
      </c>
      <c r="I416" s="21">
        <f>IF($F416="","",$F416+$H416)</f>
        <v/>
      </c>
      <c r="J416">
        <f>IF($F416="","⚪ NEW",IF($G416&gt;=5,"✅ DONE",IF($I416&lt;TODAY(),"🔴 OVERDUE",IF($I416=TODAY(),"🟢 TODAY",IF($I416=TODAY()+1,"🔵 TOMORROW",IF($I416&lt;=TODAY()+7,"📅 THIS WEEK","⏳ SCHEDULED"))))))</f>
        <v/>
      </c>
      <c r="K416" s="20">
        <f>IF($F416="",999,IF($G416&gt;=5,9999,IF($I416="",999,$I416-TODAY())))</f>
        <v/>
      </c>
    </row>
    <row r="417">
      <c r="A417" s="32">
        <f>ROW()-2</f>
        <v/>
      </c>
      <c r="B417" s="33" t="inlineStr">
        <is>
          <t>S4</t>
        </is>
      </c>
      <c r="C417" s="33" t="inlineStr">
        <is>
          <t>Sémiologie II</t>
        </is>
      </c>
      <c r="D417" s="33" t="inlineStr">
        <is>
          <t>Sémiologie neurologique</t>
        </is>
      </c>
      <c r="E417" s="33" t="inlineStr">
        <is>
          <t>Examen neurologique</t>
        </is>
      </c>
      <c r="F417" s="18" t="n"/>
      <c r="G417" s="19" t="n"/>
      <c r="H417" s="20">
        <f>IF($G417="",1,IF($G417=0,1,IF($G417=1,3,IF($G417=2,7,IF($G417=3,14,IF($G417=4,30,60))))))</f>
        <v/>
      </c>
      <c r="I417" s="21">
        <f>IF($F417="","",$F417+$H417)</f>
        <v/>
      </c>
      <c r="J417">
        <f>IF($F417="","⚪ NEW",IF($G417&gt;=5,"✅ DONE",IF($I417&lt;TODAY(),"🔴 OVERDUE",IF($I417=TODAY(),"🟢 TODAY",IF($I417=TODAY()+1,"🔵 TOMORROW",IF($I417&lt;=TODAY()+7,"📅 THIS WEEK","⏳ SCHEDULED"))))))</f>
        <v/>
      </c>
      <c r="K417" s="20">
        <f>IF($F417="",999,IF($G417&gt;=5,9999,IF($I417="",999,$I417-TODAY())))</f>
        <v/>
      </c>
    </row>
    <row r="418">
      <c r="A418" s="32">
        <f>ROW()-2</f>
        <v/>
      </c>
      <c r="B418" s="33" t="inlineStr">
        <is>
          <t>S4</t>
        </is>
      </c>
      <c r="C418" s="33" t="inlineStr">
        <is>
          <t>Sémiologie II</t>
        </is>
      </c>
      <c r="D418" s="33" t="inlineStr">
        <is>
          <t>Sémiologie neurologique</t>
        </is>
      </c>
      <c r="E418" s="33" t="inlineStr">
        <is>
          <t>Les principaux syndromes en neurologie et neurochirurgie</t>
        </is>
      </c>
      <c r="F418" s="18" t="n"/>
      <c r="G418" s="19" t="n"/>
      <c r="H418" s="20">
        <f>IF($G418="",1,IF($G418=0,1,IF($G418=1,3,IF($G418=2,7,IF($G418=3,14,IF($G418=4,30,60))))))</f>
        <v/>
      </c>
      <c r="I418" s="21">
        <f>IF($F418="","",$F418+$H418)</f>
        <v/>
      </c>
      <c r="J418">
        <f>IF($F418="","⚪ NEW",IF($G418&gt;=5,"✅ DONE",IF($I418&lt;TODAY(),"🔴 OVERDUE",IF($I418=TODAY(),"🟢 TODAY",IF($I418=TODAY()+1,"🔵 TOMORROW",IF($I418&lt;=TODAY()+7,"📅 THIS WEEK","⏳ SCHEDULED"))))))</f>
        <v/>
      </c>
      <c r="K418" s="20">
        <f>IF($F418="",999,IF($G418&gt;=5,9999,IF($I418="",999,$I418-TODAY())))</f>
        <v/>
      </c>
    </row>
    <row r="419">
      <c r="A419" s="32">
        <f>ROW()-2</f>
        <v/>
      </c>
      <c r="B419" s="33" t="inlineStr">
        <is>
          <t>S4</t>
        </is>
      </c>
      <c r="C419" s="33" t="inlineStr">
        <is>
          <t>Sémiologie II</t>
        </is>
      </c>
      <c r="D419" s="33" t="inlineStr">
        <is>
          <t>Sémiologie neurologique</t>
        </is>
      </c>
      <c r="E419" s="33" t="inlineStr">
        <is>
          <t>Sémiologie des vertiges et des troubles de l'équilibre</t>
        </is>
      </c>
      <c r="F419" s="18" t="n"/>
      <c r="G419" s="19" t="n"/>
      <c r="H419" s="20">
        <f>IF($G419="",1,IF($G419=0,1,IF($G419=1,3,IF($G419=2,7,IF($G419=3,14,IF($G419=4,30,60))))))</f>
        <v/>
      </c>
      <c r="I419" s="21">
        <f>IF($F419="","",$F419+$H419)</f>
        <v/>
      </c>
      <c r="J419">
        <f>IF($F419="","⚪ NEW",IF($G419&gt;=5,"✅ DONE",IF($I419&lt;TODAY(),"🔴 OVERDUE",IF($I419=TODAY(),"🟢 TODAY",IF($I419=TODAY()+1,"🔵 TOMORROW",IF($I419&lt;=TODAY()+7,"📅 THIS WEEK","⏳ SCHEDULED"))))))</f>
        <v/>
      </c>
      <c r="K419" s="20">
        <f>IF($F419="",999,IF($G419&gt;=5,9999,IF($I419="",999,$I419-TODAY())))</f>
        <v/>
      </c>
    </row>
    <row r="420">
      <c r="A420" s="32">
        <f>ROW()-2</f>
        <v/>
      </c>
      <c r="B420" s="33" t="inlineStr">
        <is>
          <t>S4</t>
        </is>
      </c>
      <c r="C420" s="33" t="inlineStr">
        <is>
          <t>Sémiologie II</t>
        </is>
      </c>
      <c r="D420" s="33" t="inlineStr">
        <is>
          <t>Sémiologie neurologique</t>
        </is>
      </c>
      <c r="E420" s="33" t="inlineStr">
        <is>
          <t>Sémiologie des épilepsies</t>
        </is>
      </c>
      <c r="F420" s="18" t="n"/>
      <c r="G420" s="19" t="n"/>
      <c r="H420" s="20">
        <f>IF($G420="",1,IF($G420=0,1,IF($G420=1,3,IF($G420=2,7,IF($G420=3,14,IF($G420=4,30,60))))))</f>
        <v/>
      </c>
      <c r="I420" s="21">
        <f>IF($F420="","",$F420+$H420)</f>
        <v/>
      </c>
      <c r="J420">
        <f>IF($F420="","⚪ NEW",IF($G420&gt;=5,"✅ DONE",IF($I420&lt;TODAY(),"🔴 OVERDUE",IF($I420=TODAY(),"🟢 TODAY",IF($I420=TODAY()+1,"🔵 TOMORROW",IF($I420&lt;=TODAY()+7,"📅 THIS WEEK","⏳ SCHEDULED"))))))</f>
        <v/>
      </c>
      <c r="K420" s="20">
        <f>IF($F420="",999,IF($G420&gt;=5,9999,IF($I420="",999,$I420-TODAY())))</f>
        <v/>
      </c>
    </row>
    <row r="421">
      <c r="A421" s="32">
        <f>ROW()-2</f>
        <v/>
      </c>
      <c r="B421" s="33" t="inlineStr">
        <is>
          <t>S4</t>
        </is>
      </c>
      <c r="C421" s="33" t="inlineStr">
        <is>
          <t>Sémiologie II</t>
        </is>
      </c>
      <c r="D421" s="33" t="inlineStr">
        <is>
          <t>Sémiologie neurologique</t>
        </is>
      </c>
      <c r="E421" s="33" t="inlineStr">
        <is>
          <t>Le syndrome d'hypertension intracrânienne</t>
        </is>
      </c>
      <c r="F421" s="18" t="n"/>
      <c r="G421" s="19" t="n"/>
      <c r="H421" s="20">
        <f>IF($G421="",1,IF($G421=0,1,IF($G421=1,3,IF($G421=2,7,IF($G421=3,14,IF($G421=4,30,60))))))</f>
        <v/>
      </c>
      <c r="I421" s="21">
        <f>IF($F421="","",$F421+$H421)</f>
        <v/>
      </c>
      <c r="J421">
        <f>IF($F421="","⚪ NEW",IF($G421&gt;=5,"✅ DONE",IF($I421&lt;TODAY(),"🔴 OVERDUE",IF($I421=TODAY(),"🟢 TODAY",IF($I421=TODAY()+1,"🔵 TOMORROW",IF($I421&lt;=TODAY()+7,"📅 THIS WEEK","⏳ SCHEDULED"))))))</f>
        <v/>
      </c>
      <c r="K421" s="20">
        <f>IF($F421="",999,IF($G421&gt;=5,9999,IF($I421="",999,$I421-TODAY())))</f>
        <v/>
      </c>
    </row>
    <row r="422">
      <c r="A422" s="32">
        <f>ROW()-2</f>
        <v/>
      </c>
      <c r="B422" s="33" t="inlineStr">
        <is>
          <t>S4</t>
        </is>
      </c>
      <c r="C422" s="33" t="inlineStr">
        <is>
          <t>Sémiologie II</t>
        </is>
      </c>
      <c r="D422" s="33" t="inlineStr">
        <is>
          <t>Sémiologie neurologique</t>
        </is>
      </c>
      <c r="E422" s="33" t="inlineStr">
        <is>
          <t>Les comas : orientation diagnostique</t>
        </is>
      </c>
      <c r="F422" s="18" t="n"/>
      <c r="G422" s="19" t="n"/>
      <c r="H422" s="20">
        <f>IF($G422="",1,IF($G422=0,1,IF($G422=1,3,IF($G422=2,7,IF($G422=3,14,IF($G422=4,30,60))))))</f>
        <v/>
      </c>
      <c r="I422" s="21">
        <f>IF($F422="","",$F422+$H422)</f>
        <v/>
      </c>
      <c r="J422">
        <f>IF($F422="","⚪ NEW",IF($G422&gt;=5,"✅ DONE",IF($I422&lt;TODAY(),"🔴 OVERDUE",IF($I422=TODAY(),"🟢 TODAY",IF($I422=TODAY()+1,"🔵 TOMORROW",IF($I422&lt;=TODAY()+7,"📅 THIS WEEK","⏳ SCHEDULED"))))))</f>
        <v/>
      </c>
      <c r="K422" s="20">
        <f>IF($F422="",999,IF($G422&gt;=5,9999,IF($I422="",999,$I422-TODAY())))</f>
        <v/>
      </c>
    </row>
    <row r="423">
      <c r="A423" s="32">
        <f>ROW()-2</f>
        <v/>
      </c>
      <c r="B423" s="33" t="inlineStr">
        <is>
          <t>S4</t>
        </is>
      </c>
      <c r="C423" s="33" t="inlineStr">
        <is>
          <t>Sémiologie II</t>
        </is>
      </c>
      <c r="D423" s="33" t="inlineStr">
        <is>
          <t>Sémiologie neurologique</t>
        </is>
      </c>
      <c r="E423" s="33" t="inlineStr">
        <is>
          <t>Les troubles du langage</t>
        </is>
      </c>
      <c r="F423" s="18" t="n"/>
      <c r="G423" s="19" t="n"/>
      <c r="H423" s="20">
        <f>IF($G423="",1,IF($G423=0,1,IF($G423=1,3,IF($G423=2,7,IF($G423=3,14,IF($G423=4,30,60))))))</f>
        <v/>
      </c>
      <c r="I423" s="21">
        <f>IF($F423="","",$F423+$H423)</f>
        <v/>
      </c>
      <c r="J423">
        <f>IF($F423="","⚪ NEW",IF($G423&gt;=5,"✅ DONE",IF($I423&lt;TODAY(),"🔴 OVERDUE",IF($I423=TODAY(),"🟢 TODAY",IF($I423=TODAY()+1,"🔵 TOMORROW",IF($I423&lt;=TODAY()+7,"📅 THIS WEEK","⏳ SCHEDULED"))))))</f>
        <v/>
      </c>
      <c r="K423" s="20">
        <f>IF($F423="",999,IF($G423&gt;=5,9999,IF($I423="",999,$I423-TODAY())))</f>
        <v/>
      </c>
    </row>
    <row r="424">
      <c r="A424" s="34">
        <f>ROW()-2</f>
        <v/>
      </c>
      <c r="B424" s="35" t="inlineStr">
        <is>
          <t>S4</t>
        </is>
      </c>
      <c r="C424" s="35" t="inlineStr">
        <is>
          <t>Anatomie IV</t>
        </is>
      </c>
      <c r="D424" s="35" t="inlineStr">
        <is>
          <t>Anatomie ORL</t>
        </is>
      </c>
      <c r="E424" s="35" t="inlineStr">
        <is>
          <t>Anatomie de l'appareil auditif</t>
        </is>
      </c>
      <c r="F424" s="18" t="n"/>
      <c r="G424" s="19" t="n"/>
      <c r="H424" s="20">
        <f>IF($G424="",1,IF($G424=0,1,IF($G424=1,3,IF($G424=2,7,IF($G424=3,14,IF($G424=4,30,60))))))</f>
        <v/>
      </c>
      <c r="I424" s="21">
        <f>IF($F424="","",$F424+$H424)</f>
        <v/>
      </c>
      <c r="J424">
        <f>IF($F424="","⚪ NEW",IF($G424&gt;=5,"✅ DONE",IF($I424&lt;TODAY(),"🔴 OVERDUE",IF($I424=TODAY(),"🟢 TODAY",IF($I424=TODAY()+1,"🔵 TOMORROW",IF($I424&lt;=TODAY()+7,"📅 THIS WEEK","⏳ SCHEDULED"))))))</f>
        <v/>
      </c>
      <c r="K424" s="20">
        <f>IF($F424="",999,IF($G424&gt;=5,9999,IF($I424="",999,$I424-TODAY())))</f>
        <v/>
      </c>
    </row>
    <row r="425">
      <c r="A425" s="34">
        <f>ROW()-2</f>
        <v/>
      </c>
      <c r="B425" s="35" t="inlineStr">
        <is>
          <t>S4</t>
        </is>
      </c>
      <c r="C425" s="35" t="inlineStr">
        <is>
          <t>Anatomie IV</t>
        </is>
      </c>
      <c r="D425" s="35" t="inlineStr">
        <is>
          <t>Anatomie ORL</t>
        </is>
      </c>
      <c r="E425" s="35" t="inlineStr">
        <is>
          <t>Anatomie du larynx</t>
        </is>
      </c>
      <c r="F425" s="18" t="n"/>
      <c r="G425" s="19" t="n"/>
      <c r="H425" s="20">
        <f>IF($G425="",1,IF($G425=0,1,IF($G425=1,3,IF($G425=2,7,IF($G425=3,14,IF($G425=4,30,60))))))</f>
        <v/>
      </c>
      <c r="I425" s="21">
        <f>IF($F425="","",$F425+$H425)</f>
        <v/>
      </c>
      <c r="J425">
        <f>IF($F425="","⚪ NEW",IF($G425&gt;=5,"✅ DONE",IF($I425&lt;TODAY(),"🔴 OVERDUE",IF($I425=TODAY(),"🟢 TODAY",IF($I425=TODAY()+1,"🔵 TOMORROW",IF($I425&lt;=TODAY()+7,"📅 THIS WEEK","⏳ SCHEDULED"))))))</f>
        <v/>
      </c>
      <c r="K425" s="20">
        <f>IF($F425="",999,IF($G425&gt;=5,9999,IF($I425="",999,$I425-TODAY())))</f>
        <v/>
      </c>
    </row>
    <row r="426">
      <c r="A426" s="34">
        <f>ROW()-2</f>
        <v/>
      </c>
      <c r="B426" s="35" t="inlineStr">
        <is>
          <t>S4</t>
        </is>
      </c>
      <c r="C426" s="35" t="inlineStr">
        <is>
          <t>Anatomie IV</t>
        </is>
      </c>
      <c r="D426" s="35" t="inlineStr">
        <is>
          <t>Anatomie ORL</t>
        </is>
      </c>
      <c r="E426" s="35" t="inlineStr">
        <is>
          <t>Anatomie de la trachée cervicale</t>
        </is>
      </c>
      <c r="F426" s="18" t="n"/>
      <c r="G426" s="19" t="n"/>
      <c r="H426" s="20">
        <f>IF($G426="",1,IF($G426=0,1,IF($G426=1,3,IF($G426=2,7,IF($G426=3,14,IF($G426=4,30,60))))))</f>
        <v/>
      </c>
      <c r="I426" s="21">
        <f>IF($F426="","",$F426+$H426)</f>
        <v/>
      </c>
      <c r="J426">
        <f>IF($F426="","⚪ NEW",IF($G426&gt;=5,"✅ DONE",IF($I426&lt;TODAY(),"🔴 OVERDUE",IF($I426=TODAY(),"🟢 TODAY",IF($I426=TODAY()+1,"🔵 TOMORROW",IF($I426&lt;=TODAY()+7,"📅 THIS WEEK","⏳ SCHEDULED"))))))</f>
        <v/>
      </c>
      <c r="K426" s="20">
        <f>IF($F426="",999,IF($G426&gt;=5,9999,IF($I426="",999,$I426-TODAY())))</f>
        <v/>
      </c>
    </row>
    <row r="427">
      <c r="A427" s="34">
        <f>ROW()-2</f>
        <v/>
      </c>
      <c r="B427" s="35" t="inlineStr">
        <is>
          <t>S4</t>
        </is>
      </c>
      <c r="C427" s="35" t="inlineStr">
        <is>
          <t>Anatomie IV</t>
        </is>
      </c>
      <c r="D427" s="35" t="inlineStr">
        <is>
          <t>Anatomie ORL</t>
        </is>
      </c>
      <c r="E427" s="35" t="inlineStr">
        <is>
          <t>Anatomie du nez et des fosses nasales</t>
        </is>
      </c>
      <c r="F427" s="18" t="n"/>
      <c r="G427" s="19" t="n"/>
      <c r="H427" s="20">
        <f>IF($G427="",1,IF($G427=0,1,IF($G427=1,3,IF($G427=2,7,IF($G427=3,14,IF($G427=4,30,60))))))</f>
        <v/>
      </c>
      <c r="I427" s="21">
        <f>IF($F427="","",$F427+$H427)</f>
        <v/>
      </c>
      <c r="J427">
        <f>IF($F427="","⚪ NEW",IF($G427&gt;=5,"✅ DONE",IF($I427&lt;TODAY(),"🔴 OVERDUE",IF($I427=TODAY(),"🟢 TODAY",IF($I427=TODAY()+1,"🔵 TOMORROW",IF($I427&lt;=TODAY()+7,"📅 THIS WEEK","⏳ SCHEDULED"))))))</f>
        <v/>
      </c>
      <c r="K427" s="20">
        <f>IF($F427="",999,IF($G427&gt;=5,9999,IF($I427="",999,$I427-TODAY())))</f>
        <v/>
      </c>
    </row>
    <row r="428">
      <c r="A428" s="34">
        <f>ROW()-2</f>
        <v/>
      </c>
      <c r="B428" s="35" t="inlineStr">
        <is>
          <t>S4</t>
        </is>
      </c>
      <c r="C428" s="35" t="inlineStr">
        <is>
          <t>Anatomie IV</t>
        </is>
      </c>
      <c r="D428" s="35" t="inlineStr">
        <is>
          <t>Anatomie ORL</t>
        </is>
      </c>
      <c r="E428" s="35" t="inlineStr">
        <is>
          <t>Anatomie des sinus paranasaux</t>
        </is>
      </c>
      <c r="F428" s="18" t="n"/>
      <c r="G428" s="19" t="n"/>
      <c r="H428" s="20">
        <f>IF($G428="",1,IF($G428=0,1,IF($G428=1,3,IF($G428=2,7,IF($G428=3,14,IF($G428=4,30,60))))))</f>
        <v/>
      </c>
      <c r="I428" s="21">
        <f>IF($F428="","",$F428+$H428)</f>
        <v/>
      </c>
      <c r="J428">
        <f>IF($F428="","⚪ NEW",IF($G428&gt;=5,"✅ DONE",IF($I428&lt;TODAY(),"🔴 OVERDUE",IF($I428=TODAY(),"🟢 TODAY",IF($I428=TODAY()+1,"🔵 TOMORROW",IF($I428&lt;=TODAY()+7,"📅 THIS WEEK","⏳ SCHEDULED"))))))</f>
        <v/>
      </c>
      <c r="K428" s="20">
        <f>IF($F428="",999,IF($G428&gt;=5,9999,IF($I428="",999,$I428-TODAY())))</f>
        <v/>
      </c>
    </row>
    <row r="429">
      <c r="A429" s="34">
        <f>ROW()-2</f>
        <v/>
      </c>
      <c r="B429" s="35" t="inlineStr">
        <is>
          <t>S4</t>
        </is>
      </c>
      <c r="C429" s="35" t="inlineStr">
        <is>
          <t>Anatomie IV</t>
        </is>
      </c>
      <c r="D429" s="35" t="inlineStr">
        <is>
          <t>Anatomie ORL</t>
        </is>
      </c>
      <c r="E429" s="35" t="inlineStr">
        <is>
          <t>Anatomie du rhinopharynx</t>
        </is>
      </c>
      <c r="F429" s="18" t="n"/>
      <c r="G429" s="19" t="n"/>
      <c r="H429" s="20">
        <f>IF($G429="",1,IF($G429=0,1,IF($G429=1,3,IF($G429=2,7,IF($G429=3,14,IF($G429=4,30,60))))))</f>
        <v/>
      </c>
      <c r="I429" s="21">
        <f>IF($F429="","",$F429+$H429)</f>
        <v/>
      </c>
      <c r="J429">
        <f>IF($F429="","⚪ NEW",IF($G429&gt;=5,"✅ DONE",IF($I429&lt;TODAY(),"🔴 OVERDUE",IF($I429=TODAY(),"🟢 TODAY",IF($I429=TODAY()+1,"🔵 TOMORROW",IF($I429&lt;=TODAY()+7,"📅 THIS WEEK","⏳ SCHEDULED"))))))</f>
        <v/>
      </c>
      <c r="K429" s="20">
        <f>IF($F429="",999,IF($G429&gt;=5,9999,IF($I429="",999,$I429-TODAY())))</f>
        <v/>
      </c>
    </row>
    <row r="430">
      <c r="A430" s="34">
        <f>ROW()-2</f>
        <v/>
      </c>
      <c r="B430" s="35" t="inlineStr">
        <is>
          <t>S4</t>
        </is>
      </c>
      <c r="C430" s="35" t="inlineStr">
        <is>
          <t>Anatomie IV</t>
        </is>
      </c>
      <c r="D430" s="35" t="inlineStr">
        <is>
          <t>Anatomie ORL</t>
        </is>
      </c>
      <c r="E430" s="35" t="inlineStr">
        <is>
          <t>Anatomie du nerf facial</t>
        </is>
      </c>
      <c r="F430" s="18" t="n"/>
      <c r="G430" s="19" t="n"/>
      <c r="H430" s="20">
        <f>IF($G430="",1,IF($G430=0,1,IF($G430=1,3,IF($G430=2,7,IF($G430=3,14,IF($G430=4,30,60))))))</f>
        <v/>
      </c>
      <c r="I430" s="21">
        <f>IF($F430="","",$F430+$H430)</f>
        <v/>
      </c>
      <c r="J430">
        <f>IF($F430="","⚪ NEW",IF($G430&gt;=5,"✅ DONE",IF($I430&lt;TODAY(),"🔴 OVERDUE",IF($I430=TODAY(),"🟢 TODAY",IF($I430=TODAY()+1,"🔵 TOMORROW",IF($I430&lt;=TODAY()+7,"📅 THIS WEEK","⏳ SCHEDULED"))))))</f>
        <v/>
      </c>
      <c r="K430" s="20">
        <f>IF($F430="",999,IF($G430&gt;=5,9999,IF($I430="",999,$I430-TODAY())))</f>
        <v/>
      </c>
    </row>
    <row r="431">
      <c r="A431" s="34">
        <f>ROW()-2</f>
        <v/>
      </c>
      <c r="B431" s="35" t="inlineStr">
        <is>
          <t>S4</t>
        </is>
      </c>
      <c r="C431" s="35" t="inlineStr">
        <is>
          <t>Anatomie IV</t>
        </is>
      </c>
      <c r="D431" s="35" t="inlineStr">
        <is>
          <t>Anatomie ORL</t>
        </is>
      </c>
      <c r="E431" s="35" t="inlineStr">
        <is>
          <t>Anatomie de la région parotidienne</t>
        </is>
      </c>
      <c r="F431" s="18" t="n"/>
      <c r="G431" s="19" t="n"/>
      <c r="H431" s="20">
        <f>IF($G431="",1,IF($G431=0,1,IF($G431=1,3,IF($G431=2,7,IF($G431=3,14,IF($G431=4,30,60))))))</f>
        <v/>
      </c>
      <c r="I431" s="21">
        <f>IF($F431="","",$F431+$H431)</f>
        <v/>
      </c>
      <c r="J431">
        <f>IF($F431="","⚪ NEW",IF($G431&gt;=5,"✅ DONE",IF($I431&lt;TODAY(),"🔴 OVERDUE",IF($I431=TODAY(),"🟢 TODAY",IF($I431=TODAY()+1,"🔵 TOMORROW",IF($I431&lt;=TODAY()+7,"📅 THIS WEEK","⏳ SCHEDULED"))))))</f>
        <v/>
      </c>
      <c r="K431" s="20">
        <f>IF($F431="",999,IF($G431&gt;=5,9999,IF($I431="",999,$I431-TODAY())))</f>
        <v/>
      </c>
    </row>
    <row r="432">
      <c r="A432" s="34">
        <f>ROW()-2</f>
        <v/>
      </c>
      <c r="B432" s="35" t="inlineStr">
        <is>
          <t>S4</t>
        </is>
      </c>
      <c r="C432" s="35" t="inlineStr">
        <is>
          <t>Anatomie IV</t>
        </is>
      </c>
      <c r="D432" s="35" t="inlineStr">
        <is>
          <t>Anatomie ORL</t>
        </is>
      </c>
      <c r="E432" s="35" t="inlineStr">
        <is>
          <t>Anatomie du cou : généralités</t>
        </is>
      </c>
      <c r="F432" s="18" t="n"/>
      <c r="G432" s="19" t="n"/>
      <c r="H432" s="20">
        <f>IF($G432="",1,IF($G432=0,1,IF($G432=1,3,IF($G432=2,7,IF($G432=3,14,IF($G432=4,30,60))))))</f>
        <v/>
      </c>
      <c r="I432" s="21">
        <f>IF($F432="","",$F432+$H432)</f>
        <v/>
      </c>
      <c r="J432">
        <f>IF($F432="","⚪ NEW",IF($G432&gt;=5,"✅ DONE",IF($I432&lt;TODAY(),"🔴 OVERDUE",IF($I432=TODAY(),"🟢 TODAY",IF($I432=TODAY()+1,"🔵 TOMORROW",IF($I432&lt;=TODAY()+7,"📅 THIS WEEK","⏳ SCHEDULED"))))))</f>
        <v/>
      </c>
      <c r="K432" s="20">
        <f>IF($F432="",999,IF($G432&gt;=5,9999,IF($I432="",999,$I432-TODAY())))</f>
        <v/>
      </c>
    </row>
    <row r="433">
      <c r="A433" s="34">
        <f>ROW()-2</f>
        <v/>
      </c>
      <c r="B433" s="35" t="inlineStr">
        <is>
          <t>S4</t>
        </is>
      </c>
      <c r="C433" s="35" t="inlineStr">
        <is>
          <t>Anatomie IV</t>
        </is>
      </c>
      <c r="D433" s="35" t="inlineStr">
        <is>
          <t>Anatomie ORL</t>
        </is>
      </c>
      <c r="E433" s="35" t="inlineStr">
        <is>
          <t>Région sous-hyoïdienne</t>
        </is>
      </c>
      <c r="F433" s="18" t="n"/>
      <c r="G433" s="19" t="n"/>
      <c r="H433" s="20">
        <f>IF($G433="",1,IF($G433=0,1,IF($G433=1,3,IF($G433=2,7,IF($G433=3,14,IF($G433=4,30,60))))))</f>
        <v/>
      </c>
      <c r="I433" s="21">
        <f>IF($F433="","",$F433+$H433)</f>
        <v/>
      </c>
      <c r="J433">
        <f>IF($F433="","⚪ NEW",IF($G433&gt;=5,"✅ DONE",IF($I433&lt;TODAY(),"🔴 OVERDUE",IF($I433=TODAY(),"🟢 TODAY",IF($I433=TODAY()+1,"🔵 TOMORROW",IF($I433&lt;=TODAY()+7,"📅 THIS WEEK","⏳ SCHEDULED"))))))</f>
        <v/>
      </c>
      <c r="K433" s="20">
        <f>IF($F433="",999,IF($G433&gt;=5,9999,IF($I433="",999,$I433-TODAY())))</f>
        <v/>
      </c>
    </row>
    <row r="434">
      <c r="A434" s="34">
        <f>ROW()-2</f>
        <v/>
      </c>
      <c r="B434" s="35" t="inlineStr">
        <is>
          <t>S4</t>
        </is>
      </c>
      <c r="C434" s="35" t="inlineStr">
        <is>
          <t>Anatomie IV</t>
        </is>
      </c>
      <c r="D434" s="35" t="inlineStr">
        <is>
          <t>Anatomie ORL</t>
        </is>
      </c>
      <c r="E434" s="35" t="inlineStr">
        <is>
          <t>Région sus-claviculaire</t>
        </is>
      </c>
      <c r="F434" s="18" t="n"/>
      <c r="G434" s="19" t="n"/>
      <c r="H434" s="20">
        <f>IF($G434="",1,IF($G434=0,1,IF($G434=1,3,IF($G434=2,7,IF($G434=3,14,IF($G434=4,30,60))))))</f>
        <v/>
      </c>
      <c r="I434" s="21">
        <f>IF($F434="","",$F434+$H434)</f>
        <v/>
      </c>
      <c r="J434">
        <f>IF($F434="","⚪ NEW",IF($G434&gt;=5,"✅ DONE",IF($I434&lt;TODAY(),"🔴 OVERDUE",IF($I434=TODAY(),"🟢 TODAY",IF($I434=TODAY()+1,"🔵 TOMORROW",IF($I434&lt;=TODAY()+7,"📅 THIS WEEK","⏳ SCHEDULED"))))))</f>
        <v/>
      </c>
      <c r="K434" s="20">
        <f>IF($F434="",999,IF($G434&gt;=5,9999,IF($I434="",999,$I434-TODAY())))</f>
        <v/>
      </c>
    </row>
    <row r="435">
      <c r="A435" s="34">
        <f>ROW()-2</f>
        <v/>
      </c>
      <c r="B435" s="35" t="inlineStr">
        <is>
          <t>S4</t>
        </is>
      </c>
      <c r="C435" s="35" t="inlineStr">
        <is>
          <t>Anatomie IV</t>
        </is>
      </c>
      <c r="D435" s="35" t="inlineStr">
        <is>
          <t>Anatomie ORL</t>
        </is>
      </c>
      <c r="E435" s="35" t="inlineStr">
        <is>
          <t>Région carotidienne</t>
        </is>
      </c>
      <c r="F435" s="18" t="n"/>
      <c r="G435" s="19" t="n"/>
      <c r="H435" s="20">
        <f>IF($G435="",1,IF($G435=0,1,IF($G435=1,3,IF($G435=2,7,IF($G435=3,14,IF($G435=4,30,60))))))</f>
        <v/>
      </c>
      <c r="I435" s="21">
        <f>IF($F435="","",$F435+$H435)</f>
        <v/>
      </c>
      <c r="J435">
        <f>IF($F435="","⚪ NEW",IF($G435&gt;=5,"✅ DONE",IF($I435&lt;TODAY(),"🔴 OVERDUE",IF($I435=TODAY(),"🟢 TODAY",IF($I435=TODAY()+1,"🔵 TOMORROW",IF($I435&lt;=TODAY()+7,"📅 THIS WEEK","⏳ SCHEDULED"))))))</f>
        <v/>
      </c>
      <c r="K435" s="20">
        <f>IF($F435="",999,IF($G435&gt;=5,9999,IF($I435="",999,$I435-TODAY())))</f>
        <v/>
      </c>
    </row>
    <row r="436">
      <c r="A436" s="34">
        <f>ROW()-2</f>
        <v/>
      </c>
      <c r="B436" s="35" t="inlineStr">
        <is>
          <t>S4</t>
        </is>
      </c>
      <c r="C436" s="35" t="inlineStr">
        <is>
          <t>Anatomie IV</t>
        </is>
      </c>
      <c r="D436" s="35" t="inlineStr">
        <is>
          <t>Anatomie ORL</t>
        </is>
      </c>
      <c r="E436" s="35" t="inlineStr">
        <is>
          <t>Glande thyroïde</t>
        </is>
      </c>
      <c r="F436" s="18" t="n"/>
      <c r="G436" s="19" t="n"/>
      <c r="H436" s="20">
        <f>IF($G436="",1,IF($G436=0,1,IF($G436=1,3,IF($G436=2,7,IF($G436=3,14,IF($G436=4,30,60))))))</f>
        <v/>
      </c>
      <c r="I436" s="21">
        <f>IF($F436="","",$F436+$H436)</f>
        <v/>
      </c>
      <c r="J436">
        <f>IF($F436="","⚪ NEW",IF($G436&gt;=5,"✅ DONE",IF($I436&lt;TODAY(),"🔴 OVERDUE",IF($I436=TODAY(),"🟢 TODAY",IF($I436=TODAY()+1,"🔵 TOMORROW",IF($I436&lt;=TODAY()+7,"📅 THIS WEEK","⏳ SCHEDULED"))))))</f>
        <v/>
      </c>
      <c r="K436" s="20">
        <f>IF($F436="",999,IF($G436&gt;=5,9999,IF($I436="",999,$I436-TODAY())))</f>
        <v/>
      </c>
    </row>
    <row r="437">
      <c r="A437" s="34">
        <f>ROW()-2</f>
        <v/>
      </c>
      <c r="B437" s="35" t="inlineStr">
        <is>
          <t>S4</t>
        </is>
      </c>
      <c r="C437" s="35" t="inlineStr">
        <is>
          <t>Anatomie IV</t>
        </is>
      </c>
      <c r="D437" s="35" t="inlineStr">
        <is>
          <t>Anatomie maxillo-faciale</t>
        </is>
      </c>
      <c r="E437" s="35" t="inlineStr">
        <is>
          <t>Vascularisation de la face</t>
        </is>
      </c>
      <c r="F437" s="18" t="n"/>
      <c r="G437" s="19" t="n"/>
      <c r="H437" s="20">
        <f>IF($G437="",1,IF($G437=0,1,IF($G437=1,3,IF($G437=2,7,IF($G437=3,14,IF($G437=4,30,60))))))</f>
        <v/>
      </c>
      <c r="I437" s="21">
        <f>IF($F437="","",$F437+$H437)</f>
        <v/>
      </c>
      <c r="J437">
        <f>IF($F437="","⚪ NEW",IF($G437&gt;=5,"✅ DONE",IF($I437&lt;TODAY(),"🔴 OVERDUE",IF($I437=TODAY(),"🟢 TODAY",IF($I437=TODAY()+1,"🔵 TOMORROW",IF($I437&lt;=TODAY()+7,"📅 THIS WEEK","⏳ SCHEDULED"))))))</f>
        <v/>
      </c>
      <c r="K437" s="20">
        <f>IF($F437="",999,IF($G437&gt;=5,9999,IF($I437="",999,$I437-TODAY())))</f>
        <v/>
      </c>
    </row>
    <row r="438">
      <c r="A438" s="34">
        <f>ROW()-2</f>
        <v/>
      </c>
      <c r="B438" s="35" t="inlineStr">
        <is>
          <t>S4</t>
        </is>
      </c>
      <c r="C438" s="35" t="inlineStr">
        <is>
          <t>Anatomie IV</t>
        </is>
      </c>
      <c r="D438" s="35" t="inlineStr">
        <is>
          <t>Anatomie maxillo-faciale</t>
        </is>
      </c>
      <c r="E438" s="35" t="inlineStr">
        <is>
          <t>SMAS et muscles peauciers de la face</t>
        </is>
      </c>
      <c r="F438" s="18" t="n"/>
      <c r="G438" s="19" t="n"/>
      <c r="H438" s="20">
        <f>IF($G438="",1,IF($G438=0,1,IF($G438=1,3,IF($G438=2,7,IF($G438=3,14,IF($G438=4,30,60))))))</f>
        <v/>
      </c>
      <c r="I438" s="21">
        <f>IF($F438="","",$F438+$H438)</f>
        <v/>
      </c>
      <c r="J438">
        <f>IF($F438="","⚪ NEW",IF($G438&gt;=5,"✅ DONE",IF($I438&lt;TODAY(),"🔴 OVERDUE",IF($I438=TODAY(),"🟢 TODAY",IF($I438=TODAY()+1,"🔵 TOMORROW",IF($I438&lt;=TODAY()+7,"📅 THIS WEEK","⏳ SCHEDULED"))))))</f>
        <v/>
      </c>
      <c r="K438" s="20">
        <f>IF($F438="",999,IF($G438&gt;=5,9999,IF($I438="",999,$I438-TODAY())))</f>
        <v/>
      </c>
    </row>
    <row r="439">
      <c r="A439" s="34">
        <f>ROW()-2</f>
        <v/>
      </c>
      <c r="B439" s="35" t="inlineStr">
        <is>
          <t>S4</t>
        </is>
      </c>
      <c r="C439" s="35" t="inlineStr">
        <is>
          <t>Anatomie IV</t>
        </is>
      </c>
      <c r="D439" s="35" t="inlineStr">
        <is>
          <t>Anatomie maxillo-faciale</t>
        </is>
      </c>
      <c r="E439" s="35" t="inlineStr">
        <is>
          <t>Anatomie de la cavité buccale</t>
        </is>
      </c>
      <c r="F439" s="18" t="n"/>
      <c r="G439" s="19" t="n"/>
      <c r="H439" s="20">
        <f>IF($G439="",1,IF($G439=0,1,IF($G439=1,3,IF($G439=2,7,IF($G439=3,14,IF($G439=4,30,60))))))</f>
        <v/>
      </c>
      <c r="I439" s="21">
        <f>IF($F439="","",$F439+$H439)</f>
        <v/>
      </c>
      <c r="J439">
        <f>IF($F439="","⚪ NEW",IF($G439&gt;=5,"✅ DONE",IF($I439&lt;TODAY(),"🔴 OVERDUE",IF($I439=TODAY(),"🟢 TODAY",IF($I439=TODAY()+1,"🔵 TOMORROW",IF($I439&lt;=TODAY()+7,"📅 THIS WEEK","⏳ SCHEDULED"))))))</f>
        <v/>
      </c>
      <c r="K439" s="20">
        <f>IF($F439="",999,IF($G439&gt;=5,9999,IF($I439="",999,$I439-TODAY())))</f>
        <v/>
      </c>
    </row>
    <row r="440">
      <c r="A440" s="34">
        <f>ROW()-2</f>
        <v/>
      </c>
      <c r="B440" s="35" t="inlineStr">
        <is>
          <t>S4</t>
        </is>
      </c>
      <c r="C440" s="35" t="inlineStr">
        <is>
          <t>Anatomie IV</t>
        </is>
      </c>
      <c r="D440" s="35" t="inlineStr">
        <is>
          <t>Anatomie maxillo-faciale</t>
        </is>
      </c>
      <c r="E440" s="35" t="inlineStr">
        <is>
          <t>Anatomie de la glande submandibulaire</t>
        </is>
      </c>
      <c r="F440" s="18" t="n"/>
      <c r="G440" s="19" t="n"/>
      <c r="H440" s="20">
        <f>IF($G440="",1,IF($G440=0,1,IF($G440=1,3,IF($G440=2,7,IF($G440=3,14,IF($G440=4,30,60))))))</f>
        <v/>
      </c>
      <c r="I440" s="21">
        <f>IF($F440="","",$F440+$H440)</f>
        <v/>
      </c>
      <c r="J440">
        <f>IF($F440="","⚪ NEW",IF($G440&gt;=5,"✅ DONE",IF($I440&lt;TODAY(),"🔴 OVERDUE",IF($I440=TODAY(),"🟢 TODAY",IF($I440=TODAY()+1,"🔵 TOMORROW",IF($I440&lt;=TODAY()+7,"📅 THIS WEEK","⏳ SCHEDULED"))))))</f>
        <v/>
      </c>
      <c r="K440" s="20">
        <f>IF($F440="",999,IF($G440&gt;=5,9999,IF($I440="",999,$I440-TODAY())))</f>
        <v/>
      </c>
    </row>
    <row r="441">
      <c r="A441" s="34">
        <f>ROW()-2</f>
        <v/>
      </c>
      <c r="B441" s="35" t="inlineStr">
        <is>
          <t>S4</t>
        </is>
      </c>
      <c r="C441" s="35" t="inlineStr">
        <is>
          <t>Anatomie IV</t>
        </is>
      </c>
      <c r="D441" s="35" t="inlineStr">
        <is>
          <t>Anatomie maxillo-faciale</t>
        </is>
      </c>
      <c r="E441" s="35" t="inlineStr">
        <is>
          <t>Anatomie du nerf trijumeau</t>
        </is>
      </c>
      <c r="F441" s="18" t="n"/>
      <c r="G441" s="19" t="n"/>
      <c r="H441" s="20">
        <f>IF($G441="",1,IF($G441=0,1,IF($G441=1,3,IF($G441=2,7,IF($G441=3,14,IF($G441=4,30,60))))))</f>
        <v/>
      </c>
      <c r="I441" s="21">
        <f>IF($F441="","",$F441+$H441)</f>
        <v/>
      </c>
      <c r="J441">
        <f>IF($F441="","⚪ NEW",IF($G441&gt;=5,"✅ DONE",IF($I441&lt;TODAY(),"🔴 OVERDUE",IF($I441=TODAY(),"🟢 TODAY",IF($I441=TODAY()+1,"🔵 TOMORROW",IF($I441&lt;=TODAY()+7,"📅 THIS WEEK","⏳ SCHEDULED"))))))</f>
        <v/>
      </c>
      <c r="K441" s="20">
        <f>IF($F441="",999,IF($G441&gt;=5,9999,IF($I441="",999,$I441-TODAY())))</f>
        <v/>
      </c>
    </row>
    <row r="442">
      <c r="A442" s="34">
        <f>ROW()-2</f>
        <v/>
      </c>
      <c r="B442" s="35" t="inlineStr">
        <is>
          <t>S4</t>
        </is>
      </c>
      <c r="C442" s="35" t="inlineStr">
        <is>
          <t>Anatomie IV</t>
        </is>
      </c>
      <c r="D442" s="35" t="inlineStr">
        <is>
          <t>Anatomie maxillo-faciale</t>
        </is>
      </c>
      <c r="E442" s="35" t="inlineStr">
        <is>
          <t>Muscles masticateurs</t>
        </is>
      </c>
      <c r="F442" s="18" t="n"/>
      <c r="G442" s="19" t="n"/>
      <c r="H442" s="20">
        <f>IF($G442="",1,IF($G442=0,1,IF($G442=1,3,IF($G442=2,7,IF($G442=3,14,IF($G442=4,30,60))))))</f>
        <v/>
      </c>
      <c r="I442" s="21">
        <f>IF($F442="","",$F442+$H442)</f>
        <v/>
      </c>
      <c r="J442">
        <f>IF($F442="","⚪ NEW",IF($G442&gt;=5,"✅ DONE",IF($I442&lt;TODAY(),"🔴 OVERDUE",IF($I442=TODAY(),"🟢 TODAY",IF($I442=TODAY()+1,"🔵 TOMORROW",IF($I442&lt;=TODAY()+7,"📅 THIS WEEK","⏳ SCHEDULED"))))))</f>
        <v/>
      </c>
      <c r="K442" s="20">
        <f>IF($F442="",999,IF($G442&gt;=5,9999,IF($I442="",999,$I442-TODAY())))</f>
        <v/>
      </c>
    </row>
    <row r="443">
      <c r="A443" s="34">
        <f>ROW()-2</f>
        <v/>
      </c>
      <c r="B443" s="35" t="inlineStr">
        <is>
          <t>S4</t>
        </is>
      </c>
      <c r="C443" s="35" t="inlineStr">
        <is>
          <t>Anatomie IV</t>
        </is>
      </c>
      <c r="D443" s="35" t="inlineStr">
        <is>
          <t>Anatomie maxillo-faciale</t>
        </is>
      </c>
      <c r="E443" s="35" t="inlineStr">
        <is>
          <t>Articulation temporo-mandibulaire</t>
        </is>
      </c>
      <c r="F443" s="18" t="n"/>
      <c r="G443" s="19" t="n"/>
      <c r="H443" s="20">
        <f>IF($G443="",1,IF($G443=0,1,IF($G443=1,3,IF($G443=2,7,IF($G443=3,14,IF($G443=4,30,60))))))</f>
        <v/>
      </c>
      <c r="I443" s="21">
        <f>IF($F443="","",$F443+$H443)</f>
        <v/>
      </c>
      <c r="J443">
        <f>IF($F443="","⚪ NEW",IF($G443&gt;=5,"✅ DONE",IF($I443&lt;TODAY(),"🔴 OVERDUE",IF($I443=TODAY(),"🟢 TODAY",IF($I443=TODAY()+1,"🔵 TOMORROW",IF($I443&lt;=TODAY()+7,"📅 THIS WEEK","⏳ SCHEDULED"))))))</f>
        <v/>
      </c>
      <c r="K443" s="20">
        <f>IF($F443="",999,IF($G443&gt;=5,9999,IF($I443="",999,$I443-TODAY())))</f>
        <v/>
      </c>
    </row>
    <row r="444">
      <c r="A444" s="34">
        <f>ROW()-2</f>
        <v/>
      </c>
      <c r="B444" s="35" t="inlineStr">
        <is>
          <t>S4</t>
        </is>
      </c>
      <c r="C444" s="35" t="inlineStr">
        <is>
          <t>Anatomie IV</t>
        </is>
      </c>
      <c r="D444" s="35" t="inlineStr">
        <is>
          <t>Anatomie maxillo-faciale</t>
        </is>
      </c>
      <c r="E444" s="35" t="inlineStr">
        <is>
          <t>Le système dentaire</t>
        </is>
      </c>
      <c r="F444" s="18" t="n"/>
      <c r="G444" s="19" t="n"/>
      <c r="H444" s="20">
        <f>IF($G444="",1,IF($G444=0,1,IF($G444=1,3,IF($G444=2,7,IF($G444=3,14,IF($G444=4,30,60))))))</f>
        <v/>
      </c>
      <c r="I444" s="21">
        <f>IF($F444="","",$F444+$H444)</f>
        <v/>
      </c>
      <c r="J444">
        <f>IF($F444="","⚪ NEW",IF($G444&gt;=5,"✅ DONE",IF($I444&lt;TODAY(),"🔴 OVERDUE",IF($I444=TODAY(),"🟢 TODAY",IF($I444=TODAY()+1,"🔵 TOMORROW",IF($I444&lt;=TODAY()+7,"📅 THIS WEEK","⏳ SCHEDULED"))))))</f>
        <v/>
      </c>
      <c r="K444" s="20">
        <f>IF($F444="",999,IF($G444&gt;=5,9999,IF($I444="",999,$I444-TODAY())))</f>
        <v/>
      </c>
    </row>
    <row r="445">
      <c r="A445" s="34">
        <f>ROW()-2</f>
        <v/>
      </c>
      <c r="B445" s="35" t="inlineStr">
        <is>
          <t>S4</t>
        </is>
      </c>
      <c r="C445" s="35" t="inlineStr">
        <is>
          <t>Anatomie IV</t>
        </is>
      </c>
      <c r="D445" s="35" t="inlineStr">
        <is>
          <t>Anatomie de l'œil et annexes</t>
        </is>
      </c>
      <c r="E445" s="35" t="inlineStr">
        <is>
          <t>Anatomie de l'orbite</t>
        </is>
      </c>
      <c r="F445" s="18" t="n"/>
      <c r="G445" s="19" t="n"/>
      <c r="H445" s="20">
        <f>IF($G445="",1,IF($G445=0,1,IF($G445=1,3,IF($G445=2,7,IF($G445=3,14,IF($G445=4,30,60))))))</f>
        <v/>
      </c>
      <c r="I445" s="21">
        <f>IF($F445="","",$F445+$H445)</f>
        <v/>
      </c>
      <c r="J445">
        <f>IF($F445="","⚪ NEW",IF($G445&gt;=5,"✅ DONE",IF($I445&lt;TODAY(),"🔴 OVERDUE",IF($I445=TODAY(),"🟢 TODAY",IF($I445=TODAY()+1,"🔵 TOMORROW",IF($I445&lt;=TODAY()+7,"📅 THIS WEEK","⏳ SCHEDULED"))))))</f>
        <v/>
      </c>
      <c r="K445" s="20">
        <f>IF($F445="",999,IF($G445&gt;=5,9999,IF($I445="",999,$I445-TODAY())))</f>
        <v/>
      </c>
    </row>
    <row r="446">
      <c r="A446" s="34">
        <f>ROW()-2</f>
        <v/>
      </c>
      <c r="B446" s="35" t="inlineStr">
        <is>
          <t>S4</t>
        </is>
      </c>
      <c r="C446" s="35" t="inlineStr">
        <is>
          <t>Anatomie IV</t>
        </is>
      </c>
      <c r="D446" s="35" t="inlineStr">
        <is>
          <t>Anatomie de l'œil et annexes</t>
        </is>
      </c>
      <c r="E446" s="35" t="inlineStr">
        <is>
          <t>Anatomie des paupières</t>
        </is>
      </c>
      <c r="F446" s="18" t="n"/>
      <c r="G446" s="19" t="n"/>
      <c r="H446" s="20">
        <f>IF($G446="",1,IF($G446=0,1,IF($G446=1,3,IF($G446=2,7,IF($G446=3,14,IF($G446=4,30,60))))))</f>
        <v/>
      </c>
      <c r="I446" s="21">
        <f>IF($F446="","",$F446+$H446)</f>
        <v/>
      </c>
      <c r="J446">
        <f>IF($F446="","⚪ NEW",IF($G446&gt;=5,"✅ DONE",IF($I446&lt;TODAY(),"🔴 OVERDUE",IF($I446=TODAY(),"🟢 TODAY",IF($I446=TODAY()+1,"🔵 TOMORROW",IF($I446&lt;=TODAY()+7,"📅 THIS WEEK","⏳ SCHEDULED"))))))</f>
        <v/>
      </c>
      <c r="K446" s="20">
        <f>IF($F446="",999,IF($G446&gt;=5,9999,IF($I446="",999,$I446-TODAY())))</f>
        <v/>
      </c>
    </row>
    <row r="447">
      <c r="A447" s="34">
        <f>ROW()-2</f>
        <v/>
      </c>
      <c r="B447" s="35" t="inlineStr">
        <is>
          <t>S4</t>
        </is>
      </c>
      <c r="C447" s="35" t="inlineStr">
        <is>
          <t>Anatomie IV</t>
        </is>
      </c>
      <c r="D447" s="35" t="inlineStr">
        <is>
          <t>Anatomie de l'œil et annexes</t>
        </is>
      </c>
      <c r="E447" s="35" t="inlineStr">
        <is>
          <t>Anatomie des muscles oculomoteurs</t>
        </is>
      </c>
      <c r="F447" s="18" t="n"/>
      <c r="G447" s="19" t="n"/>
      <c r="H447" s="20">
        <f>IF($G447="",1,IF($G447=0,1,IF($G447=1,3,IF($G447=2,7,IF($G447=3,14,IF($G447=4,30,60))))))</f>
        <v/>
      </c>
      <c r="I447" s="21">
        <f>IF($F447="","",$F447+$H447)</f>
        <v/>
      </c>
      <c r="J447">
        <f>IF($F447="","⚪ NEW",IF($G447&gt;=5,"✅ DONE",IF($I447&lt;TODAY(),"🔴 OVERDUE",IF($I447=TODAY(),"🟢 TODAY",IF($I447=TODAY()+1,"🔵 TOMORROW",IF($I447&lt;=TODAY()+7,"📅 THIS WEEK","⏳ SCHEDULED"))))))</f>
        <v/>
      </c>
      <c r="K447" s="20">
        <f>IF($F447="",999,IF($G447&gt;=5,9999,IF($I447="",999,$I447-TODAY())))</f>
        <v/>
      </c>
    </row>
    <row r="448">
      <c r="A448" s="34">
        <f>ROW()-2</f>
        <v/>
      </c>
      <c r="B448" s="35" t="inlineStr">
        <is>
          <t>S4</t>
        </is>
      </c>
      <c r="C448" s="35" t="inlineStr">
        <is>
          <t>Anatomie IV</t>
        </is>
      </c>
      <c r="D448" s="35" t="inlineStr">
        <is>
          <t>Anatomie de l'œil et annexes</t>
        </is>
      </c>
      <c r="E448" s="35" t="inlineStr">
        <is>
          <t>Anatomie de la conjonctive</t>
        </is>
      </c>
      <c r="F448" s="18" t="n"/>
      <c r="G448" s="19" t="n"/>
      <c r="H448" s="20">
        <f>IF($G448="",1,IF($G448=0,1,IF($G448=1,3,IF($G448=2,7,IF($G448=3,14,IF($G448=4,30,60))))))</f>
        <v/>
      </c>
      <c r="I448" s="21">
        <f>IF($F448="","",$F448+$H448)</f>
        <v/>
      </c>
      <c r="J448">
        <f>IF($F448="","⚪ NEW",IF($G448&gt;=5,"✅ DONE",IF($I448&lt;TODAY(),"🔴 OVERDUE",IF($I448=TODAY(),"🟢 TODAY",IF($I448=TODAY()+1,"🔵 TOMORROW",IF($I448&lt;=TODAY()+7,"📅 THIS WEEK","⏳ SCHEDULED"))))))</f>
        <v/>
      </c>
      <c r="K448" s="20">
        <f>IF($F448="",999,IF($G448&gt;=5,9999,IF($I448="",999,$I448-TODAY())))</f>
        <v/>
      </c>
    </row>
    <row r="449">
      <c r="A449" s="34">
        <f>ROW()-2</f>
        <v/>
      </c>
      <c r="B449" s="35" t="inlineStr">
        <is>
          <t>S4</t>
        </is>
      </c>
      <c r="C449" s="35" t="inlineStr">
        <is>
          <t>Anatomie IV</t>
        </is>
      </c>
      <c r="D449" s="35" t="inlineStr">
        <is>
          <t>Anatomie de l'œil et annexes</t>
        </is>
      </c>
      <c r="E449" s="35" t="inlineStr">
        <is>
          <t>Anatomie du système lacrymal</t>
        </is>
      </c>
      <c r="F449" s="18" t="n"/>
      <c r="G449" s="19" t="n"/>
      <c r="H449" s="20">
        <f>IF($G449="",1,IF($G449=0,1,IF($G449=1,3,IF($G449=2,7,IF($G449=3,14,IF($G449=4,30,60))))))</f>
        <v/>
      </c>
      <c r="I449" s="21">
        <f>IF($F449="","",$F449+$H449)</f>
        <v/>
      </c>
      <c r="J449">
        <f>IF($F449="","⚪ NEW",IF($G449&gt;=5,"✅ DONE",IF($I449&lt;TODAY(),"🔴 OVERDUE",IF($I449=TODAY(),"🟢 TODAY",IF($I449=TODAY()+1,"🔵 TOMORROW",IF($I449&lt;=TODAY()+7,"📅 THIS WEEK","⏳ SCHEDULED"))))))</f>
        <v/>
      </c>
      <c r="K449" s="20">
        <f>IF($F449="",999,IF($G449&gt;=5,9999,IF($I449="",999,$I449-TODAY())))</f>
        <v/>
      </c>
    </row>
    <row r="450">
      <c r="A450" s="34">
        <f>ROW()-2</f>
        <v/>
      </c>
      <c r="B450" s="35" t="inlineStr">
        <is>
          <t>S4</t>
        </is>
      </c>
      <c r="C450" s="35" t="inlineStr">
        <is>
          <t>Anatomie IV</t>
        </is>
      </c>
      <c r="D450" s="35" t="inlineStr">
        <is>
          <t>Anatomie de l'œil et annexes</t>
        </is>
      </c>
      <c r="E450" s="35" t="inlineStr">
        <is>
          <t>Anatomie de l'œil - partie 1</t>
        </is>
      </c>
      <c r="F450" s="18" t="n"/>
      <c r="G450" s="19" t="n"/>
      <c r="H450" s="20">
        <f>IF($G450="",1,IF($G450=0,1,IF($G450=1,3,IF($G450=2,7,IF($G450=3,14,IF($G450=4,30,60))))))</f>
        <v/>
      </c>
      <c r="I450" s="21">
        <f>IF($F450="","",$F450+$H450)</f>
        <v/>
      </c>
      <c r="J450">
        <f>IF($F450="","⚪ NEW",IF($G450&gt;=5,"✅ DONE",IF($I450&lt;TODAY(),"🔴 OVERDUE",IF($I450=TODAY(),"🟢 TODAY",IF($I450=TODAY()+1,"🔵 TOMORROW",IF($I450&lt;=TODAY()+7,"📅 THIS WEEK","⏳ SCHEDULED"))))))</f>
        <v/>
      </c>
      <c r="K450" s="20">
        <f>IF($F450="",999,IF($G450&gt;=5,9999,IF($I450="",999,$I450-TODAY())))</f>
        <v/>
      </c>
    </row>
    <row r="451">
      <c r="A451" s="34">
        <f>ROW()-2</f>
        <v/>
      </c>
      <c r="B451" s="35" t="inlineStr">
        <is>
          <t>S4</t>
        </is>
      </c>
      <c r="C451" s="35" t="inlineStr">
        <is>
          <t>Anatomie IV</t>
        </is>
      </c>
      <c r="D451" s="35" t="inlineStr">
        <is>
          <t>Anatomie de l'œil et annexes</t>
        </is>
      </c>
      <c r="E451" s="35" t="inlineStr">
        <is>
          <t>Anatomie de l'œil - partie 2</t>
        </is>
      </c>
      <c r="F451" s="18" t="n"/>
      <c r="G451" s="19" t="n"/>
      <c r="H451" s="20">
        <f>IF($G451="",1,IF($G451=0,1,IF($G451=1,3,IF($G451=2,7,IF($G451=3,14,IF($G451=4,30,60))))))</f>
        <v/>
      </c>
      <c r="I451" s="21">
        <f>IF($F451="","",$F451+$H451)</f>
        <v/>
      </c>
      <c r="J451">
        <f>IF($F451="","⚪ NEW",IF($G451&gt;=5,"✅ DONE",IF($I451&lt;TODAY(),"🔴 OVERDUE",IF($I451=TODAY(),"🟢 TODAY",IF($I451=TODAY()+1,"🔵 TOMORROW",IF($I451&lt;=TODAY()+7,"📅 THIS WEEK","⏳ SCHEDULED"))))))</f>
        <v/>
      </c>
      <c r="K451" s="20">
        <f>IF($F451="",999,IF($G451&gt;=5,9999,IF($I451="",999,$I451-TODAY())))</f>
        <v/>
      </c>
    </row>
    <row r="452">
      <c r="A452" s="34">
        <f>ROW()-2</f>
        <v/>
      </c>
      <c r="B452" s="35" t="inlineStr">
        <is>
          <t>S4</t>
        </is>
      </c>
      <c r="C452" s="35" t="inlineStr">
        <is>
          <t>Anatomie IV</t>
        </is>
      </c>
      <c r="D452" s="35" t="inlineStr">
        <is>
          <t>Anatomie de l'œil et annexes</t>
        </is>
      </c>
      <c r="E452" s="35" t="inlineStr">
        <is>
          <t>Anatomie de l'œil - partie 3</t>
        </is>
      </c>
      <c r="F452" s="18" t="n"/>
      <c r="G452" s="19" t="n"/>
      <c r="H452" s="20">
        <f>IF($G452="",1,IF($G452=0,1,IF($G452=1,3,IF($G452=2,7,IF($G452=3,14,IF($G452=4,30,60))))))</f>
        <v/>
      </c>
      <c r="I452" s="21">
        <f>IF($F452="","",$F452+$H452)</f>
        <v/>
      </c>
      <c r="J452">
        <f>IF($F452="","⚪ NEW",IF($G452&gt;=5,"✅ DONE",IF($I452&lt;TODAY(),"🔴 OVERDUE",IF($I452=TODAY(),"🟢 TODAY",IF($I452=TODAY()+1,"🔵 TOMORROW",IF($I452&lt;=TODAY()+7,"📅 THIS WEEK","⏳ SCHEDULED"))))))</f>
        <v/>
      </c>
      <c r="K452" s="20">
        <f>IF($F452="",999,IF($G452&gt;=5,9999,IF($I452="",999,$I452-TODAY())))</f>
        <v/>
      </c>
    </row>
    <row r="453">
      <c r="A453" s="36">
        <f>ROW()-2</f>
        <v/>
      </c>
      <c r="B453" s="37" t="inlineStr">
        <is>
          <t>S4</t>
        </is>
      </c>
      <c r="C453" s="37" t="inlineStr">
        <is>
          <t>Biochimie clinique</t>
        </is>
      </c>
      <c r="D453" s="37" t="inlineStr"/>
      <c r="E453" s="37" t="inlineStr">
        <is>
          <t>L'équilibre hydro-électrolytique</t>
        </is>
      </c>
      <c r="F453" s="18" t="n"/>
      <c r="G453" s="19" t="n"/>
      <c r="H453" s="20">
        <f>IF($G453="",1,IF($G453=0,1,IF($G453=1,3,IF($G453=2,7,IF($G453=3,14,IF($G453=4,30,60))))))</f>
        <v/>
      </c>
      <c r="I453" s="21">
        <f>IF($F453="","",$F453+$H453)</f>
        <v/>
      </c>
      <c r="J453">
        <f>IF($F453="","⚪ NEW",IF($G453&gt;=5,"✅ DONE",IF($I453&lt;TODAY(),"🔴 OVERDUE",IF($I453=TODAY(),"🟢 TODAY",IF($I453=TODAY()+1,"🔵 TOMORROW",IF($I453&lt;=TODAY()+7,"📅 THIS WEEK","⏳ SCHEDULED"))))))</f>
        <v/>
      </c>
      <c r="K453" s="20">
        <f>IF($F453="",999,IF($G453&gt;=5,9999,IF($I453="",999,$I453-TODAY())))</f>
        <v/>
      </c>
    </row>
    <row r="454">
      <c r="A454" s="36">
        <f>ROW()-2</f>
        <v/>
      </c>
      <c r="B454" s="37" t="inlineStr">
        <is>
          <t>S4</t>
        </is>
      </c>
      <c r="C454" s="37" t="inlineStr">
        <is>
          <t>Biochimie clinique</t>
        </is>
      </c>
      <c r="D454" s="37" t="inlineStr"/>
      <c r="E454" s="37" t="inlineStr">
        <is>
          <t>L'équilibre acido-basique</t>
        </is>
      </c>
      <c r="F454" s="18" t="n"/>
      <c r="G454" s="19" t="n"/>
      <c r="H454" s="20">
        <f>IF($G454="",1,IF($G454=0,1,IF($G454=1,3,IF($G454=2,7,IF($G454=3,14,IF($G454=4,30,60))))))</f>
        <v/>
      </c>
      <c r="I454" s="21">
        <f>IF($F454="","",$F454+$H454)</f>
        <v/>
      </c>
      <c r="J454">
        <f>IF($F454="","⚪ NEW",IF($G454&gt;=5,"✅ DONE",IF($I454&lt;TODAY(),"🔴 OVERDUE",IF($I454=TODAY(),"🟢 TODAY",IF($I454=TODAY()+1,"🔵 TOMORROW",IF($I454&lt;=TODAY()+7,"📅 THIS WEEK","⏳ SCHEDULED"))))))</f>
        <v/>
      </c>
      <c r="K454" s="20">
        <f>IF($F454="",999,IF($G454&gt;=5,9999,IF($I454="",999,$I454-TODAY())))</f>
        <v/>
      </c>
    </row>
    <row r="455">
      <c r="A455" s="36">
        <f>ROW()-2</f>
        <v/>
      </c>
      <c r="B455" s="37" t="inlineStr">
        <is>
          <t>S4</t>
        </is>
      </c>
      <c r="C455" s="37" t="inlineStr">
        <is>
          <t>Biochimie clinique</t>
        </is>
      </c>
      <c r="D455" s="37" t="inlineStr"/>
      <c r="E455" s="37" t="inlineStr">
        <is>
          <t>La phase pré-analytique en biochimie clinique</t>
        </is>
      </c>
      <c r="F455" s="18" t="n"/>
      <c r="G455" s="19" t="n"/>
      <c r="H455" s="20">
        <f>IF($G455="",1,IF($G455=0,1,IF($G455=1,3,IF($G455=2,7,IF($G455=3,14,IF($G455=4,30,60))))))</f>
        <v/>
      </c>
      <c r="I455" s="21">
        <f>IF($F455="","",$F455+$H455)</f>
        <v/>
      </c>
      <c r="J455">
        <f>IF($F455="","⚪ NEW",IF($G455&gt;=5,"✅ DONE",IF($I455&lt;TODAY(),"🔴 OVERDUE",IF($I455=TODAY(),"🟢 TODAY",IF($I455=TODAY()+1,"🔵 TOMORROW",IF($I455&lt;=TODAY()+7,"📅 THIS WEEK","⏳ SCHEDULED"))))))</f>
        <v/>
      </c>
      <c r="K455" s="20">
        <f>IF($F455="",999,IF($G455&gt;=5,9999,IF($I455="",999,$I455-TODAY())))</f>
        <v/>
      </c>
    </row>
    <row r="456">
      <c r="A456" s="36">
        <f>ROW()-2</f>
        <v/>
      </c>
      <c r="B456" s="37" t="inlineStr">
        <is>
          <t>S4</t>
        </is>
      </c>
      <c r="C456" s="37" t="inlineStr">
        <is>
          <t>Biochimie clinique</t>
        </is>
      </c>
      <c r="D456" s="37" t="inlineStr"/>
      <c r="E456" s="37" t="inlineStr">
        <is>
          <t>Les protéines sanguines</t>
        </is>
      </c>
      <c r="F456" s="18" t="n"/>
      <c r="G456" s="19" t="n"/>
      <c r="H456" s="20">
        <f>IF($G456="",1,IF($G456=0,1,IF($G456=1,3,IF($G456=2,7,IF($G456=3,14,IF($G456=4,30,60))))))</f>
        <v/>
      </c>
      <c r="I456" s="21">
        <f>IF($F456="","",$F456+$H456)</f>
        <v/>
      </c>
      <c r="J456">
        <f>IF($F456="","⚪ NEW",IF($G456&gt;=5,"✅ DONE",IF($I456&lt;TODAY(),"🔴 OVERDUE",IF($I456=TODAY(),"🟢 TODAY",IF($I456=TODAY()+1,"🔵 TOMORROW",IF($I456&lt;=TODAY()+7,"📅 THIS WEEK","⏳ SCHEDULED"))))))</f>
        <v/>
      </c>
      <c r="K456" s="20">
        <f>IF($F456="",999,IF($G456&gt;=5,9999,IF($I456="",999,$I456-TODAY())))</f>
        <v/>
      </c>
    </row>
    <row r="457">
      <c r="A457" s="36">
        <f>ROW()-2</f>
        <v/>
      </c>
      <c r="B457" s="37" t="inlineStr">
        <is>
          <t>S4</t>
        </is>
      </c>
      <c r="C457" s="37" t="inlineStr">
        <is>
          <t>Biochimie clinique</t>
        </is>
      </c>
      <c r="D457" s="37" t="inlineStr"/>
      <c r="E457" s="37" t="inlineStr">
        <is>
          <t>Les protéinuries</t>
        </is>
      </c>
      <c r="F457" s="18" t="n"/>
      <c r="G457" s="19" t="n"/>
      <c r="H457" s="20">
        <f>IF($G457="",1,IF($G457=0,1,IF($G457=1,3,IF($G457=2,7,IF($G457=3,14,IF($G457=4,30,60))))))</f>
        <v/>
      </c>
      <c r="I457" s="21">
        <f>IF($F457="","",$F457+$H457)</f>
        <v/>
      </c>
      <c r="J457">
        <f>IF($F457="","⚪ NEW",IF($G457&gt;=5,"✅ DONE",IF($I457&lt;TODAY(),"🔴 OVERDUE",IF($I457=TODAY(),"🟢 TODAY",IF($I457=TODAY()+1,"🔵 TOMORROW",IF($I457&lt;=TODAY()+7,"📅 THIS WEEK","⏳ SCHEDULED"))))))</f>
        <v/>
      </c>
      <c r="K457" s="20">
        <f>IF($F457="",999,IF($G457&gt;=5,9999,IF($I457="",999,$I457-TODAY())))</f>
        <v/>
      </c>
    </row>
    <row r="458">
      <c r="A458" s="36">
        <f>ROW()-2</f>
        <v/>
      </c>
      <c r="B458" s="37" t="inlineStr">
        <is>
          <t>S4</t>
        </is>
      </c>
      <c r="C458" s="37" t="inlineStr">
        <is>
          <t>Biochimie clinique</t>
        </is>
      </c>
      <c r="D458" s="37" t="inlineStr"/>
      <c r="E458" s="37" t="inlineStr">
        <is>
          <t>Les enzymes sériques</t>
        </is>
      </c>
      <c r="F458" s="18" t="n"/>
      <c r="G458" s="19" t="n"/>
      <c r="H458" s="20">
        <f>IF($G458="",1,IF($G458=0,1,IF($G458=1,3,IF($G458=2,7,IF($G458=3,14,IF($G458=4,30,60))))))</f>
        <v/>
      </c>
      <c r="I458" s="21">
        <f>IF($F458="","",$F458+$H458)</f>
        <v/>
      </c>
      <c r="J458">
        <f>IF($F458="","⚪ NEW",IF($G458&gt;=5,"✅ DONE",IF($I458&lt;TODAY(),"🔴 OVERDUE",IF($I458=TODAY(),"🟢 TODAY",IF($I458=TODAY()+1,"🔵 TOMORROW",IF($I458&lt;=TODAY()+7,"📅 THIS WEEK","⏳ SCHEDULED"))))))</f>
        <v/>
      </c>
      <c r="K458" s="20">
        <f>IF($F458="",999,IF($G458&gt;=5,9999,IF($I458="",999,$I458-TODAY())))</f>
        <v/>
      </c>
    </row>
    <row r="459">
      <c r="A459" s="36">
        <f>ROW()-2</f>
        <v/>
      </c>
      <c r="B459" s="37" t="inlineStr">
        <is>
          <t>S4</t>
        </is>
      </c>
      <c r="C459" s="37" t="inlineStr">
        <is>
          <t>Biochimie clinique</t>
        </is>
      </c>
      <c r="D459" s="37" t="inlineStr"/>
      <c r="E459" s="37" t="inlineStr">
        <is>
          <t>Les enzymes hépatiques</t>
        </is>
      </c>
      <c r="F459" s="18" t="n"/>
      <c r="G459" s="19" t="n"/>
      <c r="H459" s="20">
        <f>IF($G459="",1,IF($G459=0,1,IF($G459=1,3,IF($G459=2,7,IF($G459=3,14,IF($G459=4,30,60))))))</f>
        <v/>
      </c>
      <c r="I459" s="21">
        <f>IF($F459="","",$F459+$H459)</f>
        <v/>
      </c>
      <c r="J459">
        <f>IF($F459="","⚪ NEW",IF($G459&gt;=5,"✅ DONE",IF($I459&lt;TODAY(),"🔴 OVERDUE",IF($I459=TODAY(),"🟢 TODAY",IF($I459=TODAY()+1,"🔵 TOMORROW",IF($I459&lt;=TODAY()+7,"📅 THIS WEEK","⏳ SCHEDULED"))))))</f>
        <v/>
      </c>
      <c r="K459" s="20">
        <f>IF($F459="",999,IF($G459&gt;=5,9999,IF($I459="",999,$I459-TODAY())))</f>
        <v/>
      </c>
    </row>
    <row r="460">
      <c r="A460" s="36">
        <f>ROW()-2</f>
        <v/>
      </c>
      <c r="B460" s="37" t="inlineStr">
        <is>
          <t>S4</t>
        </is>
      </c>
      <c r="C460" s="37" t="inlineStr">
        <is>
          <t>Biochimie clinique</t>
        </is>
      </c>
      <c r="D460" s="37" t="inlineStr"/>
      <c r="E460" s="37" t="inlineStr">
        <is>
          <t>Le diabète sucré</t>
        </is>
      </c>
      <c r="F460" s="18" t="n"/>
      <c r="G460" s="19" t="n"/>
      <c r="H460" s="20">
        <f>IF($G460="",1,IF($G460=0,1,IF($G460=1,3,IF($G460=2,7,IF($G460=3,14,IF($G460=4,30,60))))))</f>
        <v/>
      </c>
      <c r="I460" s="21">
        <f>IF($F460="","",$F460+$H460)</f>
        <v/>
      </c>
      <c r="J460">
        <f>IF($F460="","⚪ NEW",IF($G460&gt;=5,"✅ DONE",IF($I460&lt;TODAY(),"🔴 OVERDUE",IF($I460=TODAY(),"🟢 TODAY",IF($I460=TODAY()+1,"🔵 TOMORROW",IF($I460&lt;=TODAY()+7,"📅 THIS WEEK","⏳ SCHEDULED"))))))</f>
        <v/>
      </c>
      <c r="K460" s="20">
        <f>IF($F460="",999,IF($G460&gt;=5,9999,IF($I460="",999,$I460-TODAY())))</f>
        <v/>
      </c>
    </row>
    <row r="461">
      <c r="A461" s="36">
        <f>ROW()-2</f>
        <v/>
      </c>
      <c r="B461" s="37" t="inlineStr">
        <is>
          <t>S4</t>
        </is>
      </c>
      <c r="C461" s="37" t="inlineStr">
        <is>
          <t>Biochimie clinique</t>
        </is>
      </c>
      <c r="D461" s="37" t="inlineStr"/>
      <c r="E461" s="37" t="inlineStr">
        <is>
          <t>Exploration du métabolisme des catécholamines</t>
        </is>
      </c>
      <c r="F461" s="18" t="n"/>
      <c r="G461" s="19" t="n"/>
      <c r="H461" s="20">
        <f>IF($G461="",1,IF($G461=0,1,IF($G461=1,3,IF($G461=2,7,IF($G461=3,14,IF($G461=4,30,60))))))</f>
        <v/>
      </c>
      <c r="I461" s="21">
        <f>IF($F461="","",$F461+$H461)</f>
        <v/>
      </c>
      <c r="J461">
        <f>IF($F461="","⚪ NEW",IF($G461&gt;=5,"✅ DONE",IF($I461&lt;TODAY(),"🔴 OVERDUE",IF($I461=TODAY(),"🟢 TODAY",IF($I461=TODAY()+1,"🔵 TOMORROW",IF($I461&lt;=TODAY()+7,"📅 THIS WEEK","⏳ SCHEDULED"))))))</f>
        <v/>
      </c>
      <c r="K461" s="20">
        <f>IF($F461="",999,IF($G461&gt;=5,9999,IF($I461="",999,$I461-TODAY())))</f>
        <v/>
      </c>
    </row>
    <row r="462">
      <c r="A462" s="36">
        <f>ROW()-2</f>
        <v/>
      </c>
      <c r="B462" s="37" t="inlineStr">
        <is>
          <t>S4</t>
        </is>
      </c>
      <c r="C462" s="37" t="inlineStr">
        <is>
          <t>Biochimie clinique</t>
        </is>
      </c>
      <c r="D462" s="37" t="inlineStr"/>
      <c r="E462" s="37" t="inlineStr">
        <is>
          <t>Les aminoacidopathies et les aminoaciduries</t>
        </is>
      </c>
      <c r="F462" s="18" t="n"/>
      <c r="G462" s="19" t="n"/>
      <c r="H462" s="20">
        <f>IF($G462="",1,IF($G462=0,1,IF($G462=1,3,IF($G462=2,7,IF($G462=3,14,IF($G462=4,30,60))))))</f>
        <v/>
      </c>
      <c r="I462" s="21">
        <f>IF($F462="","",$F462+$H462)</f>
        <v/>
      </c>
      <c r="J462">
        <f>IF($F462="","⚪ NEW",IF($G462&gt;=5,"✅ DONE",IF($I462&lt;TODAY(),"🔴 OVERDUE",IF($I462=TODAY(),"🟢 TODAY",IF($I462=TODAY()+1,"🔵 TOMORROW",IF($I462&lt;=TODAY()+7,"📅 THIS WEEK","⏳ SCHEDULED"))))))</f>
        <v/>
      </c>
      <c r="K462" s="20">
        <f>IF($F462="",999,IF($G462&gt;=5,9999,IF($I462="",999,$I462-TODAY())))</f>
        <v/>
      </c>
    </row>
    <row r="463">
      <c r="A463" s="36">
        <f>ROW()-2</f>
        <v/>
      </c>
      <c r="B463" s="37" t="inlineStr">
        <is>
          <t>S4</t>
        </is>
      </c>
      <c r="C463" s="37" t="inlineStr">
        <is>
          <t>Biochimie clinique</t>
        </is>
      </c>
      <c r="D463" s="37" t="inlineStr"/>
      <c r="E463" s="37" t="inlineStr">
        <is>
          <t>Exploration fonctionnelle rénale</t>
        </is>
      </c>
      <c r="F463" s="18" t="n"/>
      <c r="G463" s="19" t="n"/>
      <c r="H463" s="20">
        <f>IF($G463="",1,IF($G463=0,1,IF($G463=1,3,IF($G463=2,7,IF($G463=3,14,IF($G463=4,30,60))))))</f>
        <v/>
      </c>
      <c r="I463" s="21">
        <f>IF($F463="","",$F463+$H463)</f>
        <v/>
      </c>
      <c r="J463">
        <f>IF($F463="","⚪ NEW",IF($G463&gt;=5,"✅ DONE",IF($I463&lt;TODAY(),"🔴 OVERDUE",IF($I463=TODAY(),"🟢 TODAY",IF($I463=TODAY()+1,"🔵 TOMORROW",IF($I463&lt;=TODAY()+7,"📅 THIS WEEK","⏳ SCHEDULED"))))))</f>
        <v/>
      </c>
      <c r="K463" s="20">
        <f>IF($F463="",999,IF($G463&gt;=5,9999,IF($I463="",999,$I463-TODAY())))</f>
        <v/>
      </c>
    </row>
    <row r="464">
      <c r="A464" s="36">
        <f>ROW()-2</f>
        <v/>
      </c>
      <c r="B464" s="37" t="inlineStr">
        <is>
          <t>S4</t>
        </is>
      </c>
      <c r="C464" s="37" t="inlineStr">
        <is>
          <t>Biochimie clinique</t>
        </is>
      </c>
      <c r="D464" s="37" t="inlineStr"/>
      <c r="E464" s="37" t="inlineStr">
        <is>
          <t>Exploration du métabolisme du calcium et du phosphore</t>
        </is>
      </c>
      <c r="F464" s="18" t="n"/>
      <c r="G464" s="19" t="n"/>
      <c r="H464" s="20">
        <f>IF($G464="",1,IF($G464=0,1,IF($G464=1,3,IF($G464=2,7,IF($G464=3,14,IF($G464=4,30,60))))))</f>
        <v/>
      </c>
      <c r="I464" s="21">
        <f>IF($F464="","",$F464+$H464)</f>
        <v/>
      </c>
      <c r="J464">
        <f>IF($F464="","⚪ NEW",IF($G464&gt;=5,"✅ DONE",IF($I464&lt;TODAY(),"🔴 OVERDUE",IF($I464=TODAY(),"🟢 TODAY",IF($I464=TODAY()+1,"🔵 TOMORROW",IF($I464&lt;=TODAY()+7,"📅 THIS WEEK","⏳ SCHEDULED"))))))</f>
        <v/>
      </c>
      <c r="K464" s="20">
        <f>IF($F464="",999,IF($G464&gt;=5,9999,IF($I464="",999,$I464-TODAY())))</f>
        <v/>
      </c>
    </row>
    <row r="465">
      <c r="A465" s="36">
        <f>ROW()-2</f>
        <v/>
      </c>
      <c r="B465" s="37" t="inlineStr">
        <is>
          <t>S4</t>
        </is>
      </c>
      <c r="C465" s="37" t="inlineStr">
        <is>
          <t>Biochimie clinique</t>
        </is>
      </c>
      <c r="D465" s="37" t="inlineStr"/>
      <c r="E465" s="37" t="inlineStr">
        <is>
          <t>Métabolisme du fer</t>
        </is>
      </c>
      <c r="F465" s="18" t="n"/>
      <c r="G465" s="19" t="n"/>
      <c r="H465" s="20">
        <f>IF($G465="",1,IF($G465=0,1,IF($G465=1,3,IF($G465=2,7,IF($G465=3,14,IF($G465=4,30,60))))))</f>
        <v/>
      </c>
      <c r="I465" s="21">
        <f>IF($F465="","",$F465+$H465)</f>
        <v/>
      </c>
      <c r="J465">
        <f>IF($F465="","⚪ NEW",IF($G465&gt;=5,"✅ DONE",IF($I465&lt;TODAY(),"🔴 OVERDUE",IF($I465=TODAY(),"🟢 TODAY",IF($I465=TODAY()+1,"🔵 TOMORROW",IF($I465&lt;=TODAY()+7,"📅 THIS WEEK","⏳ SCHEDULED"))))))</f>
        <v/>
      </c>
      <c r="K465" s="20">
        <f>IF($F465="",999,IF($G465&gt;=5,9999,IF($I465="",999,$I465-TODAY())))</f>
        <v/>
      </c>
    </row>
    <row r="466">
      <c r="A466" s="36">
        <f>ROW()-2</f>
        <v/>
      </c>
      <c r="B466" s="37" t="inlineStr">
        <is>
          <t>S4</t>
        </is>
      </c>
      <c r="C466" s="37" t="inlineStr">
        <is>
          <t>Biochimie clinique</t>
        </is>
      </c>
      <c r="D466" s="37" t="inlineStr"/>
      <c r="E466" s="37" t="inlineStr">
        <is>
          <t>Exploration du métabolisme des lipoprotéines</t>
        </is>
      </c>
      <c r="F466" s="18" t="n"/>
      <c r="G466" s="19" t="n"/>
      <c r="H466" s="20">
        <f>IF($G466="",1,IF($G466=0,1,IF($G466=1,3,IF($G466=2,7,IF($G466=3,14,IF($G466=4,30,60))))))</f>
        <v/>
      </c>
      <c r="I466" s="21">
        <f>IF($F466="","",$F466+$H466)</f>
        <v/>
      </c>
      <c r="J466">
        <f>IF($F466="","⚪ NEW",IF($G466&gt;=5,"✅ DONE",IF($I466&lt;TODAY(),"🔴 OVERDUE",IF($I466=TODAY(),"🟢 TODAY",IF($I466=TODAY()+1,"🔵 TOMORROW",IF($I466&lt;=TODAY()+7,"📅 THIS WEEK","⏳ SCHEDULED"))))))</f>
        <v/>
      </c>
      <c r="K466" s="20">
        <f>IF($F466="",999,IF($G466&gt;=5,9999,IF($I466="",999,$I466-TODAY())))</f>
        <v/>
      </c>
    </row>
    <row r="467">
      <c r="A467" s="36">
        <f>ROW()-2</f>
        <v/>
      </c>
      <c r="B467" s="37" t="inlineStr">
        <is>
          <t>S4</t>
        </is>
      </c>
      <c r="C467" s="37" t="inlineStr">
        <is>
          <t>Biochimie clinique</t>
        </is>
      </c>
      <c r="D467" s="37" t="inlineStr"/>
      <c r="E467" s="37" t="inlineStr">
        <is>
          <t>Exploration de la thyroïde</t>
        </is>
      </c>
      <c r="F467" s="18" t="n"/>
      <c r="G467" s="19" t="n"/>
      <c r="H467" s="20">
        <f>IF($G467="",1,IF($G467=0,1,IF($G467=1,3,IF($G467=2,7,IF($G467=3,14,IF($G467=4,30,60))))))</f>
        <v/>
      </c>
      <c r="I467" s="21">
        <f>IF($F467="","",$F467+$H467)</f>
        <v/>
      </c>
      <c r="J467">
        <f>IF($F467="","⚪ NEW",IF($G467&gt;=5,"✅ DONE",IF($I467&lt;TODAY(),"🔴 OVERDUE",IF($I467=TODAY(),"🟢 TODAY",IF($I467=TODAY()+1,"🔵 TOMORROW",IF($I467&lt;=TODAY()+7,"📅 THIS WEEK","⏳ SCHEDULED"))))))</f>
        <v/>
      </c>
      <c r="K467" s="20">
        <f>IF($F467="",999,IF($G467&gt;=5,9999,IF($I467="",999,$I467-TODAY())))</f>
        <v/>
      </c>
    </row>
    <row r="468">
      <c r="A468" s="36">
        <f>ROW()-2</f>
        <v/>
      </c>
      <c r="B468" s="37" t="inlineStr">
        <is>
          <t>S4</t>
        </is>
      </c>
      <c r="C468" s="37" t="inlineStr">
        <is>
          <t>Biochimie clinique</t>
        </is>
      </c>
      <c r="D468" s="37" t="inlineStr"/>
      <c r="E468" s="37" t="inlineStr">
        <is>
          <t>Exploration de la corticosurrénale</t>
        </is>
      </c>
      <c r="F468" s="18" t="n"/>
      <c r="G468" s="19" t="n"/>
      <c r="H468" s="20">
        <f>IF($G468="",1,IF($G468=0,1,IF($G468=1,3,IF($G468=2,7,IF($G468=3,14,IF($G468=4,30,60))))))</f>
        <v/>
      </c>
      <c r="I468" s="21">
        <f>IF($F468="","",$F468+$H468)</f>
        <v/>
      </c>
      <c r="J468">
        <f>IF($F468="","⚪ NEW",IF($G468&gt;=5,"✅ DONE",IF($I468&lt;TODAY(),"🔴 OVERDUE",IF($I468=TODAY(),"🟢 TODAY",IF($I468=TODAY()+1,"🔵 TOMORROW",IF($I468&lt;=TODAY()+7,"📅 THIS WEEK","⏳ SCHEDULED"))))))</f>
        <v/>
      </c>
      <c r="K468" s="20">
        <f>IF($F468="",999,IF($G468&gt;=5,9999,IF($I468="",999,$I468-TODAY())))</f>
        <v/>
      </c>
    </row>
    <row r="469">
      <c r="A469" s="36">
        <f>ROW()-2</f>
        <v/>
      </c>
      <c r="B469" s="37" t="inlineStr">
        <is>
          <t>S4</t>
        </is>
      </c>
      <c r="C469" s="37" t="inlineStr">
        <is>
          <t>Biochimie clinique</t>
        </is>
      </c>
      <c r="D469" s="37" t="inlineStr"/>
      <c r="E469" s="37" t="inlineStr">
        <is>
          <t>Exploration biochimique de l'ovaire endocrine</t>
        </is>
      </c>
      <c r="F469" s="18" t="n"/>
      <c r="G469" s="19" t="n"/>
      <c r="H469" s="20">
        <f>IF($G469="",1,IF($G469=0,1,IF($G469=1,3,IF($G469=2,7,IF($G469=3,14,IF($G469=4,30,60))))))</f>
        <v/>
      </c>
      <c r="I469" s="21">
        <f>IF($F469="","",$F469+$H469)</f>
        <v/>
      </c>
      <c r="J469">
        <f>IF($F469="","⚪ NEW",IF($G469&gt;=5,"✅ DONE",IF($I469&lt;TODAY(),"🔴 OVERDUE",IF($I469=TODAY(),"🟢 TODAY",IF($I469=TODAY()+1,"🔵 TOMORROW",IF($I469&lt;=TODAY()+7,"📅 THIS WEEK","⏳ SCHEDULED"))))))</f>
        <v/>
      </c>
      <c r="K469" s="20">
        <f>IF($F469="",999,IF($G469&gt;=5,9999,IF($I469="",999,$I469-TODAY())))</f>
        <v/>
      </c>
    </row>
    <row r="470">
      <c r="A470" s="36">
        <f>ROW()-2</f>
        <v/>
      </c>
      <c r="B470" s="37" t="inlineStr">
        <is>
          <t>S4</t>
        </is>
      </c>
      <c r="C470" s="37" t="inlineStr">
        <is>
          <t>Biochimie clinique</t>
        </is>
      </c>
      <c r="D470" s="37" t="inlineStr"/>
      <c r="E470" s="37" t="inlineStr">
        <is>
          <t>Exploration biochimique du testicule endocrine</t>
        </is>
      </c>
      <c r="F470" s="18" t="n"/>
      <c r="G470" s="19" t="n"/>
      <c r="H470" s="20">
        <f>IF($G470="",1,IF($G470=0,1,IF($G470=1,3,IF($G470=2,7,IF($G470=3,14,IF($G470=4,30,60))))))</f>
        <v/>
      </c>
      <c r="I470" s="21">
        <f>IF($F470="","",$F470+$H470)</f>
        <v/>
      </c>
      <c r="J470">
        <f>IF($F470="","⚪ NEW",IF($G470&gt;=5,"✅ DONE",IF($I470&lt;TODAY(),"🔴 OVERDUE",IF($I470=TODAY(),"🟢 TODAY",IF($I470=TODAY()+1,"🔵 TOMORROW",IF($I470&lt;=TODAY()+7,"📅 THIS WEEK","⏳ SCHEDULED"))))))</f>
        <v/>
      </c>
      <c r="K470" s="20">
        <f>IF($F470="",999,IF($G470&gt;=5,9999,IF($I470="",999,$I470-TODAY())))</f>
        <v/>
      </c>
    </row>
    <row r="471">
      <c r="A471" s="36">
        <f>ROW()-2</f>
        <v/>
      </c>
      <c r="B471" s="37" t="inlineStr">
        <is>
          <t>S4</t>
        </is>
      </c>
      <c r="C471" s="37" t="inlineStr">
        <is>
          <t>Biochimie clinique</t>
        </is>
      </c>
      <c r="D471" s="37" t="inlineStr"/>
      <c r="E471" s="37" t="inlineStr">
        <is>
          <t>Marqueurs biochimiques des syndromes coronariens aigus et de l'insuffisance cardiaque</t>
        </is>
      </c>
      <c r="F471" s="18" t="n"/>
      <c r="G471" s="19" t="n"/>
      <c r="H471" s="20">
        <f>IF($G471="",1,IF($G471=0,1,IF($G471=1,3,IF($G471=2,7,IF($G471=3,14,IF($G471=4,30,60))))))</f>
        <v/>
      </c>
      <c r="I471" s="21">
        <f>IF($F471="","",$F471+$H471)</f>
        <v/>
      </c>
      <c r="J471">
        <f>IF($F471="","⚪ NEW",IF($G471&gt;=5,"✅ DONE",IF($I471&lt;TODAY(),"🔴 OVERDUE",IF($I471=TODAY(),"🟢 TODAY",IF($I471=TODAY()+1,"🔵 TOMORROW",IF($I471&lt;=TODAY()+7,"📅 THIS WEEK","⏳ SCHEDULED"))))))</f>
        <v/>
      </c>
      <c r="K471" s="20">
        <f>IF($F471="",999,IF($G471&gt;=5,9999,IF($I471="",999,$I471-TODAY())))</f>
        <v/>
      </c>
    </row>
    <row r="472">
      <c r="A472" s="38">
        <f>ROW()-2</f>
        <v/>
      </c>
      <c r="B472" s="39" t="inlineStr">
        <is>
          <t>S4</t>
        </is>
      </c>
      <c r="C472" s="39" t="inlineStr">
        <is>
          <t>Physiologie II</t>
        </is>
      </c>
      <c r="D472" s="39" t="inlineStr">
        <is>
          <t>Physiologie neurologique</t>
        </is>
      </c>
      <c r="E472" s="39" t="inlineStr">
        <is>
          <t>Organisation générale du système nerveux central</t>
        </is>
      </c>
      <c r="F472" s="18" t="n"/>
      <c r="G472" s="19" t="n"/>
      <c r="H472" s="20">
        <f>IF($G472="",1,IF($G472=0,1,IF($G472=1,3,IF($G472=2,7,IF($G472=3,14,IF($G472=4,30,60))))))</f>
        <v/>
      </c>
      <c r="I472" s="21">
        <f>IF($F472="","",$F472+$H472)</f>
        <v/>
      </c>
      <c r="J472">
        <f>IF($F472="","⚪ NEW",IF($G472&gt;=5,"✅ DONE",IF($I472&lt;TODAY(),"🔴 OVERDUE",IF($I472=TODAY(),"🟢 TODAY",IF($I472=TODAY()+1,"🔵 TOMORROW",IF($I472&lt;=TODAY()+7,"📅 THIS WEEK","⏳ SCHEDULED"))))))</f>
        <v/>
      </c>
      <c r="K472" s="20">
        <f>IF($F472="",999,IF($G472&gt;=5,9999,IF($I472="",999,$I472-TODAY())))</f>
        <v/>
      </c>
    </row>
    <row r="473">
      <c r="A473" s="38">
        <f>ROW()-2</f>
        <v/>
      </c>
      <c r="B473" s="39" t="inlineStr">
        <is>
          <t>S4</t>
        </is>
      </c>
      <c r="C473" s="39" t="inlineStr">
        <is>
          <t>Physiologie II</t>
        </is>
      </c>
      <c r="D473" s="39" t="inlineStr">
        <is>
          <t>Physiologie neurologique</t>
        </is>
      </c>
      <c r="E473" s="39" t="inlineStr">
        <is>
          <t>Les bases neurophysiologiques du fonctionnement d'un neurone - partie 1</t>
        </is>
      </c>
      <c r="F473" s="18" t="n"/>
      <c r="G473" s="19" t="n"/>
      <c r="H473" s="20">
        <f>IF($G473="",1,IF($G473=0,1,IF($G473=1,3,IF($G473=2,7,IF($G473=3,14,IF($G473=4,30,60))))))</f>
        <v/>
      </c>
      <c r="I473" s="21">
        <f>IF($F473="","",$F473+$H473)</f>
        <v/>
      </c>
      <c r="J473">
        <f>IF($F473="","⚪ NEW",IF($G473&gt;=5,"✅ DONE",IF($I473&lt;TODAY(),"🔴 OVERDUE",IF($I473=TODAY(),"🟢 TODAY",IF($I473=TODAY()+1,"🔵 TOMORROW",IF($I473&lt;=TODAY()+7,"📅 THIS WEEK","⏳ SCHEDULED"))))))</f>
        <v/>
      </c>
      <c r="K473" s="20">
        <f>IF($F473="",999,IF($G473&gt;=5,9999,IF($I473="",999,$I473-TODAY())))</f>
        <v/>
      </c>
    </row>
    <row r="474">
      <c r="A474" s="38">
        <f>ROW()-2</f>
        <v/>
      </c>
      <c r="B474" s="39" t="inlineStr">
        <is>
          <t>S4</t>
        </is>
      </c>
      <c r="C474" s="39" t="inlineStr">
        <is>
          <t>Physiologie II</t>
        </is>
      </c>
      <c r="D474" s="39" t="inlineStr">
        <is>
          <t>Physiologie neurologique</t>
        </is>
      </c>
      <c r="E474" s="39" t="inlineStr">
        <is>
          <t>Les bases neurophysiologiques du fonctionnement d'un neurone - partie 2</t>
        </is>
      </c>
      <c r="F474" s="18" t="n"/>
      <c r="G474" s="19" t="n"/>
      <c r="H474" s="20">
        <f>IF($G474="",1,IF($G474=0,1,IF($G474=1,3,IF($G474=2,7,IF($G474=3,14,IF($G474=4,30,60))))))</f>
        <v/>
      </c>
      <c r="I474" s="21">
        <f>IF($F474="","",$F474+$H474)</f>
        <v/>
      </c>
      <c r="J474">
        <f>IF($F474="","⚪ NEW",IF($G474&gt;=5,"✅ DONE",IF($I474&lt;TODAY(),"🔴 OVERDUE",IF($I474=TODAY(),"🟢 TODAY",IF($I474=TODAY()+1,"🔵 TOMORROW",IF($I474&lt;=TODAY()+7,"📅 THIS WEEK","⏳ SCHEDULED"))))))</f>
        <v/>
      </c>
      <c r="K474" s="20">
        <f>IF($F474="",999,IF($G474&gt;=5,9999,IF($I474="",999,$I474-TODAY())))</f>
        <v/>
      </c>
    </row>
    <row r="475">
      <c r="A475" s="38">
        <f>ROW()-2</f>
        <v/>
      </c>
      <c r="B475" s="39" t="inlineStr">
        <is>
          <t>S4</t>
        </is>
      </c>
      <c r="C475" s="39" t="inlineStr">
        <is>
          <t>Physiologie II</t>
        </is>
      </c>
      <c r="D475" s="39" t="inlineStr">
        <is>
          <t>Physiologie neurologique</t>
        </is>
      </c>
      <c r="E475" s="39" t="inlineStr">
        <is>
          <t>La somesthésie</t>
        </is>
      </c>
      <c r="F475" s="18" t="n"/>
      <c r="G475" s="19" t="n"/>
      <c r="H475" s="20">
        <f>IF($G475="",1,IF($G475=0,1,IF($G475=1,3,IF($G475=2,7,IF($G475=3,14,IF($G475=4,30,60))))))</f>
        <v/>
      </c>
      <c r="I475" s="21">
        <f>IF($F475="","",$F475+$H475)</f>
        <v/>
      </c>
      <c r="J475">
        <f>IF($F475="","⚪ NEW",IF($G475&gt;=5,"✅ DONE",IF($I475&lt;TODAY(),"🔴 OVERDUE",IF($I475=TODAY(),"🟢 TODAY",IF($I475=TODAY()+1,"🔵 TOMORROW",IF($I475&lt;=TODAY()+7,"📅 THIS WEEK","⏳ SCHEDULED"))))))</f>
        <v/>
      </c>
      <c r="K475" s="20">
        <f>IF($F475="",999,IF($G475&gt;=5,9999,IF($I475="",999,$I475-TODAY())))</f>
        <v/>
      </c>
    </row>
    <row r="476">
      <c r="A476" s="38">
        <f>ROW()-2</f>
        <v/>
      </c>
      <c r="B476" s="39" t="inlineStr">
        <is>
          <t>S4</t>
        </is>
      </c>
      <c r="C476" s="39" t="inlineStr">
        <is>
          <t>Physiologie II</t>
        </is>
      </c>
      <c r="D476" s="39" t="inlineStr">
        <is>
          <t>Physiologie neurologique</t>
        </is>
      </c>
      <c r="E476" s="39" t="inlineStr">
        <is>
          <t>Physiologie de la douleur</t>
        </is>
      </c>
      <c r="F476" s="18" t="n"/>
      <c r="G476" s="19" t="n"/>
      <c r="H476" s="20">
        <f>IF($G476="",1,IF($G476=0,1,IF($G476=1,3,IF($G476=2,7,IF($G476=3,14,IF($G476=4,30,60))))))</f>
        <v/>
      </c>
      <c r="I476" s="21">
        <f>IF($F476="","",$F476+$H476)</f>
        <v/>
      </c>
      <c r="J476">
        <f>IF($F476="","⚪ NEW",IF($G476&gt;=5,"✅ DONE",IF($I476&lt;TODAY(),"🔴 OVERDUE",IF($I476=TODAY(),"🟢 TODAY",IF($I476=TODAY()+1,"🔵 TOMORROW",IF($I476&lt;=TODAY()+7,"📅 THIS WEEK","⏳ SCHEDULED"))))))</f>
        <v/>
      </c>
      <c r="K476" s="20">
        <f>IF($F476="",999,IF($G476&gt;=5,9999,IF($I476="",999,$I476-TODAY())))</f>
        <v/>
      </c>
    </row>
    <row r="477">
      <c r="A477" s="38">
        <f>ROW()-2</f>
        <v/>
      </c>
      <c r="B477" s="39" t="inlineStr">
        <is>
          <t>S4</t>
        </is>
      </c>
      <c r="C477" s="39" t="inlineStr">
        <is>
          <t>Physiologie II</t>
        </is>
      </c>
      <c r="D477" s="39" t="inlineStr">
        <is>
          <t>Physiologie neurologique</t>
        </is>
      </c>
      <c r="E477" s="39" t="inlineStr">
        <is>
          <t>Physiologie de l'audition</t>
        </is>
      </c>
      <c r="F477" s="18" t="n"/>
      <c r="G477" s="19" t="n"/>
      <c r="H477" s="20">
        <f>IF($G477="",1,IF($G477=0,1,IF($G477=1,3,IF($G477=2,7,IF($G477=3,14,IF($G477=4,30,60))))))</f>
        <v/>
      </c>
      <c r="I477" s="21">
        <f>IF($F477="","",$F477+$H477)</f>
        <v/>
      </c>
      <c r="J477">
        <f>IF($F477="","⚪ NEW",IF($G477&gt;=5,"✅ DONE",IF($I477&lt;TODAY(),"🔴 OVERDUE",IF($I477=TODAY(),"🟢 TODAY",IF($I477=TODAY()+1,"🔵 TOMORROW",IF($I477&lt;=TODAY()+7,"📅 THIS WEEK","⏳ SCHEDULED"))))))</f>
        <v/>
      </c>
      <c r="K477" s="20">
        <f>IF($F477="",999,IF($G477&gt;=5,9999,IF($I477="",999,$I477-TODAY())))</f>
        <v/>
      </c>
    </row>
    <row r="478">
      <c r="A478" s="38">
        <f>ROW()-2</f>
        <v/>
      </c>
      <c r="B478" s="39" t="inlineStr">
        <is>
          <t>S4</t>
        </is>
      </c>
      <c r="C478" s="39" t="inlineStr">
        <is>
          <t>Physiologie II</t>
        </is>
      </c>
      <c r="D478" s="39" t="inlineStr">
        <is>
          <t>Physiologie neurologique</t>
        </is>
      </c>
      <c r="E478" s="39" t="inlineStr">
        <is>
          <t>Physiologie de l'olfaction</t>
        </is>
      </c>
      <c r="F478" s="18" t="n"/>
      <c r="G478" s="19" t="n"/>
      <c r="H478" s="20">
        <f>IF($G478="",1,IF($G478=0,1,IF($G478=1,3,IF($G478=2,7,IF($G478=3,14,IF($G478=4,30,60))))))</f>
        <v/>
      </c>
      <c r="I478" s="21">
        <f>IF($F478="","",$F478+$H478)</f>
        <v/>
      </c>
      <c r="J478">
        <f>IF($F478="","⚪ NEW",IF($G478&gt;=5,"✅ DONE",IF($I478&lt;TODAY(),"🔴 OVERDUE",IF($I478=TODAY(),"🟢 TODAY",IF($I478=TODAY()+1,"🔵 TOMORROW",IF($I478&lt;=TODAY()+7,"📅 THIS WEEK","⏳ SCHEDULED"))))))</f>
        <v/>
      </c>
      <c r="K478" s="20">
        <f>IF($F478="",999,IF($G478&gt;=5,9999,IF($I478="",999,$I478-TODAY())))</f>
        <v/>
      </c>
    </row>
    <row r="479">
      <c r="A479" s="38">
        <f>ROW()-2</f>
        <v/>
      </c>
      <c r="B479" s="39" t="inlineStr">
        <is>
          <t>S4</t>
        </is>
      </c>
      <c r="C479" s="39" t="inlineStr">
        <is>
          <t>Physiologie II</t>
        </is>
      </c>
      <c r="D479" s="39" t="inlineStr">
        <is>
          <t>Physiologie neurologique</t>
        </is>
      </c>
      <c r="E479" s="39" t="inlineStr">
        <is>
          <t>Physiologie de la gustation</t>
        </is>
      </c>
      <c r="F479" s="18" t="n"/>
      <c r="G479" s="19" t="n"/>
      <c r="H479" s="20">
        <f>IF($G479="",1,IF($G479=0,1,IF($G479=1,3,IF($G479=2,7,IF($G479=3,14,IF($G479=4,30,60))))))</f>
        <v/>
      </c>
      <c r="I479" s="21">
        <f>IF($F479="","",$F479+$H479)</f>
        <v/>
      </c>
      <c r="J479">
        <f>IF($F479="","⚪ NEW",IF($G479&gt;=5,"✅ DONE",IF($I479&lt;TODAY(),"🔴 OVERDUE",IF($I479=TODAY(),"🟢 TODAY",IF($I479=TODAY()+1,"🔵 TOMORROW",IF($I479&lt;=TODAY()+7,"📅 THIS WEEK","⏳ SCHEDULED"))))))</f>
        <v/>
      </c>
      <c r="K479" s="20">
        <f>IF($F479="",999,IF($G479&gt;=5,9999,IF($I479="",999,$I479-TODAY())))</f>
        <v/>
      </c>
    </row>
    <row r="480">
      <c r="A480" s="38">
        <f>ROW()-2</f>
        <v/>
      </c>
      <c r="B480" s="39" t="inlineStr">
        <is>
          <t>S4</t>
        </is>
      </c>
      <c r="C480" s="39" t="inlineStr">
        <is>
          <t>Physiologie II</t>
        </is>
      </c>
      <c r="D480" s="39" t="inlineStr">
        <is>
          <t>Physiologie neurologique</t>
        </is>
      </c>
      <c r="E480" s="39" t="inlineStr">
        <is>
          <t>Physiologie de la vision</t>
        </is>
      </c>
      <c r="F480" s="18" t="n"/>
      <c r="G480" s="19" t="n"/>
      <c r="H480" s="20">
        <f>IF($G480="",1,IF($G480=0,1,IF($G480=1,3,IF($G480=2,7,IF($G480=3,14,IF($G480=4,30,60))))))</f>
        <v/>
      </c>
      <c r="I480" s="21">
        <f>IF($F480="","",$F480+$H480)</f>
        <v/>
      </c>
      <c r="J480">
        <f>IF($F480="","⚪ NEW",IF($G480&gt;=5,"✅ DONE",IF($I480&lt;TODAY(),"🔴 OVERDUE",IF($I480=TODAY(),"🟢 TODAY",IF($I480=TODAY()+1,"🔵 TOMORROW",IF($I480&lt;=TODAY()+7,"📅 THIS WEEK","⏳ SCHEDULED"))))))</f>
        <v/>
      </c>
      <c r="K480" s="20">
        <f>IF($F480="",999,IF($G480&gt;=5,9999,IF($I480="",999,$I480-TODAY())))</f>
        <v/>
      </c>
    </row>
    <row r="481">
      <c r="A481" s="38">
        <f>ROW()-2</f>
        <v/>
      </c>
      <c r="B481" s="39" t="inlineStr">
        <is>
          <t>S4</t>
        </is>
      </c>
      <c r="C481" s="39" t="inlineStr">
        <is>
          <t>Physiologie II</t>
        </is>
      </c>
      <c r="D481" s="39" t="inlineStr">
        <is>
          <t>Physiologie neurologique</t>
        </is>
      </c>
      <c r="E481" s="39" t="inlineStr">
        <is>
          <t>Système nerveux végétatif</t>
        </is>
      </c>
      <c r="F481" s="18" t="n"/>
      <c r="G481" s="19" t="n"/>
      <c r="H481" s="20">
        <f>IF($G481="",1,IF($G481=0,1,IF($G481=1,3,IF($G481=2,7,IF($G481=3,14,IF($G481=4,30,60))))))</f>
        <v/>
      </c>
      <c r="I481" s="21">
        <f>IF($F481="","",$F481+$H481)</f>
        <v/>
      </c>
      <c r="J481">
        <f>IF($F481="","⚪ NEW",IF($G481&gt;=5,"✅ DONE",IF($I481&lt;TODAY(),"🔴 OVERDUE",IF($I481=TODAY(),"🟢 TODAY",IF($I481=TODAY()+1,"🔵 TOMORROW",IF($I481&lt;=TODAY()+7,"📅 THIS WEEK","⏳ SCHEDULED"))))))</f>
        <v/>
      </c>
      <c r="K481" s="20">
        <f>IF($F481="",999,IF($G481&gt;=5,9999,IF($I481="",999,$I481-TODAY())))</f>
        <v/>
      </c>
    </row>
    <row r="482">
      <c r="A482" s="38">
        <f>ROW()-2</f>
        <v/>
      </c>
      <c r="B482" s="39" t="inlineStr">
        <is>
          <t>S4</t>
        </is>
      </c>
      <c r="C482" s="39" t="inlineStr">
        <is>
          <t>Physiologie II</t>
        </is>
      </c>
      <c r="D482" s="39" t="inlineStr">
        <is>
          <t>Physiologie neurologique</t>
        </is>
      </c>
      <c r="E482" s="39" t="inlineStr">
        <is>
          <t>Système vestibulaire</t>
        </is>
      </c>
      <c r="F482" s="18" t="n"/>
      <c r="G482" s="19" t="n"/>
      <c r="H482" s="20">
        <f>IF($G482="",1,IF($G482=0,1,IF($G482=1,3,IF($G482=2,7,IF($G482=3,14,IF($G482=4,30,60))))))</f>
        <v/>
      </c>
      <c r="I482" s="21">
        <f>IF($F482="","",$F482+$H482)</f>
        <v/>
      </c>
      <c r="J482">
        <f>IF($F482="","⚪ NEW",IF($G482&gt;=5,"✅ DONE",IF($I482&lt;TODAY(),"🔴 OVERDUE",IF($I482=TODAY(),"🟢 TODAY",IF($I482=TODAY()+1,"🔵 TOMORROW",IF($I482&lt;=TODAY()+7,"📅 THIS WEEK","⏳ SCHEDULED"))))))</f>
        <v/>
      </c>
      <c r="K482" s="20">
        <f>IF($F482="",999,IF($G482&gt;=5,9999,IF($I482="",999,$I482-TODAY())))</f>
        <v/>
      </c>
    </row>
    <row r="483">
      <c r="A483" s="38">
        <f>ROW()-2</f>
        <v/>
      </c>
      <c r="B483" s="39" t="inlineStr">
        <is>
          <t>S4</t>
        </is>
      </c>
      <c r="C483" s="39" t="inlineStr">
        <is>
          <t>Physiologie II</t>
        </is>
      </c>
      <c r="D483" s="39" t="inlineStr">
        <is>
          <t>Physiologie neurologique</t>
        </is>
      </c>
      <c r="E483" s="39" t="inlineStr">
        <is>
          <t>La motricité</t>
        </is>
      </c>
      <c r="F483" s="18" t="n"/>
      <c r="G483" s="19" t="n"/>
      <c r="H483" s="20">
        <f>IF($G483="",1,IF($G483=0,1,IF($G483=1,3,IF($G483=2,7,IF($G483=3,14,IF($G483=4,30,60))))))</f>
        <v/>
      </c>
      <c r="I483" s="21">
        <f>IF($F483="","",$F483+$H483)</f>
        <v/>
      </c>
      <c r="J483">
        <f>IF($F483="","⚪ NEW",IF($G483&gt;=5,"✅ DONE",IF($I483&lt;TODAY(),"🔴 OVERDUE",IF($I483=TODAY(),"🟢 TODAY",IF($I483=TODAY()+1,"🔵 TOMORROW",IF($I483&lt;=TODAY()+7,"📅 THIS WEEK","⏳ SCHEDULED"))))))</f>
        <v/>
      </c>
      <c r="K483" s="20">
        <f>IF($F483="",999,IF($G483&gt;=5,9999,IF($I483="",999,$I483-TODAY())))</f>
        <v/>
      </c>
    </row>
    <row r="484">
      <c r="A484" s="38">
        <f>ROW()-2</f>
        <v/>
      </c>
      <c r="B484" s="39" t="inlineStr">
        <is>
          <t>S4</t>
        </is>
      </c>
      <c r="C484" s="39" t="inlineStr">
        <is>
          <t>Physiologie II</t>
        </is>
      </c>
      <c r="D484" s="39" t="inlineStr">
        <is>
          <t>Physiologie neurologique</t>
        </is>
      </c>
      <c r="E484" s="39" t="inlineStr">
        <is>
          <t>Le système extrapyramidal</t>
        </is>
      </c>
      <c r="F484" s="18" t="n"/>
      <c r="G484" s="19" t="n"/>
      <c r="H484" s="20">
        <f>IF($G484="",1,IF($G484=0,1,IF($G484=1,3,IF($G484=2,7,IF($G484=3,14,IF($G484=4,30,60))))))</f>
        <v/>
      </c>
      <c r="I484" s="21">
        <f>IF($F484="","",$F484+$H484)</f>
        <v/>
      </c>
      <c r="J484">
        <f>IF($F484="","⚪ NEW",IF($G484&gt;=5,"✅ DONE",IF($I484&lt;TODAY(),"🔴 OVERDUE",IF($I484=TODAY(),"🟢 TODAY",IF($I484=TODAY()+1,"🔵 TOMORROW",IF($I484&lt;=TODAY()+7,"📅 THIS WEEK","⏳ SCHEDULED"))))))</f>
        <v/>
      </c>
      <c r="K484" s="20">
        <f>IF($F484="",999,IF($G484&gt;=5,9999,IF($I484="",999,$I484-TODAY())))</f>
        <v/>
      </c>
    </row>
    <row r="485">
      <c r="A485" s="38">
        <f>ROW()-2</f>
        <v/>
      </c>
      <c r="B485" s="39" t="inlineStr">
        <is>
          <t>S4</t>
        </is>
      </c>
      <c r="C485" s="39" t="inlineStr">
        <is>
          <t>Physiologie II</t>
        </is>
      </c>
      <c r="D485" s="39" t="inlineStr">
        <is>
          <t>Physiologie neurologique</t>
        </is>
      </c>
      <c r="E485" s="39" t="inlineStr">
        <is>
          <t>Le cervelet et son rôle dans la motricité</t>
        </is>
      </c>
      <c r="F485" s="18" t="n"/>
      <c r="G485" s="19" t="n"/>
      <c r="H485" s="20">
        <f>IF($G485="",1,IF($G485=0,1,IF($G485=1,3,IF($G485=2,7,IF($G485=3,14,IF($G485=4,30,60))))))</f>
        <v/>
      </c>
      <c r="I485" s="21">
        <f>IF($F485="","",$F485+$H485)</f>
        <v/>
      </c>
      <c r="J485">
        <f>IF($F485="","⚪ NEW",IF($G485&gt;=5,"✅ DONE",IF($I485&lt;TODAY(),"🔴 OVERDUE",IF($I485=TODAY(),"🟢 TODAY",IF($I485=TODAY()+1,"🔵 TOMORROW",IF($I485&lt;=TODAY()+7,"📅 THIS WEEK","⏳ SCHEDULED"))))))</f>
        <v/>
      </c>
      <c r="K485" s="20">
        <f>IF($F485="",999,IF($G485&gt;=5,9999,IF($I485="",999,$I485-TODAY())))</f>
        <v/>
      </c>
    </row>
    <row r="486">
      <c r="A486" s="38">
        <f>ROW()-2</f>
        <v/>
      </c>
      <c r="B486" s="39" t="inlineStr">
        <is>
          <t>S4</t>
        </is>
      </c>
      <c r="C486" s="39" t="inlineStr">
        <is>
          <t>Physiologie II</t>
        </is>
      </c>
      <c r="D486" s="39" t="inlineStr">
        <is>
          <t>Physiologie neurologique</t>
        </is>
      </c>
      <c r="E486" s="39" t="inlineStr">
        <is>
          <t>La mémoire</t>
        </is>
      </c>
      <c r="F486" s="18" t="n"/>
      <c r="G486" s="19" t="n"/>
      <c r="H486" s="20">
        <f>IF($G486="",1,IF($G486=0,1,IF($G486=1,3,IF($G486=2,7,IF($G486=3,14,IF($G486=4,30,60))))))</f>
        <v/>
      </c>
      <c r="I486" s="21">
        <f>IF($F486="","",$F486+$H486)</f>
        <v/>
      </c>
      <c r="J486">
        <f>IF($F486="","⚪ NEW",IF($G486&gt;=5,"✅ DONE",IF($I486&lt;TODAY(),"🔴 OVERDUE",IF($I486=TODAY(),"🟢 TODAY",IF($I486=TODAY()+1,"🔵 TOMORROW",IF($I486&lt;=TODAY()+7,"📅 THIS WEEK","⏳ SCHEDULED"))))))</f>
        <v/>
      </c>
      <c r="K486" s="20">
        <f>IF($F486="",999,IF($G486&gt;=5,9999,IF($I486="",999,$I486-TODAY())))</f>
        <v/>
      </c>
    </row>
    <row r="487">
      <c r="A487" s="38">
        <f>ROW()-2</f>
        <v/>
      </c>
      <c r="B487" s="39" t="inlineStr">
        <is>
          <t>S4</t>
        </is>
      </c>
      <c r="C487" s="39" t="inlineStr">
        <is>
          <t>Physiologie II</t>
        </is>
      </c>
      <c r="D487" s="39" t="inlineStr">
        <is>
          <t>Physiologie neurologique</t>
        </is>
      </c>
      <c r="E487" s="39" t="inlineStr">
        <is>
          <t>Le sommeil</t>
        </is>
      </c>
      <c r="F487" s="18" t="n"/>
      <c r="G487" s="19" t="n"/>
      <c r="H487" s="20">
        <f>IF($G487="",1,IF($G487=0,1,IF($G487=1,3,IF($G487=2,7,IF($G487=3,14,IF($G487=4,30,60))))))</f>
        <v/>
      </c>
      <c r="I487" s="21">
        <f>IF($F487="","",$F487+$H487)</f>
        <v/>
      </c>
      <c r="J487">
        <f>IF($F487="","⚪ NEW",IF($G487&gt;=5,"✅ DONE",IF($I487&lt;TODAY(),"🔴 OVERDUE",IF($I487=TODAY(),"🟢 TODAY",IF($I487=TODAY()+1,"🔵 TOMORROW",IF($I487&lt;=TODAY()+7,"📅 THIS WEEK","⏳ SCHEDULED"))))))</f>
        <v/>
      </c>
      <c r="K487" s="20">
        <f>IF($F487="",999,IF($G487&gt;=5,9999,IF($I487="",999,$I487-TODAY())))</f>
        <v/>
      </c>
    </row>
    <row r="488">
      <c r="A488" s="38">
        <f>ROW()-2</f>
        <v/>
      </c>
      <c r="B488" s="39" t="inlineStr">
        <is>
          <t>S4</t>
        </is>
      </c>
      <c r="C488" s="39" t="inlineStr">
        <is>
          <t>Physiologie II</t>
        </is>
      </c>
      <c r="D488" s="39" t="inlineStr">
        <is>
          <t>Physiologie rénale</t>
        </is>
      </c>
      <c r="E488" s="39" t="inlineStr">
        <is>
          <t>Rappel sur la situation, structure et fonctions du rein</t>
        </is>
      </c>
      <c r="F488" s="18" t="n"/>
      <c r="G488" s="19" t="n"/>
      <c r="H488" s="20">
        <f>IF($G488="",1,IF($G488=0,1,IF($G488=1,3,IF($G488=2,7,IF($G488=3,14,IF($G488=4,30,60))))))</f>
        <v/>
      </c>
      <c r="I488" s="21">
        <f>IF($F488="","",$F488+$H488)</f>
        <v/>
      </c>
      <c r="J488">
        <f>IF($F488="","⚪ NEW",IF($G488&gt;=5,"✅ DONE",IF($I488&lt;TODAY(),"🔴 OVERDUE",IF($I488=TODAY(),"🟢 TODAY",IF($I488=TODAY()+1,"🔵 TOMORROW",IF($I488&lt;=TODAY()+7,"📅 THIS WEEK","⏳ SCHEDULED"))))))</f>
        <v/>
      </c>
      <c r="K488" s="20">
        <f>IF($F488="",999,IF($G488&gt;=5,9999,IF($I488="",999,$I488-TODAY())))</f>
        <v/>
      </c>
    </row>
    <row r="489">
      <c r="A489" s="38">
        <f>ROW()-2</f>
        <v/>
      </c>
      <c r="B489" s="39" t="inlineStr">
        <is>
          <t>S4</t>
        </is>
      </c>
      <c r="C489" s="39" t="inlineStr">
        <is>
          <t>Physiologie II</t>
        </is>
      </c>
      <c r="D489" s="39" t="inlineStr">
        <is>
          <t>Physiologie rénale</t>
        </is>
      </c>
      <c r="E489" s="39" t="inlineStr">
        <is>
          <t>Hémodynamique rénale - partie 1</t>
        </is>
      </c>
      <c r="F489" s="18" t="n"/>
      <c r="G489" s="19" t="n"/>
      <c r="H489" s="20">
        <f>IF($G489="",1,IF($G489=0,1,IF($G489=1,3,IF($G489=2,7,IF($G489=3,14,IF($G489=4,30,60))))))</f>
        <v/>
      </c>
      <c r="I489" s="21">
        <f>IF($F489="","",$F489+$H489)</f>
        <v/>
      </c>
      <c r="J489">
        <f>IF($F489="","⚪ NEW",IF($G489&gt;=5,"✅ DONE",IF($I489&lt;TODAY(),"🔴 OVERDUE",IF($I489=TODAY(),"🟢 TODAY",IF($I489=TODAY()+1,"🔵 TOMORROW",IF($I489&lt;=TODAY()+7,"📅 THIS WEEK","⏳ SCHEDULED"))))))</f>
        <v/>
      </c>
      <c r="K489" s="20">
        <f>IF($F489="",999,IF($G489&gt;=5,9999,IF($I489="",999,$I489-TODAY())))</f>
        <v/>
      </c>
    </row>
    <row r="490">
      <c r="A490" s="38">
        <f>ROW()-2</f>
        <v/>
      </c>
      <c r="B490" s="39" t="inlineStr">
        <is>
          <t>S4</t>
        </is>
      </c>
      <c r="C490" s="39" t="inlineStr">
        <is>
          <t>Physiologie II</t>
        </is>
      </c>
      <c r="D490" s="39" t="inlineStr">
        <is>
          <t>Physiologie rénale</t>
        </is>
      </c>
      <c r="E490" s="39" t="inlineStr">
        <is>
          <t>Hémodynamique rénale - partie 2</t>
        </is>
      </c>
      <c r="F490" s="18" t="n"/>
      <c r="G490" s="19" t="n"/>
      <c r="H490" s="20">
        <f>IF($G490="",1,IF($G490=0,1,IF($G490=1,3,IF($G490=2,7,IF($G490=3,14,IF($G490=4,30,60))))))</f>
        <v/>
      </c>
      <c r="I490" s="21">
        <f>IF($F490="","",$F490+$H490)</f>
        <v/>
      </c>
      <c r="J490">
        <f>IF($F490="","⚪ NEW",IF($G490&gt;=5,"✅ DONE",IF($I490&lt;TODAY(),"🔴 OVERDUE",IF($I490=TODAY(),"🟢 TODAY",IF($I490=TODAY()+1,"🔵 TOMORROW",IF($I490&lt;=TODAY()+7,"📅 THIS WEEK","⏳ SCHEDULED"))))))</f>
        <v/>
      </c>
      <c r="K490" s="20">
        <f>IF($F490="",999,IF($G490&gt;=5,9999,IF($I490="",999,$I490-TODAY())))</f>
        <v/>
      </c>
    </row>
    <row r="491">
      <c r="A491" s="38">
        <f>ROW()-2</f>
        <v/>
      </c>
      <c r="B491" s="39" t="inlineStr">
        <is>
          <t>S4</t>
        </is>
      </c>
      <c r="C491" s="39" t="inlineStr">
        <is>
          <t>Physiologie II</t>
        </is>
      </c>
      <c r="D491" s="39" t="inlineStr">
        <is>
          <t>Physiologie rénale</t>
        </is>
      </c>
      <c r="E491" s="39" t="inlineStr">
        <is>
          <t>Fonctions endocrines du rein</t>
        </is>
      </c>
      <c r="F491" s="18" t="n"/>
      <c r="G491" s="19" t="n"/>
      <c r="H491" s="20">
        <f>IF($G491="",1,IF($G491=0,1,IF($G491=1,3,IF($G491=2,7,IF($G491=3,14,IF($G491=4,30,60))))))</f>
        <v/>
      </c>
      <c r="I491" s="21">
        <f>IF($F491="","",$F491+$H491)</f>
        <v/>
      </c>
      <c r="J491">
        <f>IF($F491="","⚪ NEW",IF($G491&gt;=5,"✅ DONE",IF($I491&lt;TODAY(),"🔴 OVERDUE",IF($I491=TODAY(),"🟢 TODAY",IF($I491=TODAY()+1,"🔵 TOMORROW",IF($I491&lt;=TODAY()+7,"📅 THIS WEEK","⏳ SCHEDULED"))))))</f>
        <v/>
      </c>
      <c r="K491" s="20">
        <f>IF($F491="",999,IF($G491&gt;=5,9999,IF($I491="",999,$I491-TODAY())))</f>
        <v/>
      </c>
    </row>
    <row r="492">
      <c r="A492" s="38">
        <f>ROW()-2</f>
        <v/>
      </c>
      <c r="B492" s="39" t="inlineStr">
        <is>
          <t>S4</t>
        </is>
      </c>
      <c r="C492" s="39" t="inlineStr">
        <is>
          <t>Physiologie II</t>
        </is>
      </c>
      <c r="D492" s="39" t="inlineStr">
        <is>
          <t>Physiologie rénale</t>
        </is>
      </c>
      <c r="E492" s="39" t="inlineStr">
        <is>
          <t>Fonctions tubulaires</t>
        </is>
      </c>
      <c r="F492" s="18" t="n"/>
      <c r="G492" s="19" t="n"/>
      <c r="H492" s="20">
        <f>IF($G492="",1,IF($G492=0,1,IF($G492=1,3,IF($G492=2,7,IF($G492=3,14,IF($G492=4,30,60))))))</f>
        <v/>
      </c>
      <c r="I492" s="21">
        <f>IF($F492="","",$F492+$H492)</f>
        <v/>
      </c>
      <c r="J492">
        <f>IF($F492="","⚪ NEW",IF($G492&gt;=5,"✅ DONE",IF($I492&lt;TODAY(),"🔴 OVERDUE",IF($I492=TODAY(),"🟢 TODAY",IF($I492=TODAY()+1,"🔵 TOMORROW",IF($I492&lt;=TODAY()+7,"📅 THIS WEEK","⏳ SCHEDULED"))))))</f>
        <v/>
      </c>
      <c r="K492" s="20">
        <f>IF($F492="",999,IF($G492&gt;=5,9999,IF($I492="",999,$I492-TODAY())))</f>
        <v/>
      </c>
    </row>
    <row r="493">
      <c r="A493" s="38">
        <f>ROW()-2</f>
        <v/>
      </c>
      <c r="B493" s="39" t="inlineStr">
        <is>
          <t>S4</t>
        </is>
      </c>
      <c r="C493" s="39" t="inlineStr">
        <is>
          <t>Physiologie II</t>
        </is>
      </c>
      <c r="D493" s="39" t="inlineStr">
        <is>
          <t>Physiologie rénale</t>
        </is>
      </c>
      <c r="E493" s="39" t="inlineStr">
        <is>
          <t>Le potassium</t>
        </is>
      </c>
      <c r="F493" s="18" t="n"/>
      <c r="G493" s="19" t="n"/>
      <c r="H493" s="20">
        <f>IF($G493="",1,IF($G493=0,1,IF($G493=1,3,IF($G493=2,7,IF($G493=3,14,IF($G493=4,30,60))))))</f>
        <v/>
      </c>
      <c r="I493" s="21">
        <f>IF($F493="","",$F493+$H493)</f>
        <v/>
      </c>
      <c r="J493">
        <f>IF($F493="","⚪ NEW",IF($G493&gt;=5,"✅ DONE",IF($I493&lt;TODAY(),"🔴 OVERDUE",IF($I493=TODAY(),"🟢 TODAY",IF($I493=TODAY()+1,"🔵 TOMORROW",IF($I493&lt;=TODAY()+7,"📅 THIS WEEK","⏳ SCHEDULED"))))))</f>
        <v/>
      </c>
      <c r="K493" s="20">
        <f>IF($F493="",999,IF($G493&gt;=5,9999,IF($I493="",999,$I493-TODAY())))</f>
        <v/>
      </c>
    </row>
    <row r="494">
      <c r="A494" s="38">
        <f>ROW()-2</f>
        <v/>
      </c>
      <c r="B494" s="39" t="inlineStr">
        <is>
          <t>S4</t>
        </is>
      </c>
      <c r="C494" s="39" t="inlineStr">
        <is>
          <t>Physiologie II</t>
        </is>
      </c>
      <c r="D494" s="39" t="inlineStr">
        <is>
          <t>Physiologie rénale</t>
        </is>
      </c>
      <c r="E494" s="39" t="inlineStr">
        <is>
          <t>Le sodium</t>
        </is>
      </c>
      <c r="F494" s="18" t="n"/>
      <c r="G494" s="19" t="n"/>
      <c r="H494" s="20">
        <f>IF($G494="",1,IF($G494=0,1,IF($G494=1,3,IF($G494=2,7,IF($G494=3,14,IF($G494=4,30,60))))))</f>
        <v/>
      </c>
      <c r="I494" s="21">
        <f>IF($F494="","",$F494+$H494)</f>
        <v/>
      </c>
      <c r="J494">
        <f>IF($F494="","⚪ NEW",IF($G494&gt;=5,"✅ DONE",IF($I494&lt;TODAY(),"🔴 OVERDUE",IF($I494=TODAY(),"🟢 TODAY",IF($I494=TODAY()+1,"🔵 TOMORROW",IF($I494&lt;=TODAY()+7,"📅 THIS WEEK","⏳ SCHEDULED"))))))</f>
        <v/>
      </c>
      <c r="K494" s="20">
        <f>IF($F494="",999,IF($G494&gt;=5,9999,IF($I494="",999,$I494-TODAY())))</f>
        <v/>
      </c>
    </row>
    <row r="495">
      <c r="A495" s="38">
        <f>ROW()-2</f>
        <v/>
      </c>
      <c r="B495" s="39" t="inlineStr">
        <is>
          <t>S4</t>
        </is>
      </c>
      <c r="C495" s="39" t="inlineStr">
        <is>
          <t>Physiologie II</t>
        </is>
      </c>
      <c r="D495" s="39" t="inlineStr">
        <is>
          <t>Physiologie rénale</t>
        </is>
      </c>
      <c r="E495" s="39" t="inlineStr">
        <is>
          <t>Compartiments liquidiens de l'organisme</t>
        </is>
      </c>
      <c r="F495" s="18" t="n"/>
      <c r="G495" s="19" t="n"/>
      <c r="H495" s="20">
        <f>IF($G495="",1,IF($G495=0,1,IF($G495=1,3,IF($G495=2,7,IF($G495=3,14,IF($G495=4,30,60))))))</f>
        <v/>
      </c>
      <c r="I495" s="21">
        <f>IF($F495="","",$F495+$H495)</f>
        <v/>
      </c>
      <c r="J495">
        <f>IF($F495="","⚪ NEW",IF($G495&gt;=5,"✅ DONE",IF($I495&lt;TODAY(),"🔴 OVERDUE",IF($I495=TODAY(),"🟢 TODAY",IF($I495=TODAY()+1,"🔵 TOMORROW",IF($I495&lt;=TODAY()+7,"📅 THIS WEEK","⏳ SCHEDULED"))))))</f>
        <v/>
      </c>
      <c r="K495" s="20">
        <f>IF($F495="",999,IF($G495&gt;=5,9999,IF($I495="",999,$I495-TODAY())))</f>
        <v/>
      </c>
    </row>
    <row r="496">
      <c r="A496" s="38">
        <f>ROW()-2</f>
        <v/>
      </c>
      <c r="B496" s="39" t="inlineStr">
        <is>
          <t>S4</t>
        </is>
      </c>
      <c r="C496" s="39" t="inlineStr">
        <is>
          <t>Physiologie II</t>
        </is>
      </c>
      <c r="D496" s="39" t="inlineStr">
        <is>
          <t>Physiologie rénale</t>
        </is>
      </c>
      <c r="E496" s="39" t="inlineStr">
        <is>
          <t>Métabolisme phospho-calcique : le calcium</t>
        </is>
      </c>
      <c r="F496" s="18" t="n"/>
      <c r="G496" s="19" t="n"/>
      <c r="H496" s="20">
        <f>IF($G496="",1,IF($G496=0,1,IF($G496=1,3,IF($G496=2,7,IF($G496=3,14,IF($G496=4,30,60))))))</f>
        <v/>
      </c>
      <c r="I496" s="21">
        <f>IF($F496="","",$F496+$H496)</f>
        <v/>
      </c>
      <c r="J496">
        <f>IF($F496="","⚪ NEW",IF($G496&gt;=5,"✅ DONE",IF($I496&lt;TODAY(),"🔴 OVERDUE",IF($I496=TODAY(),"🟢 TODAY",IF($I496=TODAY()+1,"🔵 TOMORROW",IF($I496&lt;=TODAY()+7,"📅 THIS WEEK","⏳ SCHEDULED"))))))</f>
        <v/>
      </c>
      <c r="K496" s="20">
        <f>IF($F496="",999,IF($G496&gt;=5,9999,IF($I496="",999,$I496-TODAY())))</f>
        <v/>
      </c>
    </row>
    <row r="497">
      <c r="A497" s="38">
        <f>ROW()-2</f>
        <v/>
      </c>
      <c r="B497" s="39" t="inlineStr">
        <is>
          <t>S4</t>
        </is>
      </c>
      <c r="C497" s="39" t="inlineStr">
        <is>
          <t>Physiologie II</t>
        </is>
      </c>
      <c r="D497" s="39" t="inlineStr">
        <is>
          <t>Physiologie rénale</t>
        </is>
      </c>
      <c r="E497" s="39" t="inlineStr">
        <is>
          <t>Métabolisme phospho-calcique : le phosphate</t>
        </is>
      </c>
      <c r="F497" s="18" t="n"/>
      <c r="G497" s="19" t="n"/>
      <c r="H497" s="20">
        <f>IF($G497="",1,IF($G497=0,1,IF($G497=1,3,IF($G497=2,7,IF($G497=3,14,IF($G497=4,30,60))))))</f>
        <v/>
      </c>
      <c r="I497" s="21">
        <f>IF($F497="","",$F497+$H497)</f>
        <v/>
      </c>
      <c r="J497">
        <f>IF($F497="","⚪ NEW",IF($G497&gt;=5,"✅ DONE",IF($I497&lt;TODAY(),"🔴 OVERDUE",IF($I497=TODAY(),"🟢 TODAY",IF($I497=TODAY()+1,"🔵 TOMORROW",IF($I497&lt;=TODAY()+7,"📅 THIS WEEK","⏳ SCHEDULED"))))))</f>
        <v/>
      </c>
      <c r="K497" s="20">
        <f>IF($F497="",999,IF($G497&gt;=5,9999,IF($I497="",999,$I497-TODAY())))</f>
        <v/>
      </c>
    </row>
    <row r="498">
      <c r="A498" s="38">
        <f>ROW()-2</f>
        <v/>
      </c>
      <c r="B498" s="39" t="inlineStr">
        <is>
          <t>S4</t>
        </is>
      </c>
      <c r="C498" s="39" t="inlineStr">
        <is>
          <t>Physiologie II</t>
        </is>
      </c>
      <c r="D498" s="39" t="inlineStr">
        <is>
          <t>Physiologie endocrinienne</t>
        </is>
      </c>
      <c r="E498" s="39" t="inlineStr">
        <is>
          <t>Physiologie endocrinienne générale</t>
        </is>
      </c>
      <c r="F498" s="18" t="n"/>
      <c r="G498" s="19" t="n"/>
      <c r="H498" s="20">
        <f>IF($G498="",1,IF($G498=0,1,IF($G498=1,3,IF($G498=2,7,IF($G498=3,14,IF($G498=4,30,60))))))</f>
        <v/>
      </c>
      <c r="I498" s="21">
        <f>IF($F498="","",$F498+$H498)</f>
        <v/>
      </c>
      <c r="J498">
        <f>IF($F498="","⚪ NEW",IF($G498&gt;=5,"✅ DONE",IF($I498&lt;TODAY(),"🔴 OVERDUE",IF($I498=TODAY(),"🟢 TODAY",IF($I498=TODAY()+1,"🔵 TOMORROW",IF($I498&lt;=TODAY()+7,"📅 THIS WEEK","⏳ SCHEDULED"))))))</f>
        <v/>
      </c>
      <c r="K498" s="20">
        <f>IF($F498="",999,IF($G498&gt;=5,9999,IF($I498="",999,$I498-TODAY())))</f>
        <v/>
      </c>
    </row>
    <row r="499">
      <c r="A499" s="38">
        <f>ROW()-2</f>
        <v/>
      </c>
      <c r="B499" s="39" t="inlineStr">
        <is>
          <t>S4</t>
        </is>
      </c>
      <c r="C499" s="39" t="inlineStr">
        <is>
          <t>Physiologie II</t>
        </is>
      </c>
      <c r="D499" s="39" t="inlineStr">
        <is>
          <t>Physiologie endocrinienne</t>
        </is>
      </c>
      <c r="E499" s="39" t="inlineStr">
        <is>
          <t>Physiologie des glandes parathyroïdiennes et de la corticosurrénale</t>
        </is>
      </c>
      <c r="F499" s="18" t="n"/>
      <c r="G499" s="19" t="n"/>
      <c r="H499" s="20">
        <f>IF($G499="",1,IF($G499=0,1,IF($G499=1,3,IF($G499=2,7,IF($G499=3,14,IF($G499=4,30,60))))))</f>
        <v/>
      </c>
      <c r="I499" s="21">
        <f>IF($F499="","",$F499+$H499)</f>
        <v/>
      </c>
      <c r="J499">
        <f>IF($F499="","⚪ NEW",IF($G499&gt;=5,"✅ DONE",IF($I499&lt;TODAY(),"🔴 OVERDUE",IF($I499=TODAY(),"🟢 TODAY",IF($I499=TODAY()+1,"🔵 TOMORROW",IF($I499&lt;=TODAY()+7,"📅 THIS WEEK","⏳ SCHEDULED"))))))</f>
        <v/>
      </c>
      <c r="K499" s="20">
        <f>IF($F499="",999,IF($G499&gt;=5,9999,IF($I499="",999,$I499-TODAY())))</f>
        <v/>
      </c>
    </row>
    <row r="500">
      <c r="A500" s="38">
        <f>ROW()-2</f>
        <v/>
      </c>
      <c r="B500" s="39" t="inlineStr">
        <is>
          <t>S4</t>
        </is>
      </c>
      <c r="C500" s="39" t="inlineStr">
        <is>
          <t>Physiologie II</t>
        </is>
      </c>
      <c r="D500" s="39" t="inlineStr">
        <is>
          <t>Physiologie endocrinienne</t>
        </is>
      </c>
      <c r="E500" s="39" t="inlineStr">
        <is>
          <t>Physiologie de l'axe thyréotrope</t>
        </is>
      </c>
      <c r="F500" s="18" t="n"/>
      <c r="G500" s="19" t="n"/>
      <c r="H500" s="20">
        <f>IF($G500="",1,IF($G500=0,1,IF($G500=1,3,IF($G500=2,7,IF($G500=3,14,IF($G500=4,30,60))))))</f>
        <v/>
      </c>
      <c r="I500" s="21">
        <f>IF($F500="","",$F500+$H500)</f>
        <v/>
      </c>
      <c r="J500">
        <f>IF($F500="","⚪ NEW",IF($G500&gt;=5,"✅ DONE",IF($I500&lt;TODAY(),"🔴 OVERDUE",IF($I500=TODAY(),"🟢 TODAY",IF($I500=TODAY()+1,"🔵 TOMORROW",IF($I500&lt;=TODAY()+7,"📅 THIS WEEK","⏳ SCHEDULED"))))))</f>
        <v/>
      </c>
      <c r="K500" s="20">
        <f>IF($F500="",999,IF($G500&gt;=5,9999,IF($I500="",999,$I500-TODAY())))</f>
        <v/>
      </c>
    </row>
    <row r="501">
      <c r="A501" s="38">
        <f>ROW()-2</f>
        <v/>
      </c>
      <c r="B501" s="39" t="inlineStr">
        <is>
          <t>S4</t>
        </is>
      </c>
      <c r="C501" s="39" t="inlineStr">
        <is>
          <t>Physiologie II</t>
        </is>
      </c>
      <c r="D501" s="39" t="inlineStr">
        <is>
          <t>Physiologie endocrinienne</t>
        </is>
      </c>
      <c r="E501" s="39" t="inlineStr">
        <is>
          <t>Physiologie de l'axe corticotrope</t>
        </is>
      </c>
      <c r="F501" s="18" t="n"/>
      <c r="G501" s="19" t="n"/>
      <c r="H501" s="20">
        <f>IF($G501="",1,IF($G501=0,1,IF($G501=1,3,IF($G501=2,7,IF($G501=3,14,IF($G501=4,30,60))))))</f>
        <v/>
      </c>
      <c r="I501" s="21">
        <f>IF($F501="","",$F501+$H501)</f>
        <v/>
      </c>
      <c r="J501">
        <f>IF($F501="","⚪ NEW",IF($G501&gt;=5,"✅ DONE",IF($I501&lt;TODAY(),"🔴 OVERDUE",IF($I501=TODAY(),"🟢 TODAY",IF($I501=TODAY()+1,"🔵 TOMORROW",IF($I501&lt;=TODAY()+7,"📅 THIS WEEK","⏳ SCHEDULED"))))))</f>
        <v/>
      </c>
      <c r="K501" s="20">
        <f>IF($F501="",999,IF($G501&gt;=5,9999,IF($I501="",999,$I501-TODAY())))</f>
        <v/>
      </c>
    </row>
    <row r="502">
      <c r="A502" s="38">
        <f>ROW()-2</f>
        <v/>
      </c>
      <c r="B502" s="39" t="inlineStr">
        <is>
          <t>S4</t>
        </is>
      </c>
      <c r="C502" s="39" t="inlineStr">
        <is>
          <t>Physiologie II</t>
        </is>
      </c>
      <c r="D502" s="39" t="inlineStr">
        <is>
          <t>Physiologie endocrinienne</t>
        </is>
      </c>
      <c r="E502" s="39" t="inlineStr">
        <is>
          <t>Physiologie de l'axe somatotrope et de la croissance</t>
        </is>
      </c>
      <c r="F502" s="18" t="n"/>
      <c r="G502" s="19" t="n"/>
      <c r="H502" s="20">
        <f>IF($G502="",1,IF($G502=0,1,IF($G502=1,3,IF($G502=2,7,IF($G502=3,14,IF($G502=4,30,60))))))</f>
        <v/>
      </c>
      <c r="I502" s="21">
        <f>IF($F502="","",$F502+$H502)</f>
        <v/>
      </c>
      <c r="J502">
        <f>IF($F502="","⚪ NEW",IF($G502&gt;=5,"✅ DONE",IF($I502&lt;TODAY(),"🔴 OVERDUE",IF($I502=TODAY(),"🟢 TODAY",IF($I502=TODAY()+1,"🔵 TOMORROW",IF($I502&lt;=TODAY()+7,"📅 THIS WEEK","⏳ SCHEDULED"))))))</f>
        <v/>
      </c>
      <c r="K502" s="20">
        <f>IF($F502="",999,IF($G502&gt;=5,9999,IF($I502="",999,$I502-TODAY())))</f>
        <v/>
      </c>
    </row>
    <row r="503">
      <c r="A503" s="38">
        <f>ROW()-2</f>
        <v/>
      </c>
      <c r="B503" s="39" t="inlineStr">
        <is>
          <t>S4</t>
        </is>
      </c>
      <c r="C503" s="39" t="inlineStr">
        <is>
          <t>Physiologie II</t>
        </is>
      </c>
      <c r="D503" s="39" t="inlineStr">
        <is>
          <t>Physiologie endocrinienne</t>
        </is>
      </c>
      <c r="E503" s="39" t="inlineStr">
        <is>
          <t>Physiologie de l'axe gonadotrope</t>
        </is>
      </c>
      <c r="F503" s="18" t="n"/>
      <c r="G503" s="19" t="n"/>
      <c r="H503" s="20">
        <f>IF($G503="",1,IF($G503=0,1,IF($G503=1,3,IF($G503=2,7,IF($G503=3,14,IF($G503=4,30,60))))))</f>
        <v/>
      </c>
      <c r="I503" s="21">
        <f>IF($F503="","",$F503+$H503)</f>
        <v/>
      </c>
      <c r="J503">
        <f>IF($F503="","⚪ NEW",IF($G503&gt;=5,"✅ DONE",IF($I503&lt;TODAY(),"🔴 OVERDUE",IF($I503=TODAY(),"🟢 TODAY",IF($I503=TODAY()+1,"🔵 TOMORROW",IF($I503&lt;=TODAY()+7,"📅 THIS WEEK","⏳ SCHEDULED"))))))</f>
        <v/>
      </c>
      <c r="K503" s="20">
        <f>IF($F503="",999,IF($G503&gt;=5,9999,IF($I503="",999,$I503-TODAY())))</f>
        <v/>
      </c>
    </row>
    <row r="504">
      <c r="A504" s="38">
        <f>ROW()-2</f>
        <v/>
      </c>
      <c r="B504" s="39" t="inlineStr">
        <is>
          <t>S4</t>
        </is>
      </c>
      <c r="C504" s="39" t="inlineStr">
        <is>
          <t>Physiologie II</t>
        </is>
      </c>
      <c r="D504" s="39" t="inlineStr">
        <is>
          <t>Physiologie endocrinienne</t>
        </is>
      </c>
      <c r="E504" s="39" t="inlineStr">
        <is>
          <t>Physiologie de la prolactine</t>
        </is>
      </c>
      <c r="F504" s="18" t="n"/>
      <c r="G504" s="19" t="n"/>
      <c r="H504" s="20">
        <f>IF($G504="",1,IF($G504=0,1,IF($G504=1,3,IF($G504=2,7,IF($G504=3,14,IF($G504=4,30,60))))))</f>
        <v/>
      </c>
      <c r="I504" s="21">
        <f>IF($F504="","",$F504+$H504)</f>
        <v/>
      </c>
      <c r="J504">
        <f>IF($F504="","⚪ NEW",IF($G504&gt;=5,"✅ DONE",IF($I504&lt;TODAY(),"🔴 OVERDUE",IF($I504=TODAY(),"🟢 TODAY",IF($I504=TODAY()+1,"🔵 TOMORROW",IF($I504&lt;=TODAY()+7,"📅 THIS WEEK","⏳ SCHEDULED"))))))</f>
        <v/>
      </c>
      <c r="K504" s="20">
        <f>IF($F504="",999,IF($G504&gt;=5,9999,IF($I504="",999,$I504-TODAY())))</f>
        <v/>
      </c>
    </row>
    <row r="505">
      <c r="A505" s="38">
        <f>ROW()-2</f>
        <v/>
      </c>
      <c r="B505" s="39" t="inlineStr">
        <is>
          <t>S4</t>
        </is>
      </c>
      <c r="C505" s="39" t="inlineStr">
        <is>
          <t>Physiologie II</t>
        </is>
      </c>
      <c r="D505" s="39" t="inlineStr">
        <is>
          <t>Physiologie endocrinienne</t>
        </is>
      </c>
      <c r="E505" s="39" t="inlineStr">
        <is>
          <t>Physiologie du pancréas endocrine</t>
        </is>
      </c>
      <c r="F505" s="18" t="n"/>
      <c r="G505" s="19" t="n"/>
      <c r="H505" s="20">
        <f>IF($G505="",1,IF($G505=0,1,IF($G505=1,3,IF($G505=2,7,IF($G505=3,14,IF($G505=4,30,60))))))</f>
        <v/>
      </c>
      <c r="I505" s="21">
        <f>IF($F505="","",$F505+$H505)</f>
        <v/>
      </c>
      <c r="J505">
        <f>IF($F505="","⚪ NEW",IF($G505&gt;=5,"✅ DONE",IF($I505&lt;TODAY(),"🔴 OVERDUE",IF($I505=TODAY(),"🟢 TODAY",IF($I505=TODAY()+1,"🔵 TOMORROW",IF($I505&lt;=TODAY()+7,"📅 THIS WEEK","⏳ SCHEDULED"))))))</f>
        <v/>
      </c>
      <c r="K505" s="20">
        <f>IF($F505="",999,IF($G505&gt;=5,9999,IF($I505="",999,$I505-TODAY())))</f>
        <v/>
      </c>
    </row>
    <row r="506">
      <c r="A506" s="38">
        <f>ROW()-2</f>
        <v/>
      </c>
      <c r="B506" s="39" t="inlineStr">
        <is>
          <t>S4</t>
        </is>
      </c>
      <c r="C506" s="39" t="inlineStr">
        <is>
          <t>Physiologie II</t>
        </is>
      </c>
      <c r="D506" s="39" t="inlineStr">
        <is>
          <t>Physiologie générale</t>
        </is>
      </c>
      <c r="E506" s="39" t="inlineStr">
        <is>
          <t>Le concept d'homéostasie</t>
        </is>
      </c>
      <c r="F506" s="18" t="n"/>
      <c r="G506" s="19" t="n"/>
      <c r="H506" s="20">
        <f>IF($G506="",1,IF($G506=0,1,IF($G506=1,3,IF($G506=2,7,IF($G506=3,14,IF($G506=4,30,60))))))</f>
        <v/>
      </c>
      <c r="I506" s="21">
        <f>IF($F506="","",$F506+$H506)</f>
        <v/>
      </c>
      <c r="J506">
        <f>IF($F506="","⚪ NEW",IF($G506&gt;=5,"✅ DONE",IF($I506&lt;TODAY(),"🔴 OVERDUE",IF($I506=TODAY(),"🟢 TODAY",IF($I506=TODAY()+1,"🔵 TOMORROW",IF($I506&lt;=TODAY()+7,"📅 THIS WEEK","⏳ SCHEDULED"))))))</f>
        <v/>
      </c>
      <c r="K506" s="20">
        <f>IF($F506="",999,IF($G506&gt;=5,9999,IF($I506="",999,$I506-TODAY())))</f>
        <v/>
      </c>
    </row>
    <row r="507">
      <c r="A507" s="38">
        <f>ROW()-2</f>
        <v/>
      </c>
      <c r="B507" s="39" t="inlineStr">
        <is>
          <t>S4</t>
        </is>
      </c>
      <c r="C507" s="39" t="inlineStr">
        <is>
          <t>Physiologie II</t>
        </is>
      </c>
      <c r="D507" s="39" t="inlineStr">
        <is>
          <t>Physiologie générale</t>
        </is>
      </c>
      <c r="E507" s="39" t="inlineStr">
        <is>
          <t>La thermorégulation</t>
        </is>
      </c>
      <c r="F507" s="18" t="n"/>
      <c r="G507" s="19" t="n"/>
      <c r="H507" s="20">
        <f>IF($G507="",1,IF($G507=0,1,IF($G507=1,3,IF($G507=2,7,IF($G507=3,14,IF($G507=4,30,60))))))</f>
        <v/>
      </c>
      <c r="I507" s="21">
        <f>IF($F507="","",$F507+$H507)</f>
        <v/>
      </c>
      <c r="J507">
        <f>IF($F507="","⚪ NEW",IF($G507&gt;=5,"✅ DONE",IF($I507&lt;TODAY(),"🔴 OVERDUE",IF($I507=TODAY(),"🟢 TODAY",IF($I507=TODAY()+1,"🔵 TOMORROW",IF($I507&lt;=TODAY()+7,"📅 THIS WEEK","⏳ SCHEDULED"))))))</f>
        <v/>
      </c>
      <c r="K507" s="20">
        <f>IF($F507="",999,IF($G507&gt;=5,9999,IF($I507="",999,$I507-TODAY())))</f>
        <v/>
      </c>
    </row>
    <row r="508">
      <c r="A508" s="38">
        <f>ROW()-2</f>
        <v/>
      </c>
      <c r="B508" s="39" t="inlineStr">
        <is>
          <t>S4</t>
        </is>
      </c>
      <c r="C508" s="39" t="inlineStr">
        <is>
          <t>Physiologie II</t>
        </is>
      </c>
      <c r="D508" s="39" t="inlineStr">
        <is>
          <t>Physiologie générale</t>
        </is>
      </c>
      <c r="E508" s="39" t="inlineStr">
        <is>
          <t>Physiologie de l'équilibre acido-basique</t>
        </is>
      </c>
      <c r="F508" s="18" t="n"/>
      <c r="G508" s="19" t="n"/>
      <c r="H508" s="20">
        <f>IF($G508="",1,IF($G508=0,1,IF($G508=1,3,IF($G508=2,7,IF($G508=3,14,IF($G508=4,30,60))))))</f>
        <v/>
      </c>
      <c r="I508" s="21">
        <f>IF($F508="","",$F508+$H508)</f>
        <v/>
      </c>
      <c r="J508">
        <f>IF($F508="","⚪ NEW",IF($G508&gt;=5,"✅ DONE",IF($I508&lt;TODAY(),"🔴 OVERDUE",IF($I508=TODAY(),"🟢 TODAY",IF($I508=TODAY()+1,"🔵 TOMORROW",IF($I508&lt;=TODAY()+7,"📅 THIS WEEK","⏳ SCHEDULED"))))))</f>
        <v/>
      </c>
      <c r="K508" s="20">
        <f>IF($F508="",999,IF($G508&gt;=5,9999,IF($I508="",999,$I508-TODAY())))</f>
        <v/>
      </c>
    </row>
    <row r="509">
      <c r="A509" s="16">
        <f>ROW()-2</f>
        <v/>
      </c>
      <c r="B509" s="17" t="inlineStr">
        <is>
          <t>S4</t>
        </is>
      </c>
      <c r="C509" s="17" t="inlineStr">
        <is>
          <t>Hématologie (sciences fondamentales)</t>
        </is>
      </c>
      <c r="D509" s="17" t="inlineStr">
        <is>
          <t>Hémostase</t>
        </is>
      </c>
      <c r="E509" s="17" t="inlineStr">
        <is>
          <t>Introduction à l'hémostase</t>
        </is>
      </c>
      <c r="F509" s="18" t="n"/>
      <c r="G509" s="19" t="n"/>
      <c r="H509" s="20">
        <f>IF($G509="",1,IF($G509=0,1,IF($G509=1,3,IF($G509=2,7,IF($G509=3,14,IF($G509=4,30,60))))))</f>
        <v/>
      </c>
      <c r="I509" s="21">
        <f>IF($F509="","",$F509+$H509)</f>
        <v/>
      </c>
      <c r="J509">
        <f>IF($F509="","⚪ NEW",IF($G509&gt;=5,"✅ DONE",IF($I509&lt;TODAY(),"🔴 OVERDUE",IF($I509=TODAY(),"🟢 TODAY",IF($I509=TODAY()+1,"🔵 TOMORROW",IF($I509&lt;=TODAY()+7,"📅 THIS WEEK","⏳ SCHEDULED"))))))</f>
        <v/>
      </c>
      <c r="K509" s="20">
        <f>IF($F509="",999,IF($G509&gt;=5,9999,IF($I509="",999,$I509-TODAY())))</f>
        <v/>
      </c>
    </row>
    <row r="510">
      <c r="A510" s="16">
        <f>ROW()-2</f>
        <v/>
      </c>
      <c r="B510" s="17" t="inlineStr">
        <is>
          <t>S4</t>
        </is>
      </c>
      <c r="C510" s="17" t="inlineStr">
        <is>
          <t>Hématologie (sciences fondamentales)</t>
        </is>
      </c>
      <c r="D510" s="17" t="inlineStr">
        <is>
          <t>Hémostase</t>
        </is>
      </c>
      <c r="E510" s="17" t="inlineStr">
        <is>
          <t>Phase pré-analytique en hémostase</t>
        </is>
      </c>
      <c r="F510" s="18" t="n"/>
      <c r="G510" s="19" t="n"/>
      <c r="H510" s="20">
        <f>IF($G510="",1,IF($G510=0,1,IF($G510=1,3,IF($G510=2,7,IF($G510=3,14,IF($G510=4,30,60))))))</f>
        <v/>
      </c>
      <c r="I510" s="21">
        <f>IF($F510="","",$F510+$H510)</f>
        <v/>
      </c>
      <c r="J510">
        <f>IF($F510="","⚪ NEW",IF($G510&gt;=5,"✅ DONE",IF($I510&lt;TODAY(),"🔴 OVERDUE",IF($I510=TODAY(),"🟢 TODAY",IF($I510=TODAY()+1,"🔵 TOMORROW",IF($I510&lt;=TODAY()+7,"📅 THIS WEEK","⏳ SCHEDULED"))))))</f>
        <v/>
      </c>
      <c r="K510" s="20">
        <f>IF($F510="",999,IF($G510&gt;=5,9999,IF($I510="",999,$I510-TODAY())))</f>
        <v/>
      </c>
    </row>
    <row r="511">
      <c r="A511" s="16">
        <f>ROW()-2</f>
        <v/>
      </c>
      <c r="B511" s="17" t="inlineStr">
        <is>
          <t>S4</t>
        </is>
      </c>
      <c r="C511" s="17" t="inlineStr">
        <is>
          <t>Hématologie (sciences fondamentales)</t>
        </is>
      </c>
      <c r="D511" s="17" t="inlineStr">
        <is>
          <t>Hémostase</t>
        </is>
      </c>
      <c r="E511" s="17" t="inlineStr">
        <is>
          <t>Hémostase primaire - physiologie et exploration</t>
        </is>
      </c>
      <c r="F511" s="18" t="n"/>
      <c r="G511" s="19" t="n"/>
      <c r="H511" s="20">
        <f>IF($G511="",1,IF($G511=0,1,IF($G511=1,3,IF($G511=2,7,IF($G511=3,14,IF($G511=4,30,60))))))</f>
        <v/>
      </c>
      <c r="I511" s="21">
        <f>IF($F511="","",$F511+$H511)</f>
        <v/>
      </c>
      <c r="J511">
        <f>IF($F511="","⚪ NEW",IF($G511&gt;=5,"✅ DONE",IF($I511&lt;TODAY(),"🔴 OVERDUE",IF($I511=TODAY(),"🟢 TODAY",IF($I511=TODAY()+1,"🔵 TOMORROW",IF($I511&lt;=TODAY()+7,"📅 THIS WEEK","⏳ SCHEDULED"))))))</f>
        <v/>
      </c>
      <c r="K511" s="20">
        <f>IF($F511="",999,IF($G511&gt;=5,9999,IF($I511="",999,$I511-TODAY())))</f>
        <v/>
      </c>
    </row>
    <row r="512">
      <c r="A512" s="16">
        <f>ROW()-2</f>
        <v/>
      </c>
      <c r="B512" s="17" t="inlineStr">
        <is>
          <t>S4</t>
        </is>
      </c>
      <c r="C512" s="17" t="inlineStr">
        <is>
          <t>Hématologie (sciences fondamentales)</t>
        </is>
      </c>
      <c r="D512" s="17" t="inlineStr">
        <is>
          <t>Hémostase</t>
        </is>
      </c>
      <c r="E512" s="17" t="inlineStr">
        <is>
          <t>La coagulation plasmatique</t>
        </is>
      </c>
      <c r="F512" s="18" t="n"/>
      <c r="G512" s="19" t="n"/>
      <c r="H512" s="20">
        <f>IF($G512="",1,IF($G512=0,1,IF($G512=1,3,IF($G512=2,7,IF($G512=3,14,IF($G512=4,30,60))))))</f>
        <v/>
      </c>
      <c r="I512" s="21">
        <f>IF($F512="","",$F512+$H512)</f>
        <v/>
      </c>
      <c r="J512">
        <f>IF($F512="","⚪ NEW",IF($G512&gt;=5,"✅ DONE",IF($I512&lt;TODAY(),"🔴 OVERDUE",IF($I512=TODAY(),"🟢 TODAY",IF($I512=TODAY()+1,"🔵 TOMORROW",IF($I512&lt;=TODAY()+7,"📅 THIS WEEK","⏳ SCHEDULED"))))))</f>
        <v/>
      </c>
      <c r="K512" s="20">
        <f>IF($F512="",999,IF($G512&gt;=5,9999,IF($I512="",999,$I512-TODAY())))</f>
        <v/>
      </c>
    </row>
    <row r="513">
      <c r="A513" s="16">
        <f>ROW()-2</f>
        <v/>
      </c>
      <c r="B513" s="17" t="inlineStr">
        <is>
          <t>S4</t>
        </is>
      </c>
      <c r="C513" s="17" t="inlineStr">
        <is>
          <t>Hématologie (sciences fondamentales)</t>
        </is>
      </c>
      <c r="D513" s="17" t="inlineStr">
        <is>
          <t>Hémostase</t>
        </is>
      </c>
      <c r="E513" s="17" t="inlineStr">
        <is>
          <t>Fibrinolyse</t>
        </is>
      </c>
      <c r="F513" s="18" t="n"/>
      <c r="G513" s="19" t="n"/>
      <c r="H513" s="20">
        <f>IF($G513="",1,IF($G513=0,1,IF($G513=1,3,IF($G513=2,7,IF($G513=3,14,IF($G513=4,30,60))))))</f>
        <v/>
      </c>
      <c r="I513" s="21">
        <f>IF($F513="","",$F513+$H513)</f>
        <v/>
      </c>
      <c r="J513">
        <f>IF($F513="","⚪ NEW",IF($G513&gt;=5,"✅ DONE",IF($I513&lt;TODAY(),"🔴 OVERDUE",IF($I513=TODAY(),"🟢 TODAY",IF($I513=TODAY()+1,"🔵 TOMORROW",IF($I513&lt;=TODAY()+7,"📅 THIS WEEK","⏳ SCHEDULED"))))))</f>
        <v/>
      </c>
      <c r="K513" s="20">
        <f>IF($F513="",999,IF($G513&gt;=5,9999,IF($I513="",999,$I513-TODAY())))</f>
        <v/>
      </c>
    </row>
    <row r="514">
      <c r="A514" s="16">
        <f>ROW()-2</f>
        <v/>
      </c>
      <c r="B514" s="17" t="inlineStr">
        <is>
          <t>S4</t>
        </is>
      </c>
      <c r="C514" s="17" t="inlineStr">
        <is>
          <t>Hématologie (sciences fondamentales)</t>
        </is>
      </c>
      <c r="D514" s="17" t="inlineStr">
        <is>
          <t>Hémostase</t>
        </is>
      </c>
      <c r="E514" s="17" t="inlineStr">
        <is>
          <t>Traitements par anticoagulants</t>
        </is>
      </c>
      <c r="F514" s="18" t="n"/>
      <c r="G514" s="19" t="n"/>
      <c r="H514" s="20">
        <f>IF($G514="",1,IF($G514=0,1,IF($G514=1,3,IF($G514=2,7,IF($G514=3,14,IF($G514=4,30,60))))))</f>
        <v/>
      </c>
      <c r="I514" s="21">
        <f>IF($F514="","",$F514+$H514)</f>
        <v/>
      </c>
      <c r="J514">
        <f>IF($F514="","⚪ NEW",IF($G514&gt;=5,"✅ DONE",IF($I514&lt;TODAY(),"🔴 OVERDUE",IF($I514=TODAY(),"🟢 TODAY",IF($I514=TODAY()+1,"🔵 TOMORROW",IF($I514&lt;=TODAY()+7,"📅 THIS WEEK","⏳ SCHEDULED"))))))</f>
        <v/>
      </c>
      <c r="K514" s="20">
        <f>IF($F514="",999,IF($G514&gt;=5,9999,IF($I514="",999,$I514-TODAY())))</f>
        <v/>
      </c>
    </row>
    <row r="515">
      <c r="A515" s="16">
        <f>ROW()-2</f>
        <v/>
      </c>
      <c r="B515" s="17" t="inlineStr">
        <is>
          <t>S4</t>
        </is>
      </c>
      <c r="C515" s="17" t="inlineStr">
        <is>
          <t>Hématologie (sciences fondamentales)</t>
        </is>
      </c>
      <c r="D515" s="17" t="inlineStr">
        <is>
          <t>Hématopoïèse</t>
        </is>
      </c>
      <c r="E515" s="17" t="inlineStr">
        <is>
          <t>Hématopoïèse</t>
        </is>
      </c>
      <c r="F515" s="18" t="n"/>
      <c r="G515" s="19" t="n"/>
      <c r="H515" s="20">
        <f>IF($G515="",1,IF($G515=0,1,IF($G515=1,3,IF($G515=2,7,IF($G515=3,14,IF($G515=4,30,60))))))</f>
        <v/>
      </c>
      <c r="I515" s="21">
        <f>IF($F515="","",$F515+$H515)</f>
        <v/>
      </c>
      <c r="J515">
        <f>IF($F515="","⚪ NEW",IF($G515&gt;=5,"✅ DONE",IF($I515&lt;TODAY(),"🔴 OVERDUE",IF($I515=TODAY(),"🟢 TODAY",IF($I515=TODAY()+1,"🔵 TOMORROW",IF($I515&lt;=TODAY()+7,"📅 THIS WEEK","⏳ SCHEDULED"))))))</f>
        <v/>
      </c>
      <c r="K515" s="20">
        <f>IF($F515="",999,IF($G515&gt;=5,9999,IF($I515="",999,$I515-TODAY())))</f>
        <v/>
      </c>
    </row>
    <row r="516">
      <c r="A516" s="16">
        <f>ROW()-2</f>
        <v/>
      </c>
      <c r="B516" s="17" t="inlineStr">
        <is>
          <t>S4</t>
        </is>
      </c>
      <c r="C516" s="17" t="inlineStr">
        <is>
          <t>Hématologie (sciences fondamentales)</t>
        </is>
      </c>
      <c r="D516" s="17" t="inlineStr">
        <is>
          <t>Hématopoïèse</t>
        </is>
      </c>
      <c r="E516" s="17" t="inlineStr">
        <is>
          <t>Érythropoïèse</t>
        </is>
      </c>
      <c r="F516" s="18" t="n"/>
      <c r="G516" s="19" t="n"/>
      <c r="H516" s="20">
        <f>IF($G516="",1,IF($G516=0,1,IF($G516=1,3,IF($G516=2,7,IF($G516=3,14,IF($G516=4,30,60))))))</f>
        <v/>
      </c>
      <c r="I516" s="21">
        <f>IF($F516="","",$F516+$H516)</f>
        <v/>
      </c>
      <c r="J516">
        <f>IF($F516="","⚪ NEW",IF($G516&gt;=5,"✅ DONE",IF($I516&lt;TODAY(),"🔴 OVERDUE",IF($I516=TODAY(),"🟢 TODAY",IF($I516=TODAY()+1,"🔵 TOMORROW",IF($I516&lt;=TODAY()+7,"📅 THIS WEEK","⏳ SCHEDULED"))))))</f>
        <v/>
      </c>
      <c r="K516" s="20">
        <f>IF($F516="",999,IF($G516&gt;=5,9999,IF($I516="",999,$I516-TODAY())))</f>
        <v/>
      </c>
    </row>
    <row r="517">
      <c r="A517" s="16">
        <f>ROW()-2</f>
        <v/>
      </c>
      <c r="B517" s="17" t="inlineStr">
        <is>
          <t>S4</t>
        </is>
      </c>
      <c r="C517" s="17" t="inlineStr">
        <is>
          <t>Hématologie (sciences fondamentales)</t>
        </is>
      </c>
      <c r="D517" s="17" t="inlineStr">
        <is>
          <t>Hématopoïèse</t>
        </is>
      </c>
      <c r="E517" s="17" t="inlineStr">
        <is>
          <t>Globule rouge : structure et fonction</t>
        </is>
      </c>
      <c r="F517" s="18" t="n"/>
      <c r="G517" s="19" t="n"/>
      <c r="H517" s="20">
        <f>IF($G517="",1,IF($G517=0,1,IF($G517=1,3,IF($G517=2,7,IF($G517=3,14,IF($G517=4,30,60))))))</f>
        <v/>
      </c>
      <c r="I517" s="21">
        <f>IF($F517="","",$F517+$H517)</f>
        <v/>
      </c>
      <c r="J517">
        <f>IF($F517="","⚪ NEW",IF($G517&gt;=5,"✅ DONE",IF($I517&lt;TODAY(),"🔴 OVERDUE",IF($I517=TODAY(),"🟢 TODAY",IF($I517=TODAY()+1,"🔵 TOMORROW",IF($I517&lt;=TODAY()+7,"📅 THIS WEEK","⏳ SCHEDULED"))))))</f>
        <v/>
      </c>
      <c r="K517" s="20">
        <f>IF($F517="",999,IF($G517&gt;=5,9999,IF($I517="",999,$I517-TODAY())))</f>
        <v/>
      </c>
    </row>
    <row r="518">
      <c r="A518" s="16">
        <f>ROW()-2</f>
        <v/>
      </c>
      <c r="B518" s="17" t="inlineStr">
        <is>
          <t>S4</t>
        </is>
      </c>
      <c r="C518" s="17" t="inlineStr">
        <is>
          <t>Hématologie (sciences fondamentales)</t>
        </is>
      </c>
      <c r="D518" s="17" t="inlineStr">
        <is>
          <t>Hématopoïèse</t>
        </is>
      </c>
      <c r="E518" s="17" t="inlineStr">
        <is>
          <t>Granulopoïèse</t>
        </is>
      </c>
      <c r="F518" s="18" t="n"/>
      <c r="G518" s="19" t="n"/>
      <c r="H518" s="20">
        <f>IF($G518="",1,IF($G518=0,1,IF($G518=1,3,IF($G518=2,7,IF($G518=3,14,IF($G518=4,30,60))))))</f>
        <v/>
      </c>
      <c r="I518" s="21">
        <f>IF($F518="","",$F518+$H518)</f>
        <v/>
      </c>
      <c r="J518">
        <f>IF($F518="","⚪ NEW",IF($G518&gt;=5,"✅ DONE",IF($I518&lt;TODAY(),"🔴 OVERDUE",IF($I518=TODAY(),"🟢 TODAY",IF($I518=TODAY()+1,"🔵 TOMORROW",IF($I518&lt;=TODAY()+7,"📅 THIS WEEK","⏳ SCHEDULED"))))))</f>
        <v/>
      </c>
      <c r="K518" s="20">
        <f>IF($F518="",999,IF($G518&gt;=5,9999,IF($I518="",999,$I518-TODAY())))</f>
        <v/>
      </c>
    </row>
    <row r="519">
      <c r="A519" s="16">
        <f>ROW()-2</f>
        <v/>
      </c>
      <c r="B519" s="17" t="inlineStr">
        <is>
          <t>S4</t>
        </is>
      </c>
      <c r="C519" s="17" t="inlineStr">
        <is>
          <t>Hématologie (sciences fondamentales)</t>
        </is>
      </c>
      <c r="D519" s="17" t="inlineStr">
        <is>
          <t>Hématopoïèse</t>
        </is>
      </c>
      <c r="E519" s="17" t="inlineStr">
        <is>
          <t>Mégacaryopoïèse et formation des plaquettes sanguines</t>
        </is>
      </c>
      <c r="F519" s="18" t="n"/>
      <c r="G519" s="19" t="n"/>
      <c r="H519" s="20">
        <f>IF($G519="",1,IF($G519=0,1,IF($G519=1,3,IF($G519=2,7,IF($G519=3,14,IF($G519=4,30,60))))))</f>
        <v/>
      </c>
      <c r="I519" s="21">
        <f>IF($F519="","",$F519+$H519)</f>
        <v/>
      </c>
      <c r="J519">
        <f>IF($F519="","⚪ NEW",IF($G519&gt;=5,"✅ DONE",IF($I519&lt;TODAY(),"🔴 OVERDUE",IF($I519=TODAY(),"🟢 TODAY",IF($I519=TODAY()+1,"🔵 TOMORROW",IF($I519&lt;=TODAY()+7,"📅 THIS WEEK","⏳ SCHEDULED"))))))</f>
        <v/>
      </c>
      <c r="K519" s="20">
        <f>IF($F519="",999,IF($G519&gt;=5,9999,IF($I519="",999,$I519-TODAY())))</f>
        <v/>
      </c>
    </row>
    <row r="520">
      <c r="A520" s="16">
        <f>ROW()-2</f>
        <v/>
      </c>
      <c r="B520" s="17" t="inlineStr">
        <is>
          <t>S4</t>
        </is>
      </c>
      <c r="C520" s="17" t="inlineStr">
        <is>
          <t>Hématologie (sciences fondamentales)</t>
        </is>
      </c>
      <c r="D520" s="17" t="inlineStr">
        <is>
          <t>Hématopoïèse</t>
        </is>
      </c>
      <c r="E520" s="17" t="inlineStr">
        <is>
          <t>Lymphopoïèse</t>
        </is>
      </c>
      <c r="F520" s="18" t="n"/>
      <c r="G520" s="19" t="n"/>
      <c r="H520" s="20">
        <f>IF($G520="",1,IF($G520=0,1,IF($G520=1,3,IF($G520=2,7,IF($G520=3,14,IF($G520=4,30,60))))))</f>
        <v/>
      </c>
      <c r="I520" s="21">
        <f>IF($F520="","",$F520+$H520)</f>
        <v/>
      </c>
      <c r="J520">
        <f>IF($F520="","⚪ NEW",IF($G520&gt;=5,"✅ DONE",IF($I520&lt;TODAY(),"🔴 OVERDUE",IF($I520=TODAY(),"🟢 TODAY",IF($I520=TODAY()+1,"🔵 TOMORROW",IF($I520&lt;=TODAY()+7,"📅 THIS WEEK","⏳ SCHEDULED"))))))</f>
        <v/>
      </c>
      <c r="K520" s="20">
        <f>IF($F520="",999,IF($G520&gt;=5,9999,IF($I520="",999,$I520-TODAY())))</f>
        <v/>
      </c>
    </row>
    <row r="521">
      <c r="A521" s="16">
        <f>ROW()-2</f>
        <v/>
      </c>
      <c r="B521" s="17" t="inlineStr">
        <is>
          <t>S4</t>
        </is>
      </c>
      <c r="C521" s="17" t="inlineStr">
        <is>
          <t>Hématologie (sciences fondamentales)</t>
        </is>
      </c>
      <c r="D521" s="17" t="inlineStr">
        <is>
          <t>Hématopoïèse</t>
        </is>
      </c>
      <c r="E521" s="17" t="inlineStr">
        <is>
          <t>Métabolisme du fer et des vitamines B9 et B12</t>
        </is>
      </c>
      <c r="F521" s="18" t="n"/>
      <c r="G521" s="19" t="n"/>
      <c r="H521" s="20">
        <f>IF($G521="",1,IF($G521=0,1,IF($G521=1,3,IF($G521=2,7,IF($G521=3,14,IF($G521=4,30,60))))))</f>
        <v/>
      </c>
      <c r="I521" s="21">
        <f>IF($F521="","",$F521+$H521)</f>
        <v/>
      </c>
      <c r="J521">
        <f>IF($F521="","⚪ NEW",IF($G521&gt;=5,"✅ DONE",IF($I521&lt;TODAY(),"🔴 OVERDUE",IF($I521=TODAY(),"🟢 TODAY",IF($I521=TODAY()+1,"🔵 TOMORROW",IF($I521&lt;=TODAY()+7,"📅 THIS WEEK","⏳ SCHEDULED"))))))</f>
        <v/>
      </c>
      <c r="K521" s="20">
        <f>IF($F521="",999,IF($G521&gt;=5,9999,IF($I521="",999,$I521-TODAY())))</f>
        <v/>
      </c>
    </row>
    <row r="522">
      <c r="A522" s="16">
        <f>ROW()-2</f>
        <v/>
      </c>
      <c r="B522" s="17" t="inlineStr">
        <is>
          <t>S4</t>
        </is>
      </c>
      <c r="C522" s="17" t="inlineStr">
        <is>
          <t>Hématologie (sciences fondamentales)</t>
        </is>
      </c>
      <c r="D522" s="17" t="inlineStr">
        <is>
          <t>Immuno-hématologie et transfusion</t>
        </is>
      </c>
      <c r="E522" s="17" t="inlineStr">
        <is>
          <t>Introduction aux groupes sanguins</t>
        </is>
      </c>
      <c r="F522" s="18" t="n"/>
      <c r="G522" s="19" t="n"/>
      <c r="H522" s="20">
        <f>IF($G522="",1,IF($G522=0,1,IF($G522=1,3,IF($G522=2,7,IF($G522=3,14,IF($G522=4,30,60))))))</f>
        <v/>
      </c>
      <c r="I522" s="21">
        <f>IF($F522="","",$F522+$H522)</f>
        <v/>
      </c>
      <c r="J522">
        <f>IF($F522="","⚪ NEW",IF($G522&gt;=5,"✅ DONE",IF($I522&lt;TODAY(),"🔴 OVERDUE",IF($I522=TODAY(),"🟢 TODAY",IF($I522=TODAY()+1,"🔵 TOMORROW",IF($I522&lt;=TODAY()+7,"📅 THIS WEEK","⏳ SCHEDULED"))))))</f>
        <v/>
      </c>
      <c r="K522" s="20">
        <f>IF($F522="",999,IF($G522&gt;=5,9999,IF($I522="",999,$I522-TODAY())))</f>
        <v/>
      </c>
    </row>
    <row r="523">
      <c r="A523" s="16">
        <f>ROW()-2</f>
        <v/>
      </c>
      <c r="B523" s="17" t="inlineStr">
        <is>
          <t>S4</t>
        </is>
      </c>
      <c r="C523" s="17" t="inlineStr">
        <is>
          <t>Hématologie (sciences fondamentales)</t>
        </is>
      </c>
      <c r="D523" s="17" t="inlineStr">
        <is>
          <t>Immuno-hématologie et transfusion</t>
        </is>
      </c>
      <c r="E523" s="17" t="inlineStr">
        <is>
          <t>Système ABO</t>
        </is>
      </c>
      <c r="F523" s="18" t="n"/>
      <c r="G523" s="19" t="n"/>
      <c r="H523" s="20">
        <f>IF($G523="",1,IF($G523=0,1,IF($G523=1,3,IF($G523=2,7,IF($G523=3,14,IF($G523=4,30,60))))))</f>
        <v/>
      </c>
      <c r="I523" s="21">
        <f>IF($F523="","",$F523+$H523)</f>
        <v/>
      </c>
      <c r="J523">
        <f>IF($F523="","⚪ NEW",IF($G523&gt;=5,"✅ DONE",IF($I523&lt;TODAY(),"🔴 OVERDUE",IF($I523=TODAY(),"🟢 TODAY",IF($I523=TODAY()+1,"🔵 TOMORROW",IF($I523&lt;=TODAY()+7,"📅 THIS WEEK","⏳ SCHEDULED"))))))</f>
        <v/>
      </c>
      <c r="K523" s="20">
        <f>IF($F523="",999,IF($G523&gt;=5,9999,IF($I523="",999,$I523-TODAY())))</f>
        <v/>
      </c>
    </row>
    <row r="524">
      <c r="A524" s="16">
        <f>ROW()-2</f>
        <v/>
      </c>
      <c r="B524" s="17" t="inlineStr">
        <is>
          <t>S4</t>
        </is>
      </c>
      <c r="C524" s="17" t="inlineStr">
        <is>
          <t>Hématologie (sciences fondamentales)</t>
        </is>
      </c>
      <c r="D524" s="17" t="inlineStr">
        <is>
          <t>Immuno-hématologie et transfusion</t>
        </is>
      </c>
      <c r="E524" s="17" t="inlineStr">
        <is>
          <t>Chaîne transfusionnelle</t>
        </is>
      </c>
      <c r="F524" s="18" t="n"/>
      <c r="G524" s="19" t="n"/>
      <c r="H524" s="20">
        <f>IF($G524="",1,IF($G524=0,1,IF($G524=1,3,IF($G524=2,7,IF($G524=3,14,IF($G524=4,30,60))))))</f>
        <v/>
      </c>
      <c r="I524" s="21">
        <f>IF($F524="","",$F524+$H524)</f>
        <v/>
      </c>
      <c r="J524">
        <f>IF($F524="","⚪ NEW",IF($G524&gt;=5,"✅ DONE",IF($I524&lt;TODAY(),"🔴 OVERDUE",IF($I524=TODAY(),"🟢 TODAY",IF($I524=TODAY()+1,"🔵 TOMORROW",IF($I524&lt;=TODAY()+7,"📅 THIS WEEK","⏳ SCHEDULED"))))))</f>
        <v/>
      </c>
      <c r="K524" s="20">
        <f>IF($F524="",999,IF($G524&gt;=5,9999,IF($I524="",999,$I524-TODAY())))</f>
        <v/>
      </c>
    </row>
    <row r="525">
      <c r="A525" s="16">
        <f>ROW()-2</f>
        <v/>
      </c>
      <c r="B525" s="17" t="inlineStr">
        <is>
          <t>S4</t>
        </is>
      </c>
      <c r="C525" s="17" t="inlineStr">
        <is>
          <t>Hématologie (sciences fondamentales)</t>
        </is>
      </c>
      <c r="D525" s="17" t="inlineStr">
        <is>
          <t>Immuno-hématologie et transfusion</t>
        </is>
      </c>
      <c r="E525" s="17" t="inlineStr">
        <is>
          <t>Produits sanguins labiles</t>
        </is>
      </c>
      <c r="F525" s="18" t="n"/>
      <c r="G525" s="19" t="n"/>
      <c r="H525" s="20">
        <f>IF($G525="",1,IF($G525=0,1,IF($G525=1,3,IF($G525=2,7,IF($G525=3,14,IF($G525=4,30,60))))))</f>
        <v/>
      </c>
      <c r="I525" s="21">
        <f>IF($F525="","",$F525+$H525)</f>
        <v/>
      </c>
      <c r="J525">
        <f>IF($F525="","⚪ NEW",IF($G525&gt;=5,"✅ DONE",IF($I525&lt;TODAY(),"🔴 OVERDUE",IF($I525=TODAY(),"🟢 TODAY",IF($I525=TODAY()+1,"🔵 TOMORROW",IF($I525&lt;=TODAY()+7,"📅 THIS WEEK","⏳ SCHEDULED"))))))</f>
        <v/>
      </c>
      <c r="K525" s="20">
        <f>IF($F525="",999,IF($G525&gt;=5,9999,IF($I525="",999,$I525-TODAY())))</f>
        <v/>
      </c>
    </row>
    <row r="526">
      <c r="A526" s="16">
        <f>ROW()-2</f>
        <v/>
      </c>
      <c r="B526" s="17" t="inlineStr">
        <is>
          <t>S4</t>
        </is>
      </c>
      <c r="C526" s="17" t="inlineStr">
        <is>
          <t>Hématologie (sciences fondamentales)</t>
        </is>
      </c>
      <c r="D526" s="17" t="inlineStr">
        <is>
          <t>Immuno-hématologie et transfusion</t>
        </is>
      </c>
      <c r="E526" s="17" t="inlineStr">
        <is>
          <t>Sécurité transfusionnelle et hémovigilance</t>
        </is>
      </c>
      <c r="F526" s="18" t="n"/>
      <c r="G526" s="19" t="n"/>
      <c r="H526" s="20">
        <f>IF($G526="",1,IF($G526=0,1,IF($G526=1,3,IF($G526=2,7,IF($G526=3,14,IF($G526=4,30,60))))))</f>
        <v/>
      </c>
      <c r="I526" s="21">
        <f>IF($F526="","",$F526+$H526)</f>
        <v/>
      </c>
      <c r="J526">
        <f>IF($F526="","⚪ NEW",IF($G526&gt;=5,"✅ DONE",IF($I526&lt;TODAY(),"🔴 OVERDUE",IF($I526=TODAY(),"🟢 TODAY",IF($I526=TODAY()+1,"🔵 TOMORROW",IF($I526&lt;=TODAY()+7,"📅 THIS WEEK","⏳ SCHEDULED"))))))</f>
        <v/>
      </c>
      <c r="K526" s="20">
        <f>IF($F526="",999,IF($G526&gt;=5,9999,IF($I526="",999,$I526-TODAY())))</f>
        <v/>
      </c>
    </row>
    <row r="527">
      <c r="A527" s="22">
        <f>ROW()-2</f>
        <v/>
      </c>
      <c r="B527" s="23" t="inlineStr">
        <is>
          <t>S4</t>
        </is>
      </c>
      <c r="C527" s="23" t="inlineStr">
        <is>
          <t>Travaux pratiques</t>
        </is>
      </c>
      <c r="D527" s="23" t="inlineStr">
        <is>
          <t>TP de biochimie</t>
        </is>
      </c>
      <c r="E527" s="23" t="inlineStr">
        <is>
          <t>TP 1 - spectrophotométrie et exploration biochimique du LCR</t>
        </is>
      </c>
      <c r="F527" s="18" t="n"/>
      <c r="G527" s="19" t="n"/>
      <c r="H527" s="20">
        <f>IF($G527="",1,IF($G527=0,1,IF($G527=1,3,IF($G527=2,7,IF($G527=3,14,IF($G527=4,30,60))))))</f>
        <v/>
      </c>
      <c r="I527" s="21">
        <f>IF($F527="","",$F527+$H527)</f>
        <v/>
      </c>
      <c r="J527">
        <f>IF($F527="","⚪ NEW",IF($G527&gt;=5,"✅ DONE",IF($I527&lt;TODAY(),"🔴 OVERDUE",IF($I527=TODAY(),"🟢 TODAY",IF($I527=TODAY()+1,"🔵 TOMORROW",IF($I527&lt;=TODAY()+7,"📅 THIS WEEK","⏳ SCHEDULED"))))))</f>
        <v/>
      </c>
      <c r="K527" s="20">
        <f>IF($F527="",999,IF($G527&gt;=5,9999,IF($I527="",999,$I527-TODAY())))</f>
        <v/>
      </c>
    </row>
    <row r="528">
      <c r="A528" s="22">
        <f>ROW()-2</f>
        <v/>
      </c>
      <c r="B528" s="23" t="inlineStr">
        <is>
          <t>S4</t>
        </is>
      </c>
      <c r="C528" s="23" t="inlineStr">
        <is>
          <t>Travaux pratiques</t>
        </is>
      </c>
      <c r="D528" s="23" t="inlineStr">
        <is>
          <t>TP de biochimie</t>
        </is>
      </c>
      <c r="E528" s="23" t="inlineStr">
        <is>
          <t>TP 2 - dosage du cholestérol et des triglycérides dans le sérum</t>
        </is>
      </c>
      <c r="F528" s="18" t="n"/>
      <c r="G528" s="19" t="n"/>
      <c r="H528" s="20">
        <f>IF($G528="",1,IF($G528=0,1,IF($G528=1,3,IF($G528=2,7,IF($G528=3,14,IF($G528=4,30,60))))))</f>
        <v/>
      </c>
      <c r="I528" s="21">
        <f>IF($F528="","",$F528+$H528)</f>
        <v/>
      </c>
      <c r="J528">
        <f>IF($F528="","⚪ NEW",IF($G528&gt;=5,"✅ DONE",IF($I528&lt;TODAY(),"🔴 OVERDUE",IF($I528=TODAY(),"🟢 TODAY",IF($I528=TODAY()+1,"🔵 TOMORROW",IF($I528&lt;=TODAY()+7,"📅 THIS WEEK","⏳ SCHEDULED"))))))</f>
        <v/>
      </c>
      <c r="K528" s="20">
        <f>IF($F528="",999,IF($G528&gt;=5,9999,IF($I528="",999,$I528-TODAY())))</f>
        <v/>
      </c>
    </row>
    <row r="529">
      <c r="A529" s="22">
        <f>ROW()-2</f>
        <v/>
      </c>
      <c r="B529" s="23" t="inlineStr">
        <is>
          <t>S4</t>
        </is>
      </c>
      <c r="C529" s="23" t="inlineStr">
        <is>
          <t>Travaux pratiques</t>
        </is>
      </c>
      <c r="D529" s="23" t="inlineStr">
        <is>
          <t>TP d'hématologie</t>
        </is>
      </c>
      <c r="E529" s="23" t="inlineStr">
        <is>
          <t>Hématologie cellulaire</t>
        </is>
      </c>
      <c r="F529" s="18" t="n"/>
      <c r="G529" s="19" t="n"/>
      <c r="H529" s="20">
        <f>IF($G529="",1,IF($G529=0,1,IF($G529=1,3,IF($G529=2,7,IF($G529=3,14,IF($G529=4,30,60))))))</f>
        <v/>
      </c>
      <c r="I529" s="21">
        <f>IF($F529="","",$F529+$H529)</f>
        <v/>
      </c>
      <c r="J529">
        <f>IF($F529="","⚪ NEW",IF($G529&gt;=5,"✅ DONE",IF($I529&lt;TODAY(),"🔴 OVERDUE",IF($I529=TODAY(),"🟢 TODAY",IF($I529=TODAY()+1,"🔵 TOMORROW",IF($I529&lt;=TODAY()+7,"📅 THIS WEEK","⏳ SCHEDULED"))))))</f>
        <v/>
      </c>
      <c r="K529" s="20">
        <f>IF($F529="",999,IF($G529&gt;=5,9999,IF($I529="",999,$I529-TODAY())))</f>
        <v/>
      </c>
    </row>
    <row r="530">
      <c r="A530" s="22">
        <f>ROW()-2</f>
        <v/>
      </c>
      <c r="B530" s="23" t="inlineStr">
        <is>
          <t>S4</t>
        </is>
      </c>
      <c r="C530" s="23" t="inlineStr">
        <is>
          <t>Travaux pratiques</t>
        </is>
      </c>
      <c r="D530" s="23" t="inlineStr">
        <is>
          <t>TP d'hématologie</t>
        </is>
      </c>
      <c r="E530" s="23" t="inlineStr">
        <is>
          <t>Hémostase</t>
        </is>
      </c>
      <c r="F530" s="18" t="n"/>
      <c r="G530" s="19" t="n"/>
      <c r="H530" s="20">
        <f>IF($G530="",1,IF($G530=0,1,IF($G530=1,3,IF($G530=2,7,IF($G530=3,14,IF($G530=4,30,60))))))</f>
        <v/>
      </c>
      <c r="I530" s="21">
        <f>IF($F530="","",$F530+$H530)</f>
        <v/>
      </c>
      <c r="J530">
        <f>IF($F530="","⚪ NEW",IF($G530&gt;=5,"✅ DONE",IF($I530&lt;TODAY(),"🔴 OVERDUE",IF($I530=TODAY(),"🟢 TODAY",IF($I530=TODAY()+1,"🔵 TOMORROW",IF($I530&lt;=TODAY()+7,"📅 THIS WEEK","⏳ SCHEDULED"))))))</f>
        <v/>
      </c>
      <c r="K530" s="20">
        <f>IF($F530="",999,IF($G530&gt;=5,9999,IF($I530="",999,$I530-TODAY())))</f>
        <v/>
      </c>
    </row>
    <row r="531">
      <c r="A531" s="22">
        <f>ROW()-2</f>
        <v/>
      </c>
      <c r="B531" s="23" t="inlineStr">
        <is>
          <t>S4</t>
        </is>
      </c>
      <c r="C531" s="23" t="inlineStr">
        <is>
          <t>Travaux pratiques</t>
        </is>
      </c>
      <c r="D531" s="23" t="inlineStr">
        <is>
          <t>TP d'hématologie</t>
        </is>
      </c>
      <c r="E531" s="23" t="inlineStr">
        <is>
          <t>Immuno-hématologie</t>
        </is>
      </c>
      <c r="F531" s="18" t="n"/>
      <c r="G531" s="19" t="n"/>
      <c r="H531" s="20">
        <f>IF($G531="",1,IF($G531=0,1,IF($G531=1,3,IF($G531=2,7,IF($G531=3,14,IF($G531=4,30,60))))))</f>
        <v/>
      </c>
      <c r="I531" s="21">
        <f>IF($F531="","",$F531+$H531)</f>
        <v/>
      </c>
      <c r="J531">
        <f>IF($F531="","⚪ NEW",IF($G531&gt;=5,"✅ DONE",IF($I531&lt;TODAY(),"🔴 OVERDUE",IF($I531=TODAY(),"🟢 TODAY",IF($I531=TODAY()+1,"🔵 TOMORROW",IF($I531&lt;=TODAY()+7,"📅 THIS WEEK","⏳ SCHEDULED"))))))</f>
        <v/>
      </c>
      <c r="K531" s="20">
        <f>IF($F531="",999,IF($G531&gt;=5,9999,IF($I531="",999,$I531-TODAY())))</f>
        <v/>
      </c>
    </row>
    <row r="532">
      <c r="A532" s="24">
        <f>ROW()-2</f>
        <v/>
      </c>
      <c r="B532" s="25" t="inlineStr">
        <is>
          <t>S5</t>
        </is>
      </c>
      <c r="C532" s="25" t="inlineStr">
        <is>
          <t>Parasitologie - Mycologie - Maladies infectieuses</t>
        </is>
      </c>
      <c r="D532" s="25" t="inlineStr">
        <is>
          <t>Parasitologie - Mycologie</t>
        </is>
      </c>
      <c r="E532" s="25" t="inlineStr">
        <is>
          <t>Généralités en parasitologie et mycologie médicale</t>
        </is>
      </c>
      <c r="F532" s="18" t="n"/>
      <c r="G532" s="19" t="n"/>
      <c r="H532" s="20">
        <f>IF($G532="",1,IF($G532=0,1,IF($G532=1,3,IF($G532=2,7,IF($G532=3,14,IF($G532=4,30,60))))))</f>
        <v/>
      </c>
      <c r="I532" s="21">
        <f>IF($F532="","",$F532+$H532)</f>
        <v/>
      </c>
      <c r="J532">
        <f>IF($F532="","⚪ NEW",IF($G532&gt;=5,"✅ DONE",IF($I532&lt;TODAY(),"🔴 OVERDUE",IF($I532=TODAY(),"🟢 TODAY",IF($I532=TODAY()+1,"🔵 TOMORROW",IF($I532&lt;=TODAY()+7,"📅 THIS WEEK","⏳ SCHEDULED"))))))</f>
        <v/>
      </c>
      <c r="K532" s="20">
        <f>IF($F532="",999,IF($G532&gt;=5,9999,IF($I532="",999,$I532-TODAY())))</f>
        <v/>
      </c>
    </row>
    <row r="533">
      <c r="A533" s="24">
        <f>ROW()-2</f>
        <v/>
      </c>
      <c r="B533" s="25" t="inlineStr">
        <is>
          <t>S5</t>
        </is>
      </c>
      <c r="C533" s="25" t="inlineStr">
        <is>
          <t>Parasitologie - Mycologie - Maladies infectieuses</t>
        </is>
      </c>
      <c r="D533" s="25" t="inlineStr">
        <is>
          <t>Parasitologie - Mycologie</t>
        </is>
      </c>
      <c r="E533" s="25" t="inlineStr">
        <is>
          <t>Amibes et amibiases</t>
        </is>
      </c>
      <c r="F533" s="18" t="n"/>
      <c r="G533" s="19" t="n"/>
      <c r="H533" s="20">
        <f>IF($G533="",1,IF($G533=0,1,IF($G533=1,3,IF($G533=2,7,IF($G533=3,14,IF($G533=4,30,60))))))</f>
        <v/>
      </c>
      <c r="I533" s="21">
        <f>IF($F533="","",$F533+$H533)</f>
        <v/>
      </c>
      <c r="J533">
        <f>IF($F533="","⚪ NEW",IF($G533&gt;=5,"✅ DONE",IF($I533&lt;TODAY(),"🔴 OVERDUE",IF($I533=TODAY(),"🟢 TODAY",IF($I533=TODAY()+1,"🔵 TOMORROW",IF($I533&lt;=TODAY()+7,"📅 THIS WEEK","⏳ SCHEDULED"))))))</f>
        <v/>
      </c>
      <c r="K533" s="20">
        <f>IF($F533="",999,IF($G533&gt;=5,9999,IF($I533="",999,$I533-TODAY())))</f>
        <v/>
      </c>
    </row>
    <row r="534">
      <c r="A534" s="24">
        <f>ROW()-2</f>
        <v/>
      </c>
      <c r="B534" s="25" t="inlineStr">
        <is>
          <t>S5</t>
        </is>
      </c>
      <c r="C534" s="25" t="inlineStr">
        <is>
          <t>Parasitologie - Mycologie - Maladies infectieuses</t>
        </is>
      </c>
      <c r="D534" s="25" t="inlineStr">
        <is>
          <t>Parasitologie - Mycologie</t>
        </is>
      </c>
      <c r="E534" s="25" t="inlineStr">
        <is>
          <t>Flagelloses digestives et urogénitales</t>
        </is>
      </c>
      <c r="F534" s="18" t="n"/>
      <c r="G534" s="19" t="n"/>
      <c r="H534" s="20">
        <f>IF($G534="",1,IF($G534=0,1,IF($G534=1,3,IF($G534=2,7,IF($G534=3,14,IF($G534=4,30,60))))))</f>
        <v/>
      </c>
      <c r="I534" s="21">
        <f>IF($F534="","",$F534+$H534)</f>
        <v/>
      </c>
      <c r="J534">
        <f>IF($F534="","⚪ NEW",IF($G534&gt;=5,"✅ DONE",IF($I534&lt;TODAY(),"🔴 OVERDUE",IF($I534=TODAY(),"🟢 TODAY",IF($I534=TODAY()+1,"🔵 TOMORROW",IF($I534&lt;=TODAY()+7,"📅 THIS WEEK","⏳ SCHEDULED"))))))</f>
        <v/>
      </c>
      <c r="K534" s="20">
        <f>IF($F534="",999,IF($G534&gt;=5,9999,IF($I534="",999,$I534-TODAY())))</f>
        <v/>
      </c>
    </row>
    <row r="535">
      <c r="A535" s="24">
        <f>ROW()-2</f>
        <v/>
      </c>
      <c r="B535" s="25" t="inlineStr">
        <is>
          <t>S5</t>
        </is>
      </c>
      <c r="C535" s="25" t="inlineStr">
        <is>
          <t>Parasitologie - Mycologie - Maladies infectieuses</t>
        </is>
      </c>
      <c r="D535" s="25" t="inlineStr">
        <is>
          <t>Parasitologie - Mycologie</t>
        </is>
      </c>
      <c r="E535" s="25" t="inlineStr">
        <is>
          <t>Protozooses intestinales opportunistes</t>
        </is>
      </c>
      <c r="F535" s="18" t="n"/>
      <c r="G535" s="19" t="n"/>
      <c r="H535" s="20">
        <f>IF($G535="",1,IF($G535=0,1,IF($G535=1,3,IF($G535=2,7,IF($G535=3,14,IF($G535=4,30,60))))))</f>
        <v/>
      </c>
      <c r="I535" s="21">
        <f>IF($F535="","",$F535+$H535)</f>
        <v/>
      </c>
      <c r="J535">
        <f>IF($F535="","⚪ NEW",IF($G535&gt;=5,"✅ DONE",IF($I535&lt;TODAY(),"🔴 OVERDUE",IF($I535=TODAY(),"🟢 TODAY",IF($I535=TODAY()+1,"🔵 TOMORROW",IF($I535&lt;=TODAY()+7,"📅 THIS WEEK","⏳ SCHEDULED"))))))</f>
        <v/>
      </c>
      <c r="K535" s="20">
        <f>IF($F535="",999,IF($G535&gt;=5,9999,IF($I535="",999,$I535-TODAY())))</f>
        <v/>
      </c>
    </row>
    <row r="536">
      <c r="A536" s="24">
        <f>ROW()-2</f>
        <v/>
      </c>
      <c r="B536" s="25" t="inlineStr">
        <is>
          <t>S5</t>
        </is>
      </c>
      <c r="C536" s="25" t="inlineStr">
        <is>
          <t>Parasitologie - Mycologie - Maladies infectieuses</t>
        </is>
      </c>
      <c r="D536" s="25" t="inlineStr">
        <is>
          <t>Parasitologie - Mycologie</t>
        </is>
      </c>
      <c r="E536" s="25" t="inlineStr">
        <is>
          <t>Paludisme (Malaria)</t>
        </is>
      </c>
      <c r="F536" s="18" t="n"/>
      <c r="G536" s="19" t="n"/>
      <c r="H536" s="20">
        <f>IF($G536="",1,IF($G536=0,1,IF($G536=1,3,IF($G536=2,7,IF($G536=3,14,IF($G536=4,30,60))))))</f>
        <v/>
      </c>
      <c r="I536" s="21">
        <f>IF($F536="","",$F536+$H536)</f>
        <v/>
      </c>
      <c r="J536">
        <f>IF($F536="","⚪ NEW",IF($G536&gt;=5,"✅ DONE",IF($I536&lt;TODAY(),"🔴 OVERDUE",IF($I536=TODAY(),"🟢 TODAY",IF($I536=TODAY()+1,"🔵 TOMORROW",IF($I536&lt;=TODAY()+7,"📅 THIS WEEK","⏳ SCHEDULED"))))))</f>
        <v/>
      </c>
      <c r="K536" s="20">
        <f>IF($F536="",999,IF($G536&gt;=5,9999,IF($I536="",999,$I536-TODAY())))</f>
        <v/>
      </c>
    </row>
    <row r="537">
      <c r="A537" s="24">
        <f>ROW()-2</f>
        <v/>
      </c>
      <c r="B537" s="25" t="inlineStr">
        <is>
          <t>S5</t>
        </is>
      </c>
      <c r="C537" s="25" t="inlineStr">
        <is>
          <t>Parasitologie - Mycologie - Maladies infectieuses</t>
        </is>
      </c>
      <c r="D537" s="25" t="inlineStr">
        <is>
          <t>Parasitologie - Mycologie</t>
        </is>
      </c>
      <c r="E537" s="25" t="inlineStr">
        <is>
          <t>Leishmanioses</t>
        </is>
      </c>
      <c r="F537" s="18" t="n"/>
      <c r="G537" s="19" t="n"/>
      <c r="H537" s="20">
        <f>IF($G537="",1,IF($G537=0,1,IF($G537=1,3,IF($G537=2,7,IF($G537=3,14,IF($G537=4,30,60))))))</f>
        <v/>
      </c>
      <c r="I537" s="21">
        <f>IF($F537="","",$F537+$H537)</f>
        <v/>
      </c>
      <c r="J537">
        <f>IF($F537="","⚪ NEW",IF($G537&gt;=5,"✅ DONE",IF($I537&lt;TODAY(),"🔴 OVERDUE",IF($I537=TODAY(),"🟢 TODAY",IF($I537=TODAY()+1,"🔵 TOMORROW",IF($I537&lt;=TODAY()+7,"📅 THIS WEEK","⏳ SCHEDULED"))))))</f>
        <v/>
      </c>
      <c r="K537" s="20">
        <f>IF($F537="",999,IF($G537&gt;=5,9999,IF($I537="",999,$I537-TODAY())))</f>
        <v/>
      </c>
    </row>
    <row r="538">
      <c r="A538" s="24">
        <f>ROW()-2</f>
        <v/>
      </c>
      <c r="B538" s="25" t="inlineStr">
        <is>
          <t>S5</t>
        </is>
      </c>
      <c r="C538" s="25" t="inlineStr">
        <is>
          <t>Parasitologie - Mycologie - Maladies infectieuses</t>
        </is>
      </c>
      <c r="D538" s="25" t="inlineStr">
        <is>
          <t>Parasitologie - Mycologie</t>
        </is>
      </c>
      <c r="E538" s="25" t="inlineStr">
        <is>
          <t>Toxoplasmoses</t>
        </is>
      </c>
      <c r="F538" s="18" t="n"/>
      <c r="G538" s="19" t="n"/>
      <c r="H538" s="20">
        <f>IF($G538="",1,IF($G538=0,1,IF($G538=1,3,IF($G538=2,7,IF($G538=3,14,IF($G538=4,30,60))))))</f>
        <v/>
      </c>
      <c r="I538" s="21">
        <f>IF($F538="","",$F538+$H538)</f>
        <v/>
      </c>
      <c r="J538">
        <f>IF($F538="","⚪ NEW",IF($G538&gt;=5,"✅ DONE",IF($I538&lt;TODAY(),"🔴 OVERDUE",IF($I538=TODAY(),"🟢 TODAY",IF($I538=TODAY()+1,"🔵 TOMORROW",IF($I538&lt;=TODAY()+7,"📅 THIS WEEK","⏳ SCHEDULED"))))))</f>
        <v/>
      </c>
      <c r="K538" s="20">
        <f>IF($F538="",999,IF($G538&gt;=5,9999,IF($I538="",999,$I538-TODAY())))</f>
        <v/>
      </c>
    </row>
    <row r="539">
      <c r="A539" s="24">
        <f>ROW()-2</f>
        <v/>
      </c>
      <c r="B539" s="25" t="inlineStr">
        <is>
          <t>S5</t>
        </is>
      </c>
      <c r="C539" s="25" t="inlineStr">
        <is>
          <t>Parasitologie - Mycologie - Maladies infectieuses</t>
        </is>
      </c>
      <c r="D539" s="25" t="inlineStr">
        <is>
          <t>Parasitologie - Mycologie</t>
        </is>
      </c>
      <c r="E539" s="25" t="inlineStr">
        <is>
          <t>Les trypanosomiases : maladie du sommeil et maladie de Chagas</t>
        </is>
      </c>
      <c r="F539" s="18" t="n"/>
      <c r="G539" s="19" t="n"/>
      <c r="H539" s="20">
        <f>IF($G539="",1,IF($G539=0,1,IF($G539=1,3,IF($G539=2,7,IF($G539=3,14,IF($G539=4,30,60))))))</f>
        <v/>
      </c>
      <c r="I539" s="21">
        <f>IF($F539="","",$F539+$H539)</f>
        <v/>
      </c>
      <c r="J539">
        <f>IF($F539="","⚪ NEW",IF($G539&gt;=5,"✅ DONE",IF($I539&lt;TODAY(),"🔴 OVERDUE",IF($I539=TODAY(),"🟢 TODAY",IF($I539=TODAY()+1,"🔵 TOMORROW",IF($I539&lt;=TODAY()+7,"📅 THIS WEEK","⏳ SCHEDULED"))))))</f>
        <v/>
      </c>
      <c r="K539" s="20">
        <f>IF($F539="",999,IF($G539&gt;=5,9999,IF($I539="",999,$I539-TODAY())))</f>
        <v/>
      </c>
    </row>
    <row r="540">
      <c r="A540" s="24">
        <f>ROW()-2</f>
        <v/>
      </c>
      <c r="B540" s="25" t="inlineStr">
        <is>
          <t>S5</t>
        </is>
      </c>
      <c r="C540" s="25" t="inlineStr">
        <is>
          <t>Parasitologie - Mycologie - Maladies infectieuses</t>
        </is>
      </c>
      <c r="D540" s="25" t="inlineStr">
        <is>
          <t>Parasitologie - Mycologie</t>
        </is>
      </c>
      <c r="E540" s="25" t="inlineStr">
        <is>
          <t>Généralités sur les helminthes et helminthiases</t>
        </is>
      </c>
      <c r="F540" s="18" t="n"/>
      <c r="G540" s="19" t="n"/>
      <c r="H540" s="20">
        <f>IF($G540="",1,IF($G540=0,1,IF($G540=1,3,IF($G540=2,7,IF($G540=3,14,IF($G540=4,30,60))))))</f>
        <v/>
      </c>
      <c r="I540" s="21">
        <f>IF($F540="","",$F540+$H540)</f>
        <v/>
      </c>
      <c r="J540">
        <f>IF($F540="","⚪ NEW",IF($G540&gt;=5,"✅ DONE",IF($I540&lt;TODAY(),"🔴 OVERDUE",IF($I540=TODAY(),"🟢 TODAY",IF($I540=TODAY()+1,"🔵 TOMORROW",IF($I540&lt;=TODAY()+7,"📅 THIS WEEK","⏳ SCHEDULED"))))))</f>
        <v/>
      </c>
      <c r="K540" s="20">
        <f>IF($F540="",999,IF($G540&gt;=5,9999,IF($I540="",999,$I540-TODAY())))</f>
        <v/>
      </c>
    </row>
    <row r="541">
      <c r="A541" s="24">
        <f>ROW()-2</f>
        <v/>
      </c>
      <c r="B541" s="25" t="inlineStr">
        <is>
          <t>S5</t>
        </is>
      </c>
      <c r="C541" s="25" t="inlineStr">
        <is>
          <t>Parasitologie - Mycologie - Maladies infectieuses</t>
        </is>
      </c>
      <c r="D541" s="25" t="inlineStr">
        <is>
          <t>Parasitologie - Mycologie</t>
        </is>
      </c>
      <c r="E541" s="25" t="inlineStr">
        <is>
          <t>Nématodes : Oxyure, Trichocéphale, Ascaris</t>
        </is>
      </c>
      <c r="F541" s="18" t="n"/>
      <c r="G541" s="19" t="n"/>
      <c r="H541" s="20">
        <f>IF($G541="",1,IF($G541=0,1,IF($G541=1,3,IF($G541=2,7,IF($G541=3,14,IF($G541=4,30,60))))))</f>
        <v/>
      </c>
      <c r="I541" s="21">
        <f>IF($F541="","",$F541+$H541)</f>
        <v/>
      </c>
      <c r="J541">
        <f>IF($F541="","⚪ NEW",IF($G541&gt;=5,"✅ DONE",IF($I541&lt;TODAY(),"🔴 OVERDUE",IF($I541=TODAY(),"🟢 TODAY",IF($I541=TODAY()+1,"🔵 TOMORROW",IF($I541&lt;=TODAY()+7,"📅 THIS WEEK","⏳ SCHEDULED"))))))</f>
        <v/>
      </c>
      <c r="K541" s="20">
        <f>IF($F541="",999,IF($G541&gt;=5,9999,IF($I541="",999,$I541-TODAY())))</f>
        <v/>
      </c>
    </row>
    <row r="542">
      <c r="A542" s="24">
        <f>ROW()-2</f>
        <v/>
      </c>
      <c r="B542" s="25" t="inlineStr">
        <is>
          <t>S5</t>
        </is>
      </c>
      <c r="C542" s="25" t="inlineStr">
        <is>
          <t>Parasitologie - Mycologie - Maladies infectieuses</t>
        </is>
      </c>
      <c r="D542" s="25" t="inlineStr">
        <is>
          <t>Parasitologie - Mycologie</t>
        </is>
      </c>
      <c r="E542" s="25" t="inlineStr">
        <is>
          <t>Nématodes : Trichine, Ankylostomes et Anguillules</t>
        </is>
      </c>
      <c r="F542" s="18" t="n"/>
      <c r="G542" s="19" t="n"/>
      <c r="H542" s="20">
        <f>IF($G542="",1,IF($G542=0,1,IF($G542=1,3,IF($G542=2,7,IF($G542=3,14,IF($G542=4,30,60))))))</f>
        <v/>
      </c>
      <c r="I542" s="21">
        <f>IF($F542="","",$F542+$H542)</f>
        <v/>
      </c>
      <c r="J542">
        <f>IF($F542="","⚪ NEW",IF($G542&gt;=5,"✅ DONE",IF($I542&lt;TODAY(),"🔴 OVERDUE",IF($I542=TODAY(),"🟢 TODAY",IF($I542=TODAY()+1,"🔵 TOMORROW",IF($I542&lt;=TODAY()+7,"📅 THIS WEEK","⏳ SCHEDULED"))))))</f>
        <v/>
      </c>
      <c r="K542" s="20">
        <f>IF($F542="",999,IF($G542&gt;=5,9999,IF($I542="",999,$I542-TODAY())))</f>
        <v/>
      </c>
    </row>
    <row r="543">
      <c r="A543" s="24">
        <f>ROW()-2</f>
        <v/>
      </c>
      <c r="B543" s="25" t="inlineStr">
        <is>
          <t>S5</t>
        </is>
      </c>
      <c r="C543" s="25" t="inlineStr">
        <is>
          <t>Parasitologie - Mycologie - Maladies infectieuses</t>
        </is>
      </c>
      <c r="D543" s="25" t="inlineStr">
        <is>
          <t>Parasitologie - Mycologie</t>
        </is>
      </c>
      <c r="E543" s="25" t="inlineStr">
        <is>
          <t>Filaires et filarioses</t>
        </is>
      </c>
      <c r="F543" s="18" t="n"/>
      <c r="G543" s="19" t="n"/>
      <c r="H543" s="20">
        <f>IF($G543="",1,IF($G543=0,1,IF($G543=1,3,IF($G543=2,7,IF($G543=3,14,IF($G543=4,30,60))))))</f>
        <v/>
      </c>
      <c r="I543" s="21">
        <f>IF($F543="","",$F543+$H543)</f>
        <v/>
      </c>
      <c r="J543">
        <f>IF($F543="","⚪ NEW",IF($G543&gt;=5,"✅ DONE",IF($I543&lt;TODAY(),"🔴 OVERDUE",IF($I543=TODAY(),"🟢 TODAY",IF($I543=TODAY()+1,"🔵 TOMORROW",IF($I543&lt;=TODAY()+7,"📅 THIS WEEK","⏳ SCHEDULED"))))))</f>
        <v/>
      </c>
      <c r="K543" s="20">
        <f>IF($F543="",999,IF($G543&gt;=5,9999,IF($I543="",999,$I543-TODAY())))</f>
        <v/>
      </c>
    </row>
    <row r="544">
      <c r="A544" s="24">
        <f>ROW()-2</f>
        <v/>
      </c>
      <c r="B544" s="25" t="inlineStr">
        <is>
          <t>S5</t>
        </is>
      </c>
      <c r="C544" s="25" t="inlineStr">
        <is>
          <t>Parasitologie - Mycologie - Maladies infectieuses</t>
        </is>
      </c>
      <c r="D544" s="25" t="inlineStr">
        <is>
          <t>Parasitologie - Mycologie</t>
        </is>
      </c>
      <c r="E544" s="25" t="inlineStr">
        <is>
          <t>Syndromes de larva migrans et nématodes tissulaires</t>
        </is>
      </c>
      <c r="F544" s="18" t="n"/>
      <c r="G544" s="19" t="n"/>
      <c r="H544" s="20">
        <f>IF($G544="",1,IF($G544=0,1,IF($G544=1,3,IF($G544=2,7,IF($G544=3,14,IF($G544=4,30,60))))))</f>
        <v/>
      </c>
      <c r="I544" s="21">
        <f>IF($F544="","",$F544+$H544)</f>
        <v/>
      </c>
      <c r="J544">
        <f>IF($F544="","⚪ NEW",IF($G544&gt;=5,"✅ DONE",IF($I544&lt;TODAY(),"🔴 OVERDUE",IF($I544=TODAY(),"🟢 TODAY",IF($I544=TODAY()+1,"🔵 TOMORROW",IF($I544&lt;=TODAY()+7,"📅 THIS WEEK","⏳ SCHEDULED"))))))</f>
        <v/>
      </c>
      <c r="K544" s="20">
        <f>IF($F544="",999,IF($G544&gt;=5,9999,IF($I544="",999,$I544-TODAY())))</f>
        <v/>
      </c>
    </row>
    <row r="545">
      <c r="A545" s="24">
        <f>ROW()-2</f>
        <v/>
      </c>
      <c r="B545" s="25" t="inlineStr">
        <is>
          <t>S5</t>
        </is>
      </c>
      <c r="C545" s="25" t="inlineStr">
        <is>
          <t>Parasitologie - Mycologie - Maladies infectieuses</t>
        </is>
      </c>
      <c r="D545" s="25" t="inlineStr">
        <is>
          <t>Parasitologie - Mycologie</t>
        </is>
      </c>
      <c r="E545" s="25" t="inlineStr">
        <is>
          <t>Les cestodes et cestodoses (taeniasis et cysticercose)</t>
        </is>
      </c>
      <c r="F545" s="18" t="n"/>
      <c r="G545" s="19" t="n"/>
      <c r="H545" s="20">
        <f>IF($G545="",1,IF($G545=0,1,IF($G545=1,3,IF($G545=2,7,IF($G545=3,14,IF($G545=4,30,60))))))</f>
        <v/>
      </c>
      <c r="I545" s="21">
        <f>IF($F545="","",$F545+$H545)</f>
        <v/>
      </c>
      <c r="J545">
        <f>IF($F545="","⚪ NEW",IF($G545&gt;=5,"✅ DONE",IF($I545&lt;TODAY(),"🔴 OVERDUE",IF($I545=TODAY(),"🟢 TODAY",IF($I545=TODAY()+1,"🔵 TOMORROW",IF($I545&lt;=TODAY()+7,"📅 THIS WEEK","⏳ SCHEDULED"))))))</f>
        <v/>
      </c>
      <c r="K545" s="20">
        <f>IF($F545="",999,IF($G545&gt;=5,9999,IF($I545="",999,$I545-TODAY())))</f>
        <v/>
      </c>
    </row>
    <row r="546">
      <c r="A546" s="24">
        <f>ROW()-2</f>
        <v/>
      </c>
      <c r="B546" s="25" t="inlineStr">
        <is>
          <t>S5</t>
        </is>
      </c>
      <c r="C546" s="25" t="inlineStr">
        <is>
          <t>Parasitologie - Mycologie - Maladies infectieuses</t>
        </is>
      </c>
      <c r="D546" s="25" t="inlineStr">
        <is>
          <t>Parasitologie - Mycologie</t>
        </is>
      </c>
      <c r="E546" s="25" t="inlineStr">
        <is>
          <t>Echinococcoses humaines (hydatidoses)</t>
        </is>
      </c>
      <c r="F546" s="18" t="n"/>
      <c r="G546" s="19" t="n"/>
      <c r="H546" s="20">
        <f>IF($G546="",1,IF($G546=0,1,IF($G546=1,3,IF($G546=2,7,IF($G546=3,14,IF($G546=4,30,60))))))</f>
        <v/>
      </c>
      <c r="I546" s="21">
        <f>IF($F546="","",$F546+$H546)</f>
        <v/>
      </c>
      <c r="J546">
        <f>IF($F546="","⚪ NEW",IF($G546&gt;=5,"✅ DONE",IF($I546&lt;TODAY(),"🔴 OVERDUE",IF($I546=TODAY(),"🟢 TODAY",IF($I546=TODAY()+1,"🔵 TOMORROW",IF($I546&lt;=TODAY()+7,"📅 THIS WEEK","⏳ SCHEDULED"))))))</f>
        <v/>
      </c>
      <c r="K546" s="20">
        <f>IF($F546="",999,IF($G546&gt;=5,9999,IF($I546="",999,$I546-TODAY())))</f>
        <v/>
      </c>
    </row>
    <row r="547">
      <c r="A547" s="24">
        <f>ROW()-2</f>
        <v/>
      </c>
      <c r="B547" s="25" t="inlineStr">
        <is>
          <t>S5</t>
        </is>
      </c>
      <c r="C547" s="25" t="inlineStr">
        <is>
          <t>Parasitologie - Mycologie - Maladies infectieuses</t>
        </is>
      </c>
      <c r="D547" s="25" t="inlineStr">
        <is>
          <t>Parasitologie - Mycologie</t>
        </is>
      </c>
      <c r="E547" s="25" t="inlineStr">
        <is>
          <t>Trématodes - distomatoses (les douves)</t>
        </is>
      </c>
      <c r="F547" s="18" t="n"/>
      <c r="G547" s="19" t="n"/>
      <c r="H547" s="20">
        <f>IF($G547="",1,IF($G547=0,1,IF($G547=1,3,IF($G547=2,7,IF($G547=3,14,IF($G547=4,30,60))))))</f>
        <v/>
      </c>
      <c r="I547" s="21">
        <f>IF($F547="","",$F547+$H547)</f>
        <v/>
      </c>
      <c r="J547">
        <f>IF($F547="","⚪ NEW",IF($G547&gt;=5,"✅ DONE",IF($I547&lt;TODAY(),"🔴 OVERDUE",IF($I547=TODAY(),"🟢 TODAY",IF($I547=TODAY()+1,"🔵 TOMORROW",IF($I547&lt;=TODAY()+7,"📅 THIS WEEK","⏳ SCHEDULED"))))))</f>
        <v/>
      </c>
      <c r="K547" s="20">
        <f>IF($F547="",999,IF($G547&gt;=5,9999,IF($I547="",999,$I547-TODAY())))</f>
        <v/>
      </c>
    </row>
    <row r="548">
      <c r="A548" s="24">
        <f>ROW()-2</f>
        <v/>
      </c>
      <c r="B548" s="25" t="inlineStr">
        <is>
          <t>S5</t>
        </is>
      </c>
      <c r="C548" s="25" t="inlineStr">
        <is>
          <t>Parasitologie - Mycologie - Maladies infectieuses</t>
        </is>
      </c>
      <c r="D548" s="25" t="inlineStr">
        <is>
          <t>Parasitologie - Mycologie</t>
        </is>
      </c>
      <c r="E548" s="25" t="inlineStr">
        <is>
          <t>Bilharzioses</t>
        </is>
      </c>
      <c r="F548" s="18" t="n"/>
      <c r="G548" s="19" t="n"/>
      <c r="H548" s="20">
        <f>IF($G548="",1,IF($G548=0,1,IF($G548=1,3,IF($G548=2,7,IF($G548=3,14,IF($G548=4,30,60))))))</f>
        <v/>
      </c>
      <c r="I548" s="21">
        <f>IF($F548="","",$F548+$H548)</f>
        <v/>
      </c>
      <c r="J548">
        <f>IF($F548="","⚪ NEW",IF($G548&gt;=5,"✅ DONE",IF($I548&lt;TODAY(),"🔴 OVERDUE",IF($I548=TODAY(),"🟢 TODAY",IF($I548=TODAY()+1,"🔵 TOMORROW",IF($I548&lt;=TODAY()+7,"📅 THIS WEEK","⏳ SCHEDULED"))))))</f>
        <v/>
      </c>
      <c r="K548" s="20">
        <f>IF($F548="",999,IF($G548&gt;=5,9999,IF($I548="",999,$I548-TODAY())))</f>
        <v/>
      </c>
    </row>
    <row r="549">
      <c r="A549" s="24">
        <f>ROW()-2</f>
        <v/>
      </c>
      <c r="B549" s="25" t="inlineStr">
        <is>
          <t>S5</t>
        </is>
      </c>
      <c r="C549" s="25" t="inlineStr">
        <is>
          <t>Parasitologie - Mycologie - Maladies infectieuses</t>
        </is>
      </c>
      <c r="D549" s="25" t="inlineStr">
        <is>
          <t>Parasitologie - Mycologie</t>
        </is>
      </c>
      <c r="E549" s="25" t="inlineStr">
        <is>
          <t>Entomologie médicale et ectoparasitoses</t>
        </is>
      </c>
      <c r="F549" s="18" t="n"/>
      <c r="G549" s="19" t="n"/>
      <c r="H549" s="20">
        <f>IF($G549="",1,IF($G549=0,1,IF($G549=1,3,IF($G549=2,7,IF($G549=3,14,IF($G549=4,30,60))))))</f>
        <v/>
      </c>
      <c r="I549" s="21">
        <f>IF($F549="","",$F549+$H549)</f>
        <v/>
      </c>
      <c r="J549">
        <f>IF($F549="","⚪ NEW",IF($G549&gt;=5,"✅ DONE",IF($I549&lt;TODAY(),"🔴 OVERDUE",IF($I549=TODAY(),"🟢 TODAY",IF($I549=TODAY()+1,"🔵 TOMORROW",IF($I549&lt;=TODAY()+7,"📅 THIS WEEK","⏳ SCHEDULED"))))))</f>
        <v/>
      </c>
      <c r="K549" s="20">
        <f>IF($F549="",999,IF($G549&gt;=5,9999,IF($I549="",999,$I549-TODAY())))</f>
        <v/>
      </c>
    </row>
    <row r="550">
      <c r="A550" s="24">
        <f>ROW()-2</f>
        <v/>
      </c>
      <c r="B550" s="25" t="inlineStr">
        <is>
          <t>S5</t>
        </is>
      </c>
      <c r="C550" s="25" t="inlineStr">
        <is>
          <t>Parasitologie - Mycologie - Maladies infectieuses</t>
        </is>
      </c>
      <c r="D550" s="25" t="inlineStr">
        <is>
          <t>Parasitologie - Mycologie</t>
        </is>
      </c>
      <c r="E550" s="25" t="inlineStr">
        <is>
          <t>Mycologie médicale - introduction et généralités</t>
        </is>
      </c>
      <c r="F550" s="18" t="n"/>
      <c r="G550" s="19" t="n"/>
      <c r="H550" s="20">
        <f>IF($G550="",1,IF($G550=0,1,IF($G550=1,3,IF($G550=2,7,IF($G550=3,14,IF($G550=4,30,60))))))</f>
        <v/>
      </c>
      <c r="I550" s="21">
        <f>IF($F550="","",$F550+$H550)</f>
        <v/>
      </c>
      <c r="J550">
        <f>IF($F550="","⚪ NEW",IF($G550&gt;=5,"✅ DONE",IF($I550&lt;TODAY(),"🔴 OVERDUE",IF($I550=TODAY(),"🟢 TODAY",IF($I550=TODAY()+1,"🔵 TOMORROW",IF($I550&lt;=TODAY()+7,"📅 THIS WEEK","⏳ SCHEDULED"))))))</f>
        <v/>
      </c>
      <c r="K550" s="20">
        <f>IF($F550="",999,IF($G550&gt;=5,9999,IF($I550="",999,$I550-TODAY())))</f>
        <v/>
      </c>
    </row>
    <row r="551">
      <c r="A551" s="24">
        <f>ROW()-2</f>
        <v/>
      </c>
      <c r="B551" s="25" t="inlineStr">
        <is>
          <t>S5</t>
        </is>
      </c>
      <c r="C551" s="25" t="inlineStr">
        <is>
          <t>Parasitologie - Mycologie - Maladies infectieuses</t>
        </is>
      </c>
      <c r="D551" s="25" t="inlineStr">
        <is>
          <t>Parasitologie - Mycologie</t>
        </is>
      </c>
      <c r="E551" s="25" t="inlineStr">
        <is>
          <t>Levures et levuroses</t>
        </is>
      </c>
      <c r="F551" s="18" t="n"/>
      <c r="G551" s="19" t="n"/>
      <c r="H551" s="20">
        <f>IF($G551="",1,IF($G551=0,1,IF($G551=1,3,IF($G551=2,7,IF($G551=3,14,IF($G551=4,30,60))))))</f>
        <v/>
      </c>
      <c r="I551" s="21">
        <f>IF($F551="","",$F551+$H551)</f>
        <v/>
      </c>
      <c r="J551">
        <f>IF($F551="","⚪ NEW",IF($G551&gt;=5,"✅ DONE",IF($I551&lt;TODAY(),"🔴 OVERDUE",IF($I551=TODAY(),"🟢 TODAY",IF($I551=TODAY()+1,"🔵 TOMORROW",IF($I551&lt;=TODAY()+7,"📅 THIS WEEK","⏳ SCHEDULED"))))))</f>
        <v/>
      </c>
      <c r="K551" s="20">
        <f>IF($F551="",999,IF($G551&gt;=5,9999,IF($I551="",999,$I551-TODAY())))</f>
        <v/>
      </c>
    </row>
    <row r="552">
      <c r="A552" s="24">
        <f>ROW()-2</f>
        <v/>
      </c>
      <c r="B552" s="25" t="inlineStr">
        <is>
          <t>S5</t>
        </is>
      </c>
      <c r="C552" s="25" t="inlineStr">
        <is>
          <t>Parasitologie - Mycologie - Maladies infectieuses</t>
        </is>
      </c>
      <c r="D552" s="25" t="inlineStr">
        <is>
          <t>Parasitologie - Mycologie</t>
        </is>
      </c>
      <c r="E552" s="25" t="inlineStr">
        <is>
          <t>Les mycoses à champignons filamenteux</t>
        </is>
      </c>
      <c r="F552" s="18" t="n"/>
      <c r="G552" s="19" t="n"/>
      <c r="H552" s="20">
        <f>IF($G552="",1,IF($G552=0,1,IF($G552=1,3,IF($G552=2,7,IF($G552=3,14,IF($G552=4,30,60))))))</f>
        <v/>
      </c>
      <c r="I552" s="21">
        <f>IF($F552="","",$F552+$H552)</f>
        <v/>
      </c>
      <c r="J552">
        <f>IF($F552="","⚪ NEW",IF($G552&gt;=5,"✅ DONE",IF($I552&lt;TODAY(),"🔴 OVERDUE",IF($I552=TODAY(),"🟢 TODAY",IF($I552=TODAY()+1,"🔵 TOMORROW",IF($I552&lt;=TODAY()+7,"📅 THIS WEEK","⏳ SCHEDULED"))))))</f>
        <v/>
      </c>
      <c r="K552" s="20">
        <f>IF($F552="",999,IF($G552&gt;=5,9999,IF($I552="",999,$I552-TODAY())))</f>
        <v/>
      </c>
    </row>
    <row r="553">
      <c r="A553" s="24">
        <f>ROW()-2</f>
        <v/>
      </c>
      <c r="B553" s="25" t="inlineStr">
        <is>
          <t>S5</t>
        </is>
      </c>
      <c r="C553" s="25" t="inlineStr">
        <is>
          <t>Parasitologie - Mycologie - Maladies infectieuses</t>
        </is>
      </c>
      <c r="D553" s="25" t="inlineStr">
        <is>
          <t>Maladies infectieuses</t>
        </is>
      </c>
      <c r="E553" s="25" t="inlineStr">
        <is>
          <t>Epidémiologie des maladies infectieuses</t>
        </is>
      </c>
      <c r="F553" s="18" t="n"/>
      <c r="G553" s="19" t="n"/>
      <c r="H553" s="20">
        <f>IF($G553="",1,IF($G553=0,1,IF($G553=1,3,IF($G553=2,7,IF($G553=3,14,IF($G553=4,30,60))))))</f>
        <v/>
      </c>
      <c r="I553" s="21">
        <f>IF($F553="","",$F553+$H553)</f>
        <v/>
      </c>
      <c r="J553">
        <f>IF($F553="","⚪ NEW",IF($G553&gt;=5,"✅ DONE",IF($I553&lt;TODAY(),"🔴 OVERDUE",IF($I553=TODAY(),"🟢 TODAY",IF($I553=TODAY()+1,"🔵 TOMORROW",IF($I553&lt;=TODAY()+7,"📅 THIS WEEK","⏳ SCHEDULED"))))))</f>
        <v/>
      </c>
      <c r="K553" s="20">
        <f>IF($F553="",999,IF($G553&gt;=5,9999,IF($I553="",999,$I553-TODAY())))</f>
        <v/>
      </c>
    </row>
    <row r="554">
      <c r="A554" s="24">
        <f>ROW()-2</f>
        <v/>
      </c>
      <c r="B554" s="25" t="inlineStr">
        <is>
          <t>S5</t>
        </is>
      </c>
      <c r="C554" s="25" t="inlineStr">
        <is>
          <t>Parasitologie - Mycologie - Maladies infectieuses</t>
        </is>
      </c>
      <c r="D554" s="25" t="inlineStr">
        <is>
          <t>Maladies infectieuses</t>
        </is>
      </c>
      <c r="E554" s="25" t="inlineStr">
        <is>
          <t>Fièvres typhoïdes</t>
        </is>
      </c>
      <c r="F554" s="18" t="n"/>
      <c r="G554" s="19" t="n"/>
      <c r="H554" s="20">
        <f>IF($G554="",1,IF($G554=0,1,IF($G554=1,3,IF($G554=2,7,IF($G554=3,14,IF($G554=4,30,60))))))</f>
        <v/>
      </c>
      <c r="I554" s="21">
        <f>IF($F554="","",$F554+$H554)</f>
        <v/>
      </c>
      <c r="J554">
        <f>IF($F554="","⚪ NEW",IF($G554&gt;=5,"✅ DONE",IF($I554&lt;TODAY(),"🔴 OVERDUE",IF($I554=TODAY(),"🟢 TODAY",IF($I554=TODAY()+1,"🔵 TOMORROW",IF($I554&lt;=TODAY()+7,"📅 THIS WEEK","⏳ SCHEDULED"))))))</f>
        <v/>
      </c>
      <c r="K554" s="20">
        <f>IF($F554="",999,IF($G554&gt;=5,9999,IF($I554="",999,$I554-TODAY())))</f>
        <v/>
      </c>
    </row>
    <row r="555">
      <c r="A555" s="24">
        <f>ROW()-2</f>
        <v/>
      </c>
      <c r="B555" s="25" t="inlineStr">
        <is>
          <t>S5</t>
        </is>
      </c>
      <c r="C555" s="25" t="inlineStr">
        <is>
          <t>Parasitologie - Mycologie - Maladies infectieuses</t>
        </is>
      </c>
      <c r="D555" s="25" t="inlineStr">
        <is>
          <t>Maladies infectieuses</t>
        </is>
      </c>
      <c r="E555" s="25" t="inlineStr">
        <is>
          <t>Les méningites infectieuses de l'adulte</t>
        </is>
      </c>
      <c r="F555" s="18" t="n"/>
      <c r="G555" s="19" t="n"/>
      <c r="H555" s="20">
        <f>IF($G555="",1,IF($G555=0,1,IF($G555=1,3,IF($G555=2,7,IF($G555=3,14,IF($G555=4,30,60))))))</f>
        <v/>
      </c>
      <c r="I555" s="21">
        <f>IF($F555="","",$F555+$H555)</f>
        <v/>
      </c>
      <c r="J555">
        <f>IF($F555="","⚪ NEW",IF($G555&gt;=5,"✅ DONE",IF($I555&lt;TODAY(),"🔴 OVERDUE",IF($I555=TODAY(),"🟢 TODAY",IF($I555=TODAY()+1,"🔵 TOMORROW",IF($I555&lt;=TODAY()+7,"📅 THIS WEEK","⏳ SCHEDULED"))))))</f>
        <v/>
      </c>
      <c r="K555" s="20">
        <f>IF($F555="",999,IF($G555&gt;=5,9999,IF($I555="",999,$I555-TODAY())))</f>
        <v/>
      </c>
    </row>
    <row r="556">
      <c r="A556" s="24">
        <f>ROW()-2</f>
        <v/>
      </c>
      <c r="B556" s="25" t="inlineStr">
        <is>
          <t>S5</t>
        </is>
      </c>
      <c r="C556" s="25" t="inlineStr">
        <is>
          <t>Parasitologie - Mycologie - Maladies infectieuses</t>
        </is>
      </c>
      <c r="D556" s="25" t="inlineStr">
        <is>
          <t>Maladies infectieuses</t>
        </is>
      </c>
      <c r="E556" s="25" t="inlineStr">
        <is>
          <t>La méningo-encéphalite tuberculeuse</t>
        </is>
      </c>
      <c r="F556" s="18" t="n"/>
      <c r="G556" s="19" t="n"/>
      <c r="H556" s="20">
        <f>IF($G556="",1,IF($G556=0,1,IF($G556=1,3,IF($G556=2,7,IF($G556=3,14,IF($G556=4,30,60))))))</f>
        <v/>
      </c>
      <c r="I556" s="21">
        <f>IF($F556="","",$F556+$H556)</f>
        <v/>
      </c>
      <c r="J556">
        <f>IF($F556="","⚪ NEW",IF($G556&gt;=5,"✅ DONE",IF($I556&lt;TODAY(),"🔴 OVERDUE",IF($I556=TODAY(),"🟢 TODAY",IF($I556=TODAY()+1,"🔵 TOMORROW",IF($I556&lt;=TODAY()+7,"📅 THIS WEEK","⏳ SCHEDULED"))))))</f>
        <v/>
      </c>
      <c r="K556" s="20">
        <f>IF($F556="",999,IF($G556&gt;=5,9999,IF($I556="",999,$I556-TODAY())))</f>
        <v/>
      </c>
    </row>
    <row r="557">
      <c r="A557" s="24">
        <f>ROW()-2</f>
        <v/>
      </c>
      <c r="B557" s="25" t="inlineStr">
        <is>
          <t>S5</t>
        </is>
      </c>
      <c r="C557" s="25" t="inlineStr">
        <is>
          <t>Parasitologie - Mycologie - Maladies infectieuses</t>
        </is>
      </c>
      <c r="D557" s="25" t="inlineStr">
        <is>
          <t>Maladies infectieuses</t>
        </is>
      </c>
      <c r="E557" s="25" t="inlineStr">
        <is>
          <t>La méningo-encéphalite herpétique</t>
        </is>
      </c>
      <c r="F557" s="18" t="n"/>
      <c r="G557" s="19" t="n"/>
      <c r="H557" s="20">
        <f>IF($G557="",1,IF($G557=0,1,IF($G557=1,3,IF($G557=2,7,IF($G557=3,14,IF($G557=4,30,60))))))</f>
        <v/>
      </c>
      <c r="I557" s="21">
        <f>IF($F557="","",$F557+$H557)</f>
        <v/>
      </c>
      <c r="J557">
        <f>IF($F557="","⚪ NEW",IF($G557&gt;=5,"✅ DONE",IF($I557&lt;TODAY(),"🔴 OVERDUE",IF($I557=TODAY(),"🟢 TODAY",IF($I557=TODAY()+1,"🔵 TOMORROW",IF($I557&lt;=TODAY()+7,"📅 THIS WEEK","⏳ SCHEDULED"))))))</f>
        <v/>
      </c>
      <c r="K557" s="20">
        <f>IF($F557="",999,IF($G557&gt;=5,9999,IF($I557="",999,$I557-TODAY())))</f>
        <v/>
      </c>
    </row>
    <row r="558">
      <c r="A558" s="24">
        <f>ROW()-2</f>
        <v/>
      </c>
      <c r="B558" s="25" t="inlineStr">
        <is>
          <t>S5</t>
        </is>
      </c>
      <c r="C558" s="25" t="inlineStr">
        <is>
          <t>Parasitologie - Mycologie - Maladies infectieuses</t>
        </is>
      </c>
      <c r="D558" s="25" t="inlineStr">
        <is>
          <t>Maladies infectieuses</t>
        </is>
      </c>
      <c r="E558" s="25" t="inlineStr">
        <is>
          <t>Infection par le VIH</t>
        </is>
      </c>
      <c r="F558" s="18" t="n"/>
      <c r="G558" s="19" t="n"/>
      <c r="H558" s="20">
        <f>IF($G558="",1,IF($G558=0,1,IF($G558=1,3,IF($G558=2,7,IF($G558=3,14,IF($G558=4,30,60))))))</f>
        <v/>
      </c>
      <c r="I558" s="21">
        <f>IF($F558="","",$F558+$H558)</f>
        <v/>
      </c>
      <c r="J558">
        <f>IF($F558="","⚪ NEW",IF($G558&gt;=5,"✅ DONE",IF($I558&lt;TODAY(),"🔴 OVERDUE",IF($I558=TODAY(),"🟢 TODAY",IF($I558=TODAY()+1,"🔵 TOMORROW",IF($I558&lt;=TODAY()+7,"📅 THIS WEEK","⏳ SCHEDULED"))))))</f>
        <v/>
      </c>
      <c r="K558" s="20">
        <f>IF($F558="",999,IF($G558&gt;=5,9999,IF($I558="",999,$I558-TODAY())))</f>
        <v/>
      </c>
    </row>
    <row r="559">
      <c r="A559" s="24">
        <f>ROW()-2</f>
        <v/>
      </c>
      <c r="B559" s="25" t="inlineStr">
        <is>
          <t>S5</t>
        </is>
      </c>
      <c r="C559" s="25" t="inlineStr">
        <is>
          <t>Parasitologie - Mycologie - Maladies infectieuses</t>
        </is>
      </c>
      <c r="D559" s="25" t="inlineStr">
        <is>
          <t>Maladies infectieuses</t>
        </is>
      </c>
      <c r="E559" s="25" t="inlineStr">
        <is>
          <t>Les infections associées aux soins (IAS)</t>
        </is>
      </c>
      <c r="F559" s="18" t="n"/>
      <c r="G559" s="19" t="n"/>
      <c r="H559" s="20">
        <f>IF($G559="",1,IF($G559=0,1,IF($G559=1,3,IF($G559=2,7,IF($G559=3,14,IF($G559=4,30,60))))))</f>
        <v/>
      </c>
      <c r="I559" s="21">
        <f>IF($F559="","",$F559+$H559)</f>
        <v/>
      </c>
      <c r="J559">
        <f>IF($F559="","⚪ NEW",IF($G559&gt;=5,"✅ DONE",IF($I559&lt;TODAY(),"🔴 OVERDUE",IF($I559=TODAY(),"🟢 TODAY",IF($I559=TODAY()+1,"🔵 TOMORROW",IF($I559&lt;=TODAY()+7,"📅 THIS WEEK","⏳ SCHEDULED"))))))</f>
        <v/>
      </c>
      <c r="K559" s="20">
        <f>IF($F559="",999,IF($G559&gt;=5,9999,IF($I559="",999,$I559-TODAY())))</f>
        <v/>
      </c>
    </row>
    <row r="560">
      <c r="A560" s="24">
        <f>ROW()-2</f>
        <v/>
      </c>
      <c r="B560" s="25" t="inlineStr">
        <is>
          <t>S5</t>
        </is>
      </c>
      <c r="C560" s="25" t="inlineStr">
        <is>
          <t>Parasitologie - Mycologie - Maladies infectieuses</t>
        </is>
      </c>
      <c r="D560" s="25" t="inlineStr">
        <is>
          <t>Maladies infectieuses</t>
        </is>
      </c>
      <c r="E560" s="25" t="inlineStr">
        <is>
          <t>Rickettsioses - fièvre Q</t>
        </is>
      </c>
      <c r="F560" s="18" t="n"/>
      <c r="G560" s="19" t="n"/>
      <c r="H560" s="20">
        <f>IF($G560="",1,IF($G560=0,1,IF($G560=1,3,IF($G560=2,7,IF($G560=3,14,IF($G560=4,30,60))))))</f>
        <v/>
      </c>
      <c r="I560" s="21">
        <f>IF($F560="","",$F560+$H560)</f>
        <v/>
      </c>
      <c r="J560">
        <f>IF($F560="","⚪ NEW",IF($G560&gt;=5,"✅ DONE",IF($I560&lt;TODAY(),"🔴 OVERDUE",IF($I560=TODAY(),"🟢 TODAY",IF($I560=TODAY()+1,"🔵 TOMORROW",IF($I560&lt;=TODAY()+7,"📅 THIS WEEK","⏳ SCHEDULED"))))))</f>
        <v/>
      </c>
      <c r="K560" s="20">
        <f>IF($F560="",999,IF($G560&gt;=5,9999,IF($I560="",999,$I560-TODAY())))</f>
        <v/>
      </c>
    </row>
    <row r="561">
      <c r="A561" s="24">
        <f>ROW()-2</f>
        <v/>
      </c>
      <c r="B561" s="25" t="inlineStr">
        <is>
          <t>S5</t>
        </is>
      </c>
      <c r="C561" s="25" t="inlineStr">
        <is>
          <t>Parasitologie - Mycologie - Maladies infectieuses</t>
        </is>
      </c>
      <c r="D561" s="25" t="inlineStr">
        <is>
          <t>Maladies infectieuses</t>
        </is>
      </c>
      <c r="E561" s="25" t="inlineStr">
        <is>
          <t>Accidents d'exposition au sang (AES)</t>
        </is>
      </c>
      <c r="F561" s="18" t="n"/>
      <c r="G561" s="19" t="n"/>
      <c r="H561" s="20">
        <f>IF($G561="",1,IF($G561=0,1,IF($G561=1,3,IF($G561=2,7,IF($G561=3,14,IF($G561=4,30,60))))))</f>
        <v/>
      </c>
      <c r="I561" s="21">
        <f>IF($F561="","",$F561+$H561)</f>
        <v/>
      </c>
      <c r="J561">
        <f>IF($F561="","⚪ NEW",IF($G561&gt;=5,"✅ DONE",IF($I561&lt;TODAY(),"🔴 OVERDUE",IF($I561=TODAY(),"🟢 TODAY",IF($I561=TODAY()+1,"🔵 TOMORROW",IF($I561&lt;=TODAY()+7,"📅 THIS WEEK","⏳ SCHEDULED"))))))</f>
        <v/>
      </c>
      <c r="K561" s="20">
        <f>IF($F561="",999,IF($G561&gt;=5,9999,IF($I561="",999,$I561-TODAY())))</f>
        <v/>
      </c>
    </row>
    <row r="562">
      <c r="A562" s="24">
        <f>ROW()-2</f>
        <v/>
      </c>
      <c r="B562" s="25" t="inlineStr">
        <is>
          <t>S5</t>
        </is>
      </c>
      <c r="C562" s="25" t="inlineStr">
        <is>
          <t>Parasitologie - Mycologie - Maladies infectieuses</t>
        </is>
      </c>
      <c r="D562" s="25" t="inlineStr">
        <is>
          <t>Maladies infectieuses</t>
        </is>
      </c>
      <c r="E562" s="25" t="inlineStr">
        <is>
          <t>La rage humaine</t>
        </is>
      </c>
      <c r="F562" s="18" t="n"/>
      <c r="G562" s="19" t="n"/>
      <c r="H562" s="20">
        <f>IF($G562="",1,IF($G562=0,1,IF($G562=1,3,IF($G562=2,7,IF($G562=3,14,IF($G562=4,30,60))))))</f>
        <v/>
      </c>
      <c r="I562" s="21">
        <f>IF($F562="","",$F562+$H562)</f>
        <v/>
      </c>
      <c r="J562">
        <f>IF($F562="","⚪ NEW",IF($G562&gt;=5,"✅ DONE",IF($I562&lt;TODAY(),"🔴 OVERDUE",IF($I562=TODAY(),"🟢 TODAY",IF($I562=TODAY()+1,"🔵 TOMORROW",IF($I562&lt;=TODAY()+7,"📅 THIS WEEK","⏳ SCHEDULED"))))))</f>
        <v/>
      </c>
      <c r="K562" s="20">
        <f>IF($F562="",999,IF($G562&gt;=5,9999,IF($I562="",999,$I562-TODAY())))</f>
        <v/>
      </c>
    </row>
    <row r="563">
      <c r="A563" s="24">
        <f>ROW()-2</f>
        <v/>
      </c>
      <c r="B563" s="25" t="inlineStr">
        <is>
          <t>S5</t>
        </is>
      </c>
      <c r="C563" s="25" t="inlineStr">
        <is>
          <t>Parasitologie - Mycologie - Maladies infectieuses</t>
        </is>
      </c>
      <c r="D563" s="25" t="inlineStr">
        <is>
          <t>Maladies infectieuses</t>
        </is>
      </c>
      <c r="E563" s="25" t="inlineStr">
        <is>
          <t>La brucellose</t>
        </is>
      </c>
      <c r="F563" s="18" t="n"/>
      <c r="G563" s="19" t="n"/>
      <c r="H563" s="20">
        <f>IF($G563="",1,IF($G563=0,1,IF($G563=1,3,IF($G563=2,7,IF($G563=3,14,IF($G563=4,30,60))))))</f>
        <v/>
      </c>
      <c r="I563" s="21">
        <f>IF($F563="","",$F563+$H563)</f>
        <v/>
      </c>
      <c r="J563">
        <f>IF($F563="","⚪ NEW",IF($G563&gt;=5,"✅ DONE",IF($I563&lt;TODAY(),"🔴 OVERDUE",IF($I563=TODAY(),"🟢 TODAY",IF($I563=TODAY()+1,"🔵 TOMORROW",IF($I563&lt;=TODAY()+7,"📅 THIS WEEK","⏳ SCHEDULED"))))))</f>
        <v/>
      </c>
      <c r="K563" s="20">
        <f>IF($F563="",999,IF($G563&gt;=5,9999,IF($I563="",999,$I563-TODAY())))</f>
        <v/>
      </c>
    </row>
    <row r="564">
      <c r="A564" s="24">
        <f>ROW()-2</f>
        <v/>
      </c>
      <c r="B564" s="25" t="inlineStr">
        <is>
          <t>S5</t>
        </is>
      </c>
      <c r="C564" s="25" t="inlineStr">
        <is>
          <t>Parasitologie - Mycologie - Maladies infectieuses</t>
        </is>
      </c>
      <c r="D564" s="25" t="inlineStr">
        <is>
          <t>Maladies infectieuses</t>
        </is>
      </c>
      <c r="E564" s="25" t="inlineStr">
        <is>
          <t>Le tétanos</t>
        </is>
      </c>
      <c r="F564" s="18" t="n"/>
      <c r="G564" s="19" t="n"/>
      <c r="H564" s="20">
        <f>IF($G564="",1,IF($G564=0,1,IF($G564=1,3,IF($G564=2,7,IF($G564=3,14,IF($G564=4,30,60))))))</f>
        <v/>
      </c>
      <c r="I564" s="21">
        <f>IF($F564="","",$F564+$H564)</f>
        <v/>
      </c>
      <c r="J564">
        <f>IF($F564="","⚪ NEW",IF($G564&gt;=5,"✅ DONE",IF($I564&lt;TODAY(),"🔴 OVERDUE",IF($I564=TODAY(),"🟢 TODAY",IF($I564=TODAY()+1,"🔵 TOMORROW",IF($I564&lt;=TODAY()+7,"📅 THIS WEEK","⏳ SCHEDULED"))))))</f>
        <v/>
      </c>
      <c r="K564" s="20">
        <f>IF($F564="",999,IF($G564&gt;=5,9999,IF($I564="",999,$I564-TODAY())))</f>
        <v/>
      </c>
    </row>
    <row r="565">
      <c r="A565" s="24">
        <f>ROW()-2</f>
        <v/>
      </c>
      <c r="B565" s="25" t="inlineStr">
        <is>
          <t>S5</t>
        </is>
      </c>
      <c r="C565" s="25" t="inlineStr">
        <is>
          <t>Parasitologie - Mycologie - Maladies infectieuses</t>
        </is>
      </c>
      <c r="D565" s="25" t="inlineStr">
        <is>
          <t>Maladies infectieuses</t>
        </is>
      </c>
      <c r="E565" s="25" t="inlineStr">
        <is>
          <t>Les infections à staphylocoques</t>
        </is>
      </c>
      <c r="F565" s="18" t="n"/>
      <c r="G565" s="19" t="n"/>
      <c r="H565" s="20">
        <f>IF($G565="",1,IF($G565=0,1,IF($G565=1,3,IF($G565=2,7,IF($G565=3,14,IF($G565=4,30,60))))))</f>
        <v/>
      </c>
      <c r="I565" s="21">
        <f>IF($F565="","",$F565+$H565)</f>
        <v/>
      </c>
      <c r="J565">
        <f>IF($F565="","⚪ NEW",IF($G565&gt;=5,"✅ DONE",IF($I565&lt;TODAY(),"🔴 OVERDUE",IF($I565=TODAY(),"🟢 TODAY",IF($I565=TODAY()+1,"🔵 TOMORROW",IF($I565&lt;=TODAY()+7,"📅 THIS WEEK","⏳ SCHEDULED"))))))</f>
        <v/>
      </c>
      <c r="K565" s="20">
        <f>IF($F565="",999,IF($G565&gt;=5,9999,IF($I565="",999,$I565-TODAY())))</f>
        <v/>
      </c>
    </row>
    <row r="566">
      <c r="A566" s="24">
        <f>ROW()-2</f>
        <v/>
      </c>
      <c r="B566" s="25" t="inlineStr">
        <is>
          <t>S5</t>
        </is>
      </c>
      <c r="C566" s="25" t="inlineStr">
        <is>
          <t>Parasitologie - Mycologie - Maladies infectieuses</t>
        </is>
      </c>
      <c r="D566" s="25" t="inlineStr">
        <is>
          <t>Maladies infectieuses</t>
        </is>
      </c>
      <c r="E566" s="25" t="inlineStr">
        <is>
          <t>Les infections à streptocoques</t>
        </is>
      </c>
      <c r="F566" s="18" t="n"/>
      <c r="G566" s="19" t="n"/>
      <c r="H566" s="20">
        <f>IF($G566="",1,IF($G566=0,1,IF($G566=1,3,IF($G566=2,7,IF($G566=3,14,IF($G566=4,30,60))))))</f>
        <v/>
      </c>
      <c r="I566" s="21">
        <f>IF($F566="","",$F566+$H566)</f>
        <v/>
      </c>
      <c r="J566">
        <f>IF($F566="","⚪ NEW",IF($G566&gt;=5,"✅ DONE",IF($I566&lt;TODAY(),"🔴 OVERDUE",IF($I566=TODAY(),"🟢 TODAY",IF($I566=TODAY()+1,"🔵 TOMORROW",IF($I566&lt;=TODAY()+7,"📅 THIS WEEK","⏳ SCHEDULED"))))))</f>
        <v/>
      </c>
      <c r="K566" s="20">
        <f>IF($F566="",999,IF($G566&gt;=5,9999,IF($I566="",999,$I566-TODAY())))</f>
        <v/>
      </c>
    </row>
    <row r="567">
      <c r="A567" s="24">
        <f>ROW()-2</f>
        <v/>
      </c>
      <c r="B567" s="25" t="inlineStr">
        <is>
          <t>S5</t>
        </is>
      </c>
      <c r="C567" s="25" t="inlineStr">
        <is>
          <t>Parasitologie - Mycologie - Maladies infectieuses</t>
        </is>
      </c>
      <c r="D567" s="25" t="inlineStr">
        <is>
          <t>Maladies infectieuses</t>
        </is>
      </c>
      <c r="E567" s="25" t="inlineStr">
        <is>
          <t>Le choléra</t>
        </is>
      </c>
      <c r="F567" s="18" t="n"/>
      <c r="G567" s="19" t="n"/>
      <c r="H567" s="20">
        <f>IF($G567="",1,IF($G567=0,1,IF($G567=1,3,IF($G567=2,7,IF($G567=3,14,IF($G567=4,30,60))))))</f>
        <v/>
      </c>
      <c r="I567" s="21">
        <f>IF($F567="","",$F567+$H567)</f>
        <v/>
      </c>
      <c r="J567">
        <f>IF($F567="","⚪ NEW",IF($G567&gt;=5,"✅ DONE",IF($I567&lt;TODAY(),"🔴 OVERDUE",IF($I567=TODAY(),"🟢 TODAY",IF($I567=TODAY()+1,"🔵 TOMORROW",IF($I567&lt;=TODAY()+7,"📅 THIS WEEK","⏳ SCHEDULED"))))))</f>
        <v/>
      </c>
      <c r="K567" s="20">
        <f>IF($F567="",999,IF($G567&gt;=5,9999,IF($I567="",999,$I567-TODAY())))</f>
        <v/>
      </c>
    </row>
    <row r="568">
      <c r="A568" s="24">
        <f>ROW()-2</f>
        <v/>
      </c>
      <c r="B568" s="25" t="inlineStr">
        <is>
          <t>S5</t>
        </is>
      </c>
      <c r="C568" s="25" t="inlineStr">
        <is>
          <t>Parasitologie - Mycologie - Maladies infectieuses</t>
        </is>
      </c>
      <c r="D568" s="25" t="inlineStr">
        <is>
          <t>Maladies infectieuses</t>
        </is>
      </c>
      <c r="E568" s="25" t="inlineStr">
        <is>
          <t>COVID-19</t>
        </is>
      </c>
      <c r="F568" s="18" t="n"/>
      <c r="G568" s="19" t="n"/>
      <c r="H568" s="20">
        <f>IF($G568="",1,IF($G568=0,1,IF($G568=1,3,IF($G568=2,7,IF($G568=3,14,IF($G568=4,30,60))))))</f>
        <v/>
      </c>
      <c r="I568" s="21">
        <f>IF($F568="","",$F568+$H568)</f>
        <v/>
      </c>
      <c r="J568">
        <f>IF($F568="","⚪ NEW",IF($G568&gt;=5,"✅ DONE",IF($I568&lt;TODAY(),"🔴 OVERDUE",IF($I568=TODAY(),"🟢 TODAY",IF($I568=TODAY()+1,"🔵 TOMORROW",IF($I568&lt;=TODAY()+7,"📅 THIS WEEK","⏳ SCHEDULED"))))))</f>
        <v/>
      </c>
      <c r="K568" s="20">
        <f>IF($F568="",999,IF($G568&gt;=5,9999,IF($I568="",999,$I568-TODAY())))</f>
        <v/>
      </c>
    </row>
    <row r="569">
      <c r="A569" s="24">
        <f>ROW()-2</f>
        <v/>
      </c>
      <c r="B569" s="25" t="inlineStr">
        <is>
          <t>S5</t>
        </is>
      </c>
      <c r="C569" s="25" t="inlineStr">
        <is>
          <t>Parasitologie - Mycologie - Maladies infectieuses</t>
        </is>
      </c>
      <c r="D569" s="25" t="inlineStr">
        <is>
          <t>Maladies infectieuses</t>
        </is>
      </c>
      <c r="E569" s="25" t="inlineStr">
        <is>
          <t>Les fièvres persistantes</t>
        </is>
      </c>
      <c r="F569" s="18" t="n"/>
      <c r="G569" s="19" t="n"/>
      <c r="H569" s="20">
        <f>IF($G569="",1,IF($G569=0,1,IF($G569=1,3,IF($G569=2,7,IF($G569=3,14,IF($G569=4,30,60))))))</f>
        <v/>
      </c>
      <c r="I569" s="21">
        <f>IF($F569="","",$F569+$H569)</f>
        <v/>
      </c>
      <c r="J569">
        <f>IF($F569="","⚪ NEW",IF($G569&gt;=5,"✅ DONE",IF($I569&lt;TODAY(),"🔴 OVERDUE",IF($I569=TODAY(),"🟢 TODAY",IF($I569=TODAY()+1,"🔵 TOMORROW",IF($I569&lt;=TODAY()+7,"📅 THIS WEEK","⏳ SCHEDULED"))))))</f>
        <v/>
      </c>
      <c r="K569" s="20">
        <f>IF($F569="",999,IF($G569&gt;=5,9999,IF($I569="",999,$I569-TODAY())))</f>
        <v/>
      </c>
    </row>
    <row r="570">
      <c r="A570" s="24">
        <f>ROW()-2</f>
        <v/>
      </c>
      <c r="B570" s="25" t="inlineStr">
        <is>
          <t>S5</t>
        </is>
      </c>
      <c r="C570" s="25" t="inlineStr">
        <is>
          <t>Parasitologie - Mycologie - Maladies infectieuses</t>
        </is>
      </c>
      <c r="D570" s="25" t="inlineStr">
        <is>
          <t>Maladies infectieuses</t>
        </is>
      </c>
      <c r="E570" s="25" t="inlineStr">
        <is>
          <t>Leptospiroses</t>
        </is>
      </c>
      <c r="F570" s="18" t="n"/>
      <c r="G570" s="19" t="n"/>
      <c r="H570" s="20">
        <f>IF($G570="",1,IF($G570=0,1,IF($G570=1,3,IF($G570=2,7,IF($G570=3,14,IF($G570=4,30,60))))))</f>
        <v/>
      </c>
      <c r="I570" s="21">
        <f>IF($F570="","",$F570+$H570)</f>
        <v/>
      </c>
      <c r="J570">
        <f>IF($F570="","⚪ NEW",IF($G570&gt;=5,"✅ DONE",IF($I570&lt;TODAY(),"🔴 OVERDUE",IF($I570=TODAY(),"🟢 TODAY",IF($I570=TODAY()+1,"🔵 TOMORROW",IF($I570&lt;=TODAY()+7,"📅 THIS WEEK","⏳ SCHEDULED"))))))</f>
        <v/>
      </c>
      <c r="K570" s="20">
        <f>IF($F570="",999,IF($G570&gt;=5,9999,IF($I570="",999,$I570-TODAY())))</f>
        <v/>
      </c>
    </row>
    <row r="571">
      <c r="A571" s="24">
        <f>ROW()-2</f>
        <v/>
      </c>
      <c r="B571" s="25" t="inlineStr">
        <is>
          <t>S5</t>
        </is>
      </c>
      <c r="C571" s="25" t="inlineStr">
        <is>
          <t>Parasitologie - Mycologie - Maladies infectieuses</t>
        </is>
      </c>
      <c r="D571" s="25" t="inlineStr">
        <is>
          <t>Maladies infectieuses</t>
        </is>
      </c>
      <c r="E571" s="25" t="inlineStr">
        <is>
          <t>Toxi-infections alimentaires collectives (TIAC)</t>
        </is>
      </c>
      <c r="F571" s="18" t="n"/>
      <c r="G571" s="19" t="n"/>
      <c r="H571" s="20">
        <f>IF($G571="",1,IF($G571=0,1,IF($G571=1,3,IF($G571=2,7,IF($G571=3,14,IF($G571=4,30,60))))))</f>
        <v/>
      </c>
      <c r="I571" s="21">
        <f>IF($F571="","",$F571+$H571)</f>
        <v/>
      </c>
      <c r="J571">
        <f>IF($F571="","⚪ NEW",IF($G571&gt;=5,"✅ DONE",IF($I571&lt;TODAY(),"🔴 OVERDUE",IF($I571=TODAY(),"🟢 TODAY",IF($I571=TODAY()+1,"🔵 TOMORROW",IF($I571&lt;=TODAY()+7,"📅 THIS WEEK","⏳ SCHEDULED"))))))</f>
        <v/>
      </c>
      <c r="K571" s="20">
        <f>IF($F571="",999,IF($G571&gt;=5,9999,IF($I571="",999,$I571-TODAY())))</f>
        <v/>
      </c>
    </row>
    <row r="572">
      <c r="A572" s="24">
        <f>ROW()-2</f>
        <v/>
      </c>
      <c r="B572" s="25" t="inlineStr">
        <is>
          <t>S5</t>
        </is>
      </c>
      <c r="C572" s="25" t="inlineStr">
        <is>
          <t>Parasitologie - Mycologie - Maladies infectieuses</t>
        </is>
      </c>
      <c r="D572" s="25" t="inlineStr">
        <is>
          <t>Maladies infectieuses</t>
        </is>
      </c>
      <c r="E572" s="25" t="inlineStr">
        <is>
          <t>Borrélioses</t>
        </is>
      </c>
      <c r="F572" s="18" t="n"/>
      <c r="G572" s="19" t="n"/>
      <c r="H572" s="20">
        <f>IF($G572="",1,IF($G572=0,1,IF($G572=1,3,IF($G572=2,7,IF($G572=3,14,IF($G572=4,30,60))))))</f>
        <v/>
      </c>
      <c r="I572" s="21">
        <f>IF($F572="","",$F572+$H572)</f>
        <v/>
      </c>
      <c r="J572">
        <f>IF($F572="","⚪ NEW",IF($G572&gt;=5,"✅ DONE",IF($I572&lt;TODAY(),"🔴 OVERDUE",IF($I572=TODAY(),"🟢 TODAY",IF($I572=TODAY()+1,"🔵 TOMORROW",IF($I572&lt;=TODAY()+7,"📅 THIS WEEK","⏳ SCHEDULED"))))))</f>
        <v/>
      </c>
      <c r="K572" s="20">
        <f>IF($F572="",999,IF($G572&gt;=5,9999,IF($I572="",999,$I572-TODAY())))</f>
        <v/>
      </c>
    </row>
    <row r="573">
      <c r="A573" s="24">
        <f>ROW()-2</f>
        <v/>
      </c>
      <c r="B573" s="25" t="inlineStr">
        <is>
          <t>S5</t>
        </is>
      </c>
      <c r="C573" s="25" t="inlineStr">
        <is>
          <t>Parasitologie - Mycologie - Maladies infectieuses</t>
        </is>
      </c>
      <c r="D573" s="25" t="inlineStr">
        <is>
          <t>Maladies infectieuses</t>
        </is>
      </c>
      <c r="E573" s="25" t="inlineStr">
        <is>
          <t>Bilharziose uro-génitale</t>
        </is>
      </c>
      <c r="F573" s="18" t="n"/>
      <c r="G573" s="19" t="n"/>
      <c r="H573" s="20">
        <f>IF($G573="",1,IF($G573=0,1,IF($G573=1,3,IF($G573=2,7,IF($G573=3,14,IF($G573=4,30,60))))))</f>
        <v/>
      </c>
      <c r="I573" s="21">
        <f>IF($F573="","",$F573+$H573)</f>
        <v/>
      </c>
      <c r="J573">
        <f>IF($F573="","⚪ NEW",IF($G573&gt;=5,"✅ DONE",IF($I573&lt;TODAY(),"🔴 OVERDUE",IF($I573=TODAY(),"🟢 TODAY",IF($I573=TODAY()+1,"🔵 TOMORROW",IF($I573&lt;=TODAY()+7,"📅 THIS WEEK","⏳ SCHEDULED"))))))</f>
        <v/>
      </c>
      <c r="K573" s="20">
        <f>IF($F573="",999,IF($G573&gt;=5,9999,IF($I573="",999,$I573-TODAY())))</f>
        <v/>
      </c>
    </row>
    <row r="574">
      <c r="A574" s="26">
        <f>ROW()-2</f>
        <v/>
      </c>
      <c r="B574" s="27" t="inlineStr">
        <is>
          <t>S5</t>
        </is>
      </c>
      <c r="C574" s="27" t="inlineStr">
        <is>
          <t>Pharmacologie</t>
        </is>
      </c>
      <c r="D574" s="27" t="inlineStr">
        <is>
          <t>Pharmacologie générale</t>
        </is>
      </c>
      <c r="E574" s="27" t="inlineStr">
        <is>
          <t>Introduction à la pharmacologie</t>
        </is>
      </c>
      <c r="F574" s="18" t="n"/>
      <c r="G574" s="19" t="n"/>
      <c r="H574" s="20">
        <f>IF($G574="",1,IF($G574=0,1,IF($G574=1,3,IF($G574=2,7,IF($G574=3,14,IF($G574=4,30,60))))))</f>
        <v/>
      </c>
      <c r="I574" s="21">
        <f>IF($F574="","",$F574+$H574)</f>
        <v/>
      </c>
      <c r="J574">
        <f>IF($F574="","⚪ NEW",IF($G574&gt;=5,"✅ DONE",IF($I574&lt;TODAY(),"🔴 OVERDUE",IF($I574=TODAY(),"🟢 TODAY",IF($I574=TODAY()+1,"🔵 TOMORROW",IF($I574&lt;=TODAY()+7,"📅 THIS WEEK","⏳ SCHEDULED"))))))</f>
        <v/>
      </c>
      <c r="K574" s="20">
        <f>IF($F574="",999,IF($G574&gt;=5,9999,IF($I574="",999,$I574-TODAY())))</f>
        <v/>
      </c>
    </row>
    <row r="575">
      <c r="A575" s="26">
        <f>ROW()-2</f>
        <v/>
      </c>
      <c r="B575" s="27" t="inlineStr">
        <is>
          <t>S5</t>
        </is>
      </c>
      <c r="C575" s="27" t="inlineStr">
        <is>
          <t>Pharmacologie</t>
        </is>
      </c>
      <c r="D575" s="27" t="inlineStr">
        <is>
          <t>Pharmacologie générale</t>
        </is>
      </c>
      <c r="E575" s="27" t="inlineStr">
        <is>
          <t>La vie du médicament</t>
        </is>
      </c>
      <c r="F575" s="18" t="n"/>
      <c r="G575" s="19" t="n"/>
      <c r="H575" s="20">
        <f>IF($G575="",1,IF($G575=0,1,IF($G575=1,3,IF($G575=2,7,IF($G575=3,14,IF($G575=4,30,60))))))</f>
        <v/>
      </c>
      <c r="I575" s="21">
        <f>IF($F575="","",$F575+$H575)</f>
        <v/>
      </c>
      <c r="J575">
        <f>IF($F575="","⚪ NEW",IF($G575&gt;=5,"✅ DONE",IF($I575&lt;TODAY(),"🔴 OVERDUE",IF($I575=TODAY(),"🟢 TODAY",IF($I575=TODAY()+1,"🔵 TOMORROW",IF($I575&lt;=TODAY()+7,"📅 THIS WEEK","⏳ SCHEDULED"))))))</f>
        <v/>
      </c>
      <c r="K575" s="20">
        <f>IF($F575="",999,IF($G575&gt;=5,9999,IF($I575="",999,$I575-TODAY())))</f>
        <v/>
      </c>
    </row>
    <row r="576">
      <c r="A576" s="26">
        <f>ROW()-2</f>
        <v/>
      </c>
      <c r="B576" s="27" t="inlineStr">
        <is>
          <t>S5</t>
        </is>
      </c>
      <c r="C576" s="27" t="inlineStr">
        <is>
          <t>Pharmacologie</t>
        </is>
      </c>
      <c r="D576" s="27" t="inlineStr">
        <is>
          <t>Pharmacologie générale</t>
        </is>
      </c>
      <c r="E576" s="27" t="inlineStr">
        <is>
          <t>Pharmacocinétique</t>
        </is>
      </c>
      <c r="F576" s="18" t="n"/>
      <c r="G576" s="19" t="n"/>
      <c r="H576" s="20">
        <f>IF($G576="",1,IF($G576=0,1,IF($G576=1,3,IF($G576=2,7,IF($G576=3,14,IF($G576=4,30,60))))))</f>
        <v/>
      </c>
      <c r="I576" s="21">
        <f>IF($F576="","",$F576+$H576)</f>
        <v/>
      </c>
      <c r="J576">
        <f>IF($F576="","⚪ NEW",IF($G576&gt;=5,"✅ DONE",IF($I576&lt;TODAY(),"🔴 OVERDUE",IF($I576=TODAY(),"🟢 TODAY",IF($I576=TODAY()+1,"🔵 TOMORROW",IF($I576&lt;=TODAY()+7,"📅 THIS WEEK","⏳ SCHEDULED"))))))</f>
        <v/>
      </c>
      <c r="K576" s="20">
        <f>IF($F576="",999,IF($G576&gt;=5,9999,IF($I576="",999,$I576-TODAY())))</f>
        <v/>
      </c>
    </row>
    <row r="577">
      <c r="A577" s="26">
        <f>ROW()-2</f>
        <v/>
      </c>
      <c r="B577" s="27" t="inlineStr">
        <is>
          <t>S5</t>
        </is>
      </c>
      <c r="C577" s="27" t="inlineStr">
        <is>
          <t>Pharmacologie</t>
        </is>
      </c>
      <c r="D577" s="27" t="inlineStr">
        <is>
          <t>Pharmacologie générale</t>
        </is>
      </c>
      <c r="E577" s="27" t="inlineStr">
        <is>
          <t>Effets indésirables des médicaments et pharmacovigilance</t>
        </is>
      </c>
      <c r="F577" s="18" t="n"/>
      <c r="G577" s="19" t="n"/>
      <c r="H577" s="20">
        <f>IF($G577="",1,IF($G577=0,1,IF($G577=1,3,IF($G577=2,7,IF($G577=3,14,IF($G577=4,30,60))))))</f>
        <v/>
      </c>
      <c r="I577" s="21">
        <f>IF($F577="","",$F577+$H577)</f>
        <v/>
      </c>
      <c r="J577">
        <f>IF($F577="","⚪ NEW",IF($G577&gt;=5,"✅ DONE",IF($I577&lt;TODAY(),"🔴 OVERDUE",IF($I577=TODAY(),"🟢 TODAY",IF($I577=TODAY()+1,"🔵 TOMORROW",IF($I577&lt;=TODAY()+7,"📅 THIS WEEK","⏳ SCHEDULED"))))))</f>
        <v/>
      </c>
      <c r="K577" s="20">
        <f>IF($F577="",999,IF($G577&gt;=5,9999,IF($I577="",999,$I577-TODAY())))</f>
        <v/>
      </c>
    </row>
    <row r="578">
      <c r="A578" s="26">
        <f>ROW()-2</f>
        <v/>
      </c>
      <c r="B578" s="27" t="inlineStr">
        <is>
          <t>S5</t>
        </is>
      </c>
      <c r="C578" s="27" t="inlineStr">
        <is>
          <t>Pharmacologie</t>
        </is>
      </c>
      <c r="D578" s="27" t="inlineStr">
        <is>
          <t>Pharmacologie générale</t>
        </is>
      </c>
      <c r="E578" s="27" t="inlineStr">
        <is>
          <t>Les interactions médicamenteuses</t>
        </is>
      </c>
      <c r="F578" s="18" t="n"/>
      <c r="G578" s="19" t="n"/>
      <c r="H578" s="20">
        <f>IF($G578="",1,IF($G578=0,1,IF($G578=1,3,IF($G578=2,7,IF($G578=3,14,IF($G578=4,30,60))))))</f>
        <v/>
      </c>
      <c r="I578" s="21">
        <f>IF($F578="","",$F578+$H578)</f>
        <v/>
      </c>
      <c r="J578">
        <f>IF($F578="","⚪ NEW",IF($G578&gt;=5,"✅ DONE",IF($I578&lt;TODAY(),"🔴 OVERDUE",IF($I578=TODAY(),"🟢 TODAY",IF($I578=TODAY()+1,"🔵 TOMORROW",IF($I578&lt;=TODAY()+7,"📅 THIS WEEK","⏳ SCHEDULED"))))))</f>
        <v/>
      </c>
      <c r="K578" s="20">
        <f>IF($F578="",999,IF($G578&gt;=5,9999,IF($I578="",999,$I578-TODAY())))</f>
        <v/>
      </c>
    </row>
    <row r="579">
      <c r="A579" s="26">
        <f>ROW()-2</f>
        <v/>
      </c>
      <c r="B579" s="27" t="inlineStr">
        <is>
          <t>S5</t>
        </is>
      </c>
      <c r="C579" s="27" t="inlineStr">
        <is>
          <t>Pharmacologie</t>
        </is>
      </c>
      <c r="D579" s="27" t="inlineStr">
        <is>
          <t>Pharmacologie générale</t>
        </is>
      </c>
      <c r="E579" s="27" t="inlineStr">
        <is>
          <t>Les essais cliniques</t>
        </is>
      </c>
      <c r="F579" s="18" t="n"/>
      <c r="G579" s="19" t="n"/>
      <c r="H579" s="20">
        <f>IF($G579="",1,IF($G579=0,1,IF($G579=1,3,IF($G579=2,7,IF($G579=3,14,IF($G579=4,30,60))))))</f>
        <v/>
      </c>
      <c r="I579" s="21">
        <f>IF($F579="","",$F579+$H579)</f>
        <v/>
      </c>
      <c r="J579">
        <f>IF($F579="","⚪ NEW",IF($G579&gt;=5,"✅ DONE",IF($I579&lt;TODAY(),"🔴 OVERDUE",IF($I579=TODAY(),"🟢 TODAY",IF($I579=TODAY()+1,"🔵 TOMORROW",IF($I579&lt;=TODAY()+7,"📅 THIS WEEK","⏳ SCHEDULED"))))))</f>
        <v/>
      </c>
      <c r="K579" s="20">
        <f>IF($F579="",999,IF($G579&gt;=5,9999,IF($I579="",999,$I579-TODAY())))</f>
        <v/>
      </c>
    </row>
    <row r="580">
      <c r="A580" s="26">
        <f>ROW()-2</f>
        <v/>
      </c>
      <c r="B580" s="27" t="inlineStr">
        <is>
          <t>S5</t>
        </is>
      </c>
      <c r="C580" s="27" t="inlineStr">
        <is>
          <t>Pharmacologie</t>
        </is>
      </c>
      <c r="D580" s="27" t="inlineStr">
        <is>
          <t>Pharmacologie générale</t>
        </is>
      </c>
      <c r="E580" s="27" t="inlineStr">
        <is>
          <t>Les règles générales de la prescription médicamenteuse</t>
        </is>
      </c>
      <c r="F580" s="18" t="n"/>
      <c r="G580" s="19" t="n"/>
      <c r="H580" s="20">
        <f>IF($G580="",1,IF($G580=0,1,IF($G580=1,3,IF($G580=2,7,IF($G580=3,14,IF($G580=4,30,60))))))</f>
        <v/>
      </c>
      <c r="I580" s="21">
        <f>IF($F580="","",$F580+$H580)</f>
        <v/>
      </c>
      <c r="J580">
        <f>IF($F580="","⚪ NEW",IF($G580&gt;=5,"✅ DONE",IF($I580&lt;TODAY(),"🔴 OVERDUE",IF($I580=TODAY(),"🟢 TODAY",IF($I580=TODAY()+1,"🔵 TOMORROW",IF($I580&lt;=TODAY()+7,"📅 THIS WEEK","⏳ SCHEDULED"))))))</f>
        <v/>
      </c>
      <c r="K580" s="20">
        <f>IF($F580="",999,IF($G580&gt;=5,9999,IF($I580="",999,$I580-TODAY())))</f>
        <v/>
      </c>
    </row>
    <row r="581">
      <c r="A581" s="26">
        <f>ROW()-2</f>
        <v/>
      </c>
      <c r="B581" s="27" t="inlineStr">
        <is>
          <t>S5</t>
        </is>
      </c>
      <c r="C581" s="27" t="inlineStr">
        <is>
          <t>Pharmacologie</t>
        </is>
      </c>
      <c r="D581" s="27" t="inlineStr">
        <is>
          <t>Pharmacologie générale</t>
        </is>
      </c>
      <c r="E581" s="27" t="inlineStr">
        <is>
          <t>Le suivi thérapeutique pharmacologique</t>
        </is>
      </c>
      <c r="F581" s="18" t="n"/>
      <c r="G581" s="19" t="n"/>
      <c r="H581" s="20">
        <f>IF($G581="",1,IF($G581=0,1,IF($G581=1,3,IF($G581=2,7,IF($G581=3,14,IF($G581=4,30,60))))))</f>
        <v/>
      </c>
      <c r="I581" s="21">
        <f>IF($F581="","",$F581+$H581)</f>
        <v/>
      </c>
      <c r="J581">
        <f>IF($F581="","⚪ NEW",IF($G581&gt;=5,"✅ DONE",IF($I581&lt;TODAY(),"🔴 OVERDUE",IF($I581=TODAY(),"🟢 TODAY",IF($I581=TODAY()+1,"🔵 TOMORROW",IF($I581&lt;=TODAY()+7,"📅 THIS WEEK","⏳ SCHEDULED"))))))</f>
        <v/>
      </c>
      <c r="K581" s="20">
        <f>IF($F581="",999,IF($G581&gt;=5,9999,IF($I581="",999,$I581-TODAY())))</f>
        <v/>
      </c>
    </row>
    <row r="582">
      <c r="A582" s="26">
        <f>ROW()-2</f>
        <v/>
      </c>
      <c r="B582" s="27" t="inlineStr">
        <is>
          <t>S5</t>
        </is>
      </c>
      <c r="C582" s="27" t="inlineStr">
        <is>
          <t>Pharmacologie</t>
        </is>
      </c>
      <c r="D582" s="27" t="inlineStr">
        <is>
          <t>Pharmacologie générale</t>
        </is>
      </c>
      <c r="E582" s="27" t="inlineStr">
        <is>
          <t>La prescription chez la femme enceinte et allaitante</t>
        </is>
      </c>
      <c r="F582" s="18" t="n"/>
      <c r="G582" s="19" t="n"/>
      <c r="H582" s="20">
        <f>IF($G582="",1,IF($G582=0,1,IF($G582=1,3,IF($G582=2,7,IF($G582=3,14,IF($G582=4,30,60))))))</f>
        <v/>
      </c>
      <c r="I582" s="21">
        <f>IF($F582="","",$F582+$H582)</f>
        <v/>
      </c>
      <c r="J582">
        <f>IF($F582="","⚪ NEW",IF($G582&gt;=5,"✅ DONE",IF($I582&lt;TODAY(),"🔴 OVERDUE",IF($I582=TODAY(),"🟢 TODAY",IF($I582=TODAY()+1,"🔵 TOMORROW",IF($I582&lt;=TODAY()+7,"📅 THIS WEEK","⏳ SCHEDULED"))))))</f>
        <v/>
      </c>
      <c r="K582" s="20">
        <f>IF($F582="",999,IF($G582&gt;=5,9999,IF($I582="",999,$I582-TODAY())))</f>
        <v/>
      </c>
    </row>
    <row r="583">
      <c r="A583" s="26">
        <f>ROW()-2</f>
        <v/>
      </c>
      <c r="B583" s="27" t="inlineStr">
        <is>
          <t>S5</t>
        </is>
      </c>
      <c r="C583" s="27" t="inlineStr">
        <is>
          <t>Pharmacologie</t>
        </is>
      </c>
      <c r="D583" s="27" t="inlineStr">
        <is>
          <t>Pharmacologie générale</t>
        </is>
      </c>
      <c r="E583" s="27" t="inlineStr">
        <is>
          <t>La prescription médicamenteuse chez l'enfant et le sujet âgé</t>
        </is>
      </c>
      <c r="F583" s="18" t="n"/>
      <c r="G583" s="19" t="n"/>
      <c r="H583" s="20">
        <f>IF($G583="",1,IF($G583=0,1,IF($G583=1,3,IF($G583=2,7,IF($G583=3,14,IF($G583=4,30,60))))))</f>
        <v/>
      </c>
      <c r="I583" s="21">
        <f>IF($F583="","",$F583+$H583)</f>
        <v/>
      </c>
      <c r="J583">
        <f>IF($F583="","⚪ NEW",IF($G583&gt;=5,"✅ DONE",IF($I583&lt;TODAY(),"🔴 OVERDUE",IF($I583=TODAY(),"🟢 TODAY",IF($I583=TODAY()+1,"🔵 TOMORROW",IF($I583&lt;=TODAY()+7,"📅 THIS WEEK","⏳ SCHEDULED"))))))</f>
        <v/>
      </c>
      <c r="K583" s="20">
        <f>IF($F583="",999,IF($G583&gt;=5,9999,IF($I583="",999,$I583-TODAY())))</f>
        <v/>
      </c>
    </row>
    <row r="584">
      <c r="A584" s="26">
        <f>ROW()-2</f>
        <v/>
      </c>
      <c r="B584" s="27" t="inlineStr">
        <is>
          <t>S5</t>
        </is>
      </c>
      <c r="C584" s="27" t="inlineStr">
        <is>
          <t>Pharmacologie</t>
        </is>
      </c>
      <c r="D584" s="27" t="inlineStr">
        <is>
          <t>Pharmacologie générale</t>
        </is>
      </c>
      <c r="E584" s="27" t="inlineStr">
        <is>
          <t>Médicament et pathologie du foie</t>
        </is>
      </c>
      <c r="F584" s="18" t="n"/>
      <c r="G584" s="19" t="n"/>
      <c r="H584" s="20">
        <f>IF($G584="",1,IF($G584=0,1,IF($G584=1,3,IF($G584=2,7,IF($G584=3,14,IF($G584=4,30,60))))))</f>
        <v/>
      </c>
      <c r="I584" s="21">
        <f>IF($F584="","",$F584+$H584)</f>
        <v/>
      </c>
      <c r="J584">
        <f>IF($F584="","⚪ NEW",IF($G584&gt;=5,"✅ DONE",IF($I584&lt;TODAY(),"🔴 OVERDUE",IF($I584=TODAY(),"🟢 TODAY",IF($I584=TODAY()+1,"🔵 TOMORROW",IF($I584&lt;=TODAY()+7,"📅 THIS WEEK","⏳ SCHEDULED"))))))</f>
        <v/>
      </c>
      <c r="K584" s="20">
        <f>IF($F584="",999,IF($G584&gt;=5,9999,IF($I584="",999,$I584-TODAY())))</f>
        <v/>
      </c>
    </row>
    <row r="585">
      <c r="A585" s="26">
        <f>ROW()-2</f>
        <v/>
      </c>
      <c r="B585" s="27" t="inlineStr">
        <is>
          <t>S5</t>
        </is>
      </c>
      <c r="C585" s="27" t="inlineStr">
        <is>
          <t>Pharmacologie</t>
        </is>
      </c>
      <c r="D585" s="27" t="inlineStr">
        <is>
          <t>Pharmacologie spécifique</t>
        </is>
      </c>
      <c r="E585" s="27" t="inlineStr">
        <is>
          <t>Antiépileptiques</t>
        </is>
      </c>
      <c r="F585" s="18" t="n"/>
      <c r="G585" s="19" t="n"/>
      <c r="H585" s="20">
        <f>IF($G585="",1,IF($G585=0,1,IF($G585=1,3,IF($G585=2,7,IF($G585=3,14,IF($G585=4,30,60))))))</f>
        <v/>
      </c>
      <c r="I585" s="21">
        <f>IF($F585="","",$F585+$H585)</f>
        <v/>
      </c>
      <c r="J585">
        <f>IF($F585="","⚪ NEW",IF($G585&gt;=5,"✅ DONE",IF($I585&lt;TODAY(),"🔴 OVERDUE",IF($I585=TODAY(),"🟢 TODAY",IF($I585=TODAY()+1,"🔵 TOMORROW",IF($I585&lt;=TODAY()+7,"📅 THIS WEEK","⏳ SCHEDULED"))))))</f>
        <v/>
      </c>
      <c r="K585" s="20">
        <f>IF($F585="",999,IF($G585&gt;=5,9999,IF($I585="",999,$I585-TODAY())))</f>
        <v/>
      </c>
    </row>
    <row r="586">
      <c r="A586" s="26">
        <f>ROW()-2</f>
        <v/>
      </c>
      <c r="B586" s="27" t="inlineStr">
        <is>
          <t>S5</t>
        </is>
      </c>
      <c r="C586" s="27" t="inlineStr">
        <is>
          <t>Pharmacologie</t>
        </is>
      </c>
      <c r="D586" s="27" t="inlineStr">
        <is>
          <t>Pharmacologie spécifique</t>
        </is>
      </c>
      <c r="E586" s="27" t="inlineStr">
        <is>
          <t>Antidépresseurs</t>
        </is>
      </c>
      <c r="F586" s="18" t="n"/>
      <c r="G586" s="19" t="n"/>
      <c r="H586" s="20">
        <f>IF($G586="",1,IF($G586=0,1,IF($G586=1,3,IF($G586=2,7,IF($G586=3,14,IF($G586=4,30,60))))))</f>
        <v/>
      </c>
      <c r="I586" s="21">
        <f>IF($F586="","",$F586+$H586)</f>
        <v/>
      </c>
      <c r="J586">
        <f>IF($F586="","⚪ NEW",IF($G586&gt;=5,"✅ DONE",IF($I586&lt;TODAY(),"🔴 OVERDUE",IF($I586=TODAY(),"🟢 TODAY",IF($I586=TODAY()+1,"🔵 TOMORROW",IF($I586&lt;=TODAY()+7,"📅 THIS WEEK","⏳ SCHEDULED"))))))</f>
        <v/>
      </c>
      <c r="K586" s="20">
        <f>IF($F586="",999,IF($G586&gt;=5,9999,IF($I586="",999,$I586-TODAY())))</f>
        <v/>
      </c>
    </row>
    <row r="587">
      <c r="A587" s="26">
        <f>ROW()-2</f>
        <v/>
      </c>
      <c r="B587" s="27" t="inlineStr">
        <is>
          <t>S5</t>
        </is>
      </c>
      <c r="C587" s="27" t="inlineStr">
        <is>
          <t>Pharmacologie</t>
        </is>
      </c>
      <c r="D587" s="27" t="inlineStr">
        <is>
          <t>Pharmacologie spécifique</t>
        </is>
      </c>
      <c r="E587" s="27" t="inlineStr">
        <is>
          <t>Anxiolytiques</t>
        </is>
      </c>
      <c r="F587" s="18" t="n"/>
      <c r="G587" s="19" t="n"/>
      <c r="H587" s="20">
        <f>IF($G587="",1,IF($G587=0,1,IF($G587=1,3,IF($G587=2,7,IF($G587=3,14,IF($G587=4,30,60))))))</f>
        <v/>
      </c>
      <c r="I587" s="21">
        <f>IF($F587="","",$F587+$H587)</f>
        <v/>
      </c>
      <c r="J587">
        <f>IF($F587="","⚪ NEW",IF($G587&gt;=5,"✅ DONE",IF($I587&lt;TODAY(),"🔴 OVERDUE",IF($I587=TODAY(),"🟢 TODAY",IF($I587=TODAY()+1,"🔵 TOMORROW",IF($I587&lt;=TODAY()+7,"📅 THIS WEEK","⏳ SCHEDULED"))))))</f>
        <v/>
      </c>
      <c r="K587" s="20">
        <f>IF($F587="",999,IF($G587&gt;=5,9999,IF($I587="",999,$I587-TODAY())))</f>
        <v/>
      </c>
    </row>
    <row r="588">
      <c r="A588" s="26">
        <f>ROW()-2</f>
        <v/>
      </c>
      <c r="B588" s="27" t="inlineStr">
        <is>
          <t>S5</t>
        </is>
      </c>
      <c r="C588" s="27" t="inlineStr">
        <is>
          <t>Pharmacologie</t>
        </is>
      </c>
      <c r="D588" s="27" t="inlineStr">
        <is>
          <t>Pharmacologie spécifique</t>
        </is>
      </c>
      <c r="E588" s="27" t="inlineStr">
        <is>
          <t>Anti-bacillaires</t>
        </is>
      </c>
      <c r="F588" s="18" t="n"/>
      <c r="G588" s="19" t="n"/>
      <c r="H588" s="20">
        <f>IF($G588="",1,IF($G588=0,1,IF($G588=1,3,IF($G588=2,7,IF($G588=3,14,IF($G588=4,30,60))))))</f>
        <v/>
      </c>
      <c r="I588" s="21">
        <f>IF($F588="","",$F588+$H588)</f>
        <v/>
      </c>
      <c r="J588">
        <f>IF($F588="","⚪ NEW",IF($G588&gt;=5,"✅ DONE",IF($I588&lt;TODAY(),"🔴 OVERDUE",IF($I588=TODAY(),"🟢 TODAY",IF($I588=TODAY()+1,"🔵 TOMORROW",IF($I588&lt;=TODAY()+7,"📅 THIS WEEK","⏳ SCHEDULED"))))))</f>
        <v/>
      </c>
      <c r="K588" s="20">
        <f>IF($F588="",999,IF($G588&gt;=5,9999,IF($I588="",999,$I588-TODAY())))</f>
        <v/>
      </c>
    </row>
    <row r="589">
      <c r="A589" s="26">
        <f>ROW()-2</f>
        <v/>
      </c>
      <c r="B589" s="27" t="inlineStr">
        <is>
          <t>S5</t>
        </is>
      </c>
      <c r="C589" s="27" t="inlineStr">
        <is>
          <t>Pharmacologie</t>
        </is>
      </c>
      <c r="D589" s="27" t="inlineStr">
        <is>
          <t>Pharmacologie spécifique</t>
        </is>
      </c>
      <c r="E589" s="27" t="inlineStr">
        <is>
          <t>Bronchodilatateurs</t>
        </is>
      </c>
      <c r="F589" s="18" t="n"/>
      <c r="G589" s="19" t="n"/>
      <c r="H589" s="20">
        <f>IF($G589="",1,IF($G589=0,1,IF($G589=1,3,IF($G589=2,7,IF($G589=3,14,IF($G589=4,30,60))))))</f>
        <v/>
      </c>
      <c r="I589" s="21">
        <f>IF($F589="","",$F589+$H589)</f>
        <v/>
      </c>
      <c r="J589">
        <f>IF($F589="","⚪ NEW",IF($G589&gt;=5,"✅ DONE",IF($I589&lt;TODAY(),"🔴 OVERDUE",IF($I589=TODAY(),"🟢 TODAY",IF($I589=TODAY()+1,"🔵 TOMORROW",IF($I589&lt;=TODAY()+7,"📅 THIS WEEK","⏳ SCHEDULED"))))))</f>
        <v/>
      </c>
      <c r="K589" s="20">
        <f>IF($F589="",999,IF($G589&gt;=5,9999,IF($I589="",999,$I589-TODAY())))</f>
        <v/>
      </c>
    </row>
    <row r="590">
      <c r="A590" s="26">
        <f>ROW()-2</f>
        <v/>
      </c>
      <c r="B590" s="27" t="inlineStr">
        <is>
          <t>S5</t>
        </is>
      </c>
      <c r="C590" s="27" t="inlineStr">
        <is>
          <t>Pharmacologie</t>
        </is>
      </c>
      <c r="D590" s="27" t="inlineStr">
        <is>
          <t>Pharmacologie spécifique</t>
        </is>
      </c>
      <c r="E590" s="27" t="inlineStr">
        <is>
          <t>Antitussifs</t>
        </is>
      </c>
      <c r="F590" s="18" t="n"/>
      <c r="G590" s="19" t="n"/>
      <c r="H590" s="20">
        <f>IF($G590="",1,IF($G590=0,1,IF($G590=1,3,IF($G590=2,7,IF($G590=3,14,IF($G590=4,30,60))))))</f>
        <v/>
      </c>
      <c r="I590" s="21">
        <f>IF($F590="","",$F590+$H590)</f>
        <v/>
      </c>
      <c r="J590">
        <f>IF($F590="","⚪ NEW",IF($G590&gt;=5,"✅ DONE",IF($I590&lt;TODAY(),"🔴 OVERDUE",IF($I590=TODAY(),"🟢 TODAY",IF($I590=TODAY()+1,"🔵 TOMORROW",IF($I590&lt;=TODAY()+7,"📅 THIS WEEK","⏳ SCHEDULED"))))))</f>
        <v/>
      </c>
      <c r="K590" s="20">
        <f>IF($F590="",999,IF($G590&gt;=5,9999,IF($I590="",999,$I590-TODAY())))</f>
        <v/>
      </c>
    </row>
    <row r="591">
      <c r="A591" s="26">
        <f>ROW()-2</f>
        <v/>
      </c>
      <c r="B591" s="27" t="inlineStr">
        <is>
          <t>S5</t>
        </is>
      </c>
      <c r="C591" s="27" t="inlineStr">
        <is>
          <t>Pharmacologie</t>
        </is>
      </c>
      <c r="D591" s="27" t="inlineStr">
        <is>
          <t>Pharmacologie spécifique</t>
        </is>
      </c>
      <c r="E591" s="27" t="inlineStr">
        <is>
          <t>Antithrombotiques 1</t>
        </is>
      </c>
      <c r="F591" s="18" t="n"/>
      <c r="G591" s="19" t="n"/>
      <c r="H591" s="20">
        <f>IF($G591="",1,IF($G591=0,1,IF($G591=1,3,IF($G591=2,7,IF($G591=3,14,IF($G591=4,30,60))))))</f>
        <v/>
      </c>
      <c r="I591" s="21">
        <f>IF($F591="","",$F591+$H591)</f>
        <v/>
      </c>
      <c r="J591">
        <f>IF($F591="","⚪ NEW",IF($G591&gt;=5,"✅ DONE",IF($I591&lt;TODAY(),"🔴 OVERDUE",IF($I591=TODAY(),"🟢 TODAY",IF($I591=TODAY()+1,"🔵 TOMORROW",IF($I591&lt;=TODAY()+7,"📅 THIS WEEK","⏳ SCHEDULED"))))))</f>
        <v/>
      </c>
      <c r="K591" s="20">
        <f>IF($F591="",999,IF($G591&gt;=5,9999,IF($I591="",999,$I591-TODAY())))</f>
        <v/>
      </c>
    </row>
    <row r="592">
      <c r="A592" s="26">
        <f>ROW()-2</f>
        <v/>
      </c>
      <c r="B592" s="27" t="inlineStr">
        <is>
          <t>S5</t>
        </is>
      </c>
      <c r="C592" s="27" t="inlineStr">
        <is>
          <t>Pharmacologie</t>
        </is>
      </c>
      <c r="D592" s="27" t="inlineStr">
        <is>
          <t>Pharmacologie spécifique</t>
        </is>
      </c>
      <c r="E592" s="27" t="inlineStr">
        <is>
          <t>Antithrombotiques 2</t>
        </is>
      </c>
      <c r="F592" s="18" t="n"/>
      <c r="G592" s="19" t="n"/>
      <c r="H592" s="20">
        <f>IF($G592="",1,IF($G592=0,1,IF($G592=1,3,IF($G592=2,7,IF($G592=3,14,IF($G592=4,30,60))))))</f>
        <v/>
      </c>
      <c r="I592" s="21">
        <f>IF($F592="","",$F592+$H592)</f>
        <v/>
      </c>
      <c r="J592">
        <f>IF($F592="","⚪ NEW",IF($G592&gt;=5,"✅ DONE",IF($I592&lt;TODAY(),"🔴 OVERDUE",IF($I592=TODAY(),"🟢 TODAY",IF($I592=TODAY()+1,"🔵 TOMORROW",IF($I592&lt;=TODAY()+7,"📅 THIS WEEK","⏳ SCHEDULED"))))))</f>
        <v/>
      </c>
      <c r="K592" s="20">
        <f>IF($F592="",999,IF($G592&gt;=5,9999,IF($I592="",999,$I592-TODAY())))</f>
        <v/>
      </c>
    </row>
    <row r="593">
      <c r="A593" s="26">
        <f>ROW()-2</f>
        <v/>
      </c>
      <c r="B593" s="27" t="inlineStr">
        <is>
          <t>S5</t>
        </is>
      </c>
      <c r="C593" s="27" t="inlineStr">
        <is>
          <t>Pharmacologie</t>
        </is>
      </c>
      <c r="D593" s="27" t="inlineStr">
        <is>
          <t>Pharmacologie spécifique</t>
        </is>
      </c>
      <c r="E593" s="27" t="inlineStr">
        <is>
          <t>Antithrombotiques 3</t>
        </is>
      </c>
      <c r="F593" s="18" t="n"/>
      <c r="G593" s="19" t="n"/>
      <c r="H593" s="20">
        <f>IF($G593="",1,IF($G593=0,1,IF($G593=1,3,IF($G593=2,7,IF($G593=3,14,IF($G593=4,30,60))))))</f>
        <v/>
      </c>
      <c r="I593" s="21">
        <f>IF($F593="","",$F593+$H593)</f>
        <v/>
      </c>
      <c r="J593">
        <f>IF($F593="","⚪ NEW",IF($G593&gt;=5,"✅ DONE",IF($I593&lt;TODAY(),"🔴 OVERDUE",IF($I593=TODAY(),"🟢 TODAY",IF($I593=TODAY()+1,"🔵 TOMORROW",IF($I593&lt;=TODAY()+7,"📅 THIS WEEK","⏳ SCHEDULED"))))))</f>
        <v/>
      </c>
      <c r="K593" s="20">
        <f>IF($F593="",999,IF($G593&gt;=5,9999,IF($I593="",999,$I593-TODAY())))</f>
        <v/>
      </c>
    </row>
    <row r="594">
      <c r="A594" s="26">
        <f>ROW()-2</f>
        <v/>
      </c>
      <c r="B594" s="27" t="inlineStr">
        <is>
          <t>S5</t>
        </is>
      </c>
      <c r="C594" s="27" t="inlineStr">
        <is>
          <t>Pharmacologie</t>
        </is>
      </c>
      <c r="D594" s="27" t="inlineStr">
        <is>
          <t>Pharmacologie spécifique</t>
        </is>
      </c>
      <c r="E594" s="27" t="inlineStr">
        <is>
          <t>Les inhibiteurs du SRAA</t>
        </is>
      </c>
      <c r="F594" s="18" t="n"/>
      <c r="G594" s="19" t="n"/>
      <c r="H594" s="20">
        <f>IF($G594="",1,IF($G594=0,1,IF($G594=1,3,IF($G594=2,7,IF($G594=3,14,IF($G594=4,30,60))))))</f>
        <v/>
      </c>
      <c r="I594" s="21">
        <f>IF($F594="","",$F594+$H594)</f>
        <v/>
      </c>
      <c r="J594">
        <f>IF($F594="","⚪ NEW",IF($G594&gt;=5,"✅ DONE",IF($I594&lt;TODAY(),"🔴 OVERDUE",IF($I594=TODAY(),"🟢 TODAY",IF($I594=TODAY()+1,"🔵 TOMORROW",IF($I594&lt;=TODAY()+7,"📅 THIS WEEK","⏳ SCHEDULED"))))))</f>
        <v/>
      </c>
      <c r="K594" s="20">
        <f>IF($F594="",999,IF($G594&gt;=5,9999,IF($I594="",999,$I594-TODAY())))</f>
        <v/>
      </c>
    </row>
    <row r="595">
      <c r="A595" s="26">
        <f>ROW()-2</f>
        <v/>
      </c>
      <c r="B595" s="27" t="inlineStr">
        <is>
          <t>S5</t>
        </is>
      </c>
      <c r="C595" s="27" t="inlineStr">
        <is>
          <t>Pharmacologie</t>
        </is>
      </c>
      <c r="D595" s="27" t="inlineStr">
        <is>
          <t>Pharmacologie spécifique</t>
        </is>
      </c>
      <c r="E595" s="27" t="inlineStr">
        <is>
          <t>Les hypolipémiants</t>
        </is>
      </c>
      <c r="F595" s="18" t="n"/>
      <c r="G595" s="19" t="n"/>
      <c r="H595" s="20">
        <f>IF($G595="",1,IF($G595=0,1,IF($G595=1,3,IF($G595=2,7,IF($G595=3,14,IF($G595=4,30,60))))))</f>
        <v/>
      </c>
      <c r="I595" s="21">
        <f>IF($F595="","",$F595+$H595)</f>
        <v/>
      </c>
      <c r="J595">
        <f>IF($F595="","⚪ NEW",IF($G595&gt;=5,"✅ DONE",IF($I595&lt;TODAY(),"🔴 OVERDUE",IF($I595=TODAY(),"🟢 TODAY",IF($I595=TODAY()+1,"🔵 TOMORROW",IF($I595&lt;=TODAY()+7,"📅 THIS WEEK","⏳ SCHEDULED"))))))</f>
        <v/>
      </c>
      <c r="K595" s="20">
        <f>IF($F595="",999,IF($G595&gt;=5,9999,IF($I595="",999,$I595-TODAY())))</f>
        <v/>
      </c>
    </row>
    <row r="596">
      <c r="A596" s="26">
        <f>ROW()-2</f>
        <v/>
      </c>
      <c r="B596" s="27" t="inlineStr">
        <is>
          <t>S5</t>
        </is>
      </c>
      <c r="C596" s="27" t="inlineStr">
        <is>
          <t>Pharmacologie</t>
        </is>
      </c>
      <c r="D596" s="27" t="inlineStr">
        <is>
          <t>Pharmacologie spécifique</t>
        </is>
      </c>
      <c r="E596" s="27" t="inlineStr">
        <is>
          <t>Les inhibiteurs calciques</t>
        </is>
      </c>
      <c r="F596" s="18" t="n"/>
      <c r="G596" s="19" t="n"/>
      <c r="H596" s="20">
        <f>IF($G596="",1,IF($G596=0,1,IF($G596=1,3,IF($G596=2,7,IF($G596=3,14,IF($G596=4,30,60))))))</f>
        <v/>
      </c>
      <c r="I596" s="21">
        <f>IF($F596="","",$F596+$H596)</f>
        <v/>
      </c>
      <c r="J596">
        <f>IF($F596="","⚪ NEW",IF($G596&gt;=5,"✅ DONE",IF($I596&lt;TODAY(),"🔴 OVERDUE",IF($I596=TODAY(),"🟢 TODAY",IF($I596=TODAY()+1,"🔵 TOMORROW",IF($I596&lt;=TODAY()+7,"📅 THIS WEEK","⏳ SCHEDULED"))))))</f>
        <v/>
      </c>
      <c r="K596" s="20">
        <f>IF($F596="",999,IF($G596&gt;=5,9999,IF($I596="",999,$I596-TODAY())))</f>
        <v/>
      </c>
    </row>
    <row r="597">
      <c r="A597" s="26">
        <f>ROW()-2</f>
        <v/>
      </c>
      <c r="B597" s="27" t="inlineStr">
        <is>
          <t>S5</t>
        </is>
      </c>
      <c r="C597" s="27" t="inlineStr">
        <is>
          <t>Pharmacologie</t>
        </is>
      </c>
      <c r="D597" s="27" t="inlineStr">
        <is>
          <t>Pharmacologie spécifique</t>
        </is>
      </c>
      <c r="E597" s="27" t="inlineStr">
        <is>
          <t>Bétabloquants</t>
        </is>
      </c>
      <c r="F597" s="18" t="n"/>
      <c r="G597" s="19" t="n"/>
      <c r="H597" s="20">
        <f>IF($G597="",1,IF($G597=0,1,IF($G597=1,3,IF($G597=2,7,IF($G597=3,14,IF($G597=4,30,60))))))</f>
        <v/>
      </c>
      <c r="I597" s="21">
        <f>IF($F597="","",$F597+$H597)</f>
        <v/>
      </c>
      <c r="J597">
        <f>IF($F597="","⚪ NEW",IF($G597&gt;=5,"✅ DONE",IF($I597&lt;TODAY(),"🔴 OVERDUE",IF($I597=TODAY(),"🟢 TODAY",IF($I597=TODAY()+1,"🔵 TOMORROW",IF($I597&lt;=TODAY()+7,"📅 THIS WEEK","⏳ SCHEDULED"))))))</f>
        <v/>
      </c>
      <c r="K597" s="20">
        <f>IF($F597="",999,IF($G597&gt;=5,9999,IF($I597="",999,$I597-TODAY())))</f>
        <v/>
      </c>
    </row>
    <row r="598">
      <c r="A598" s="26">
        <f>ROW()-2</f>
        <v/>
      </c>
      <c r="B598" s="27" t="inlineStr">
        <is>
          <t>S5</t>
        </is>
      </c>
      <c r="C598" s="27" t="inlineStr">
        <is>
          <t>Pharmacologie</t>
        </is>
      </c>
      <c r="D598" s="27" t="inlineStr">
        <is>
          <t>Pharmacologie spécifique</t>
        </is>
      </c>
      <c r="E598" s="27" t="inlineStr">
        <is>
          <t>Anti-angoreux</t>
        </is>
      </c>
      <c r="F598" s="18" t="n"/>
      <c r="G598" s="19" t="n"/>
      <c r="H598" s="20">
        <f>IF($G598="",1,IF($G598=0,1,IF($G598=1,3,IF($G598=2,7,IF($G598=3,14,IF($G598=4,30,60))))))</f>
        <v/>
      </c>
      <c r="I598" s="21">
        <f>IF($F598="","",$F598+$H598)</f>
        <v/>
      </c>
      <c r="J598">
        <f>IF($F598="","⚪ NEW",IF($G598&gt;=5,"✅ DONE",IF($I598&lt;TODAY(),"🔴 OVERDUE",IF($I598=TODAY(),"🟢 TODAY",IF($I598=TODAY()+1,"🔵 TOMORROW",IF($I598&lt;=TODAY()+7,"📅 THIS WEEK","⏳ SCHEDULED"))))))</f>
        <v/>
      </c>
      <c r="K598" s="20">
        <f>IF($F598="",999,IF($G598&gt;=5,9999,IF($I598="",999,$I598-TODAY())))</f>
        <v/>
      </c>
    </row>
    <row r="599">
      <c r="A599" s="26">
        <f>ROW()-2</f>
        <v/>
      </c>
      <c r="B599" s="27" t="inlineStr">
        <is>
          <t>S5</t>
        </is>
      </c>
      <c r="C599" s="27" t="inlineStr">
        <is>
          <t>Pharmacologie</t>
        </is>
      </c>
      <c r="D599" s="27" t="inlineStr">
        <is>
          <t>Pharmacologie spécifique</t>
        </is>
      </c>
      <c r="E599" s="27" t="inlineStr">
        <is>
          <t>Digitaliques</t>
        </is>
      </c>
      <c r="F599" s="18" t="n"/>
      <c r="G599" s="19" t="n"/>
      <c r="H599" s="20">
        <f>IF($G599="",1,IF($G599=0,1,IF($G599=1,3,IF($G599=2,7,IF($G599=3,14,IF($G599=4,30,60))))))</f>
        <v/>
      </c>
      <c r="I599" s="21">
        <f>IF($F599="","",$F599+$H599)</f>
        <v/>
      </c>
      <c r="J599">
        <f>IF($F599="","⚪ NEW",IF($G599&gt;=5,"✅ DONE",IF($I599&lt;TODAY(),"🔴 OVERDUE",IF($I599=TODAY(),"🟢 TODAY",IF($I599=TODAY()+1,"🔵 TOMORROW",IF($I599&lt;=TODAY()+7,"📅 THIS WEEK","⏳ SCHEDULED"))))))</f>
        <v/>
      </c>
      <c r="K599" s="20">
        <f>IF($F599="",999,IF($G599&gt;=5,9999,IF($I599="",999,$I599-TODAY())))</f>
        <v/>
      </c>
    </row>
    <row r="600">
      <c r="A600" s="26">
        <f>ROW()-2</f>
        <v/>
      </c>
      <c r="B600" s="27" t="inlineStr">
        <is>
          <t>S5</t>
        </is>
      </c>
      <c r="C600" s="27" t="inlineStr">
        <is>
          <t>Pharmacologie</t>
        </is>
      </c>
      <c r="D600" s="27" t="inlineStr">
        <is>
          <t>Pharmacologie spécifique</t>
        </is>
      </c>
      <c r="E600" s="27" t="inlineStr">
        <is>
          <t>Prise en charge hygiéno-diététique et médicamenteuse (les laxatifs)</t>
        </is>
      </c>
      <c r="F600" s="18" t="n"/>
      <c r="G600" s="19" t="n"/>
      <c r="H600" s="20">
        <f>IF($G600="",1,IF($G600=0,1,IF($G600=1,3,IF($G600=2,7,IF($G600=3,14,IF($G600=4,30,60))))))</f>
        <v/>
      </c>
      <c r="I600" s="21">
        <f>IF($F600="","",$F600+$H600)</f>
        <v/>
      </c>
      <c r="J600">
        <f>IF($F600="","⚪ NEW",IF($G600&gt;=5,"✅ DONE",IF($I600&lt;TODAY(),"🔴 OVERDUE",IF($I600=TODAY(),"🟢 TODAY",IF($I600=TODAY()+1,"🔵 TOMORROW",IF($I600&lt;=TODAY()+7,"📅 THIS WEEK","⏳ SCHEDULED"))))))</f>
        <v/>
      </c>
      <c r="K600" s="20">
        <f>IF($F600="",999,IF($G600&gt;=5,9999,IF($I600="",999,$I600-TODAY())))</f>
        <v/>
      </c>
    </row>
    <row r="601">
      <c r="A601" s="26">
        <f>ROW()-2</f>
        <v/>
      </c>
      <c r="B601" s="27" t="inlineStr">
        <is>
          <t>S5</t>
        </is>
      </c>
      <c r="C601" s="27" t="inlineStr">
        <is>
          <t>Pharmacologie</t>
        </is>
      </c>
      <c r="D601" s="27" t="inlineStr">
        <is>
          <t>Pharmacologie spécifique</t>
        </is>
      </c>
      <c r="E601" s="27" t="inlineStr">
        <is>
          <t>Traitement de la maladie ulcéreuse gastroduodénale</t>
        </is>
      </c>
      <c r="F601" s="18" t="n"/>
      <c r="G601" s="19" t="n"/>
      <c r="H601" s="20">
        <f>IF($G601="",1,IF($G601=0,1,IF($G601=1,3,IF($G601=2,7,IF($G601=3,14,IF($G601=4,30,60))))))</f>
        <v/>
      </c>
      <c r="I601" s="21">
        <f>IF($F601="","",$F601+$H601)</f>
        <v/>
      </c>
      <c r="J601">
        <f>IF($F601="","⚪ NEW",IF($G601&gt;=5,"✅ DONE",IF($I601&lt;TODAY(),"🔴 OVERDUE",IF($I601=TODAY(),"🟢 TODAY",IF($I601=TODAY()+1,"🔵 TOMORROW",IF($I601&lt;=TODAY()+7,"📅 THIS WEEK","⏳ SCHEDULED"))))))</f>
        <v/>
      </c>
      <c r="K601" s="20">
        <f>IF($F601="",999,IF($G601&gt;=5,9999,IF($I601="",999,$I601-TODAY())))</f>
        <v/>
      </c>
    </row>
    <row r="602">
      <c r="A602" s="26">
        <f>ROW()-2</f>
        <v/>
      </c>
      <c r="B602" s="27" t="inlineStr">
        <is>
          <t>S5</t>
        </is>
      </c>
      <c r="C602" s="27" t="inlineStr">
        <is>
          <t>Pharmacologie</t>
        </is>
      </c>
      <c r="D602" s="27" t="inlineStr">
        <is>
          <t>Pharmacologie spécifique</t>
        </is>
      </c>
      <c r="E602" s="27" t="inlineStr">
        <is>
          <t>Antispasmodiques</t>
        </is>
      </c>
      <c r="F602" s="18" t="n"/>
      <c r="G602" s="19" t="n"/>
      <c r="H602" s="20">
        <f>IF($G602="",1,IF($G602=0,1,IF($G602=1,3,IF($G602=2,7,IF($G602=3,14,IF($G602=4,30,60))))))</f>
        <v/>
      </c>
      <c r="I602" s="21">
        <f>IF($F602="","",$F602+$H602)</f>
        <v/>
      </c>
      <c r="J602">
        <f>IF($F602="","⚪ NEW",IF($G602&gt;=5,"✅ DONE",IF($I602&lt;TODAY(),"🔴 OVERDUE",IF($I602=TODAY(),"🟢 TODAY",IF($I602=TODAY()+1,"🔵 TOMORROW",IF($I602&lt;=TODAY()+7,"📅 THIS WEEK","⏳ SCHEDULED"))))))</f>
        <v/>
      </c>
      <c r="K602" s="20">
        <f>IF($F602="",999,IF($G602&gt;=5,9999,IF($I602="",999,$I602-TODAY())))</f>
        <v/>
      </c>
    </row>
    <row r="603">
      <c r="A603" s="26">
        <f>ROW()-2</f>
        <v/>
      </c>
      <c r="B603" s="27" t="inlineStr">
        <is>
          <t>S5</t>
        </is>
      </c>
      <c r="C603" s="27" t="inlineStr">
        <is>
          <t>Pharmacologie</t>
        </is>
      </c>
      <c r="D603" s="27" t="inlineStr">
        <is>
          <t>Pharmacologie spécifique</t>
        </is>
      </c>
      <c r="E603" s="27" t="inlineStr">
        <is>
          <t>Rein et médicaments</t>
        </is>
      </c>
      <c r="F603" s="18" t="n"/>
      <c r="G603" s="19" t="n"/>
      <c r="H603" s="20">
        <f>IF($G603="",1,IF($G603=0,1,IF($G603=1,3,IF($G603=2,7,IF($G603=3,14,IF($G603=4,30,60))))))</f>
        <v/>
      </c>
      <c r="I603" s="21">
        <f>IF($F603="","",$F603+$H603)</f>
        <v/>
      </c>
      <c r="J603">
        <f>IF($F603="","⚪ NEW",IF($G603&gt;=5,"✅ DONE",IF($I603&lt;TODAY(),"🔴 OVERDUE",IF($I603=TODAY(),"🟢 TODAY",IF($I603=TODAY()+1,"🔵 TOMORROW",IF($I603&lt;=TODAY()+7,"📅 THIS WEEK","⏳ SCHEDULED"))))))</f>
        <v/>
      </c>
      <c r="K603" s="20">
        <f>IF($F603="",999,IF($G603&gt;=5,9999,IF($I603="",999,$I603-TODAY())))</f>
        <v/>
      </c>
    </row>
    <row r="604">
      <c r="A604" s="26">
        <f>ROW()-2</f>
        <v/>
      </c>
      <c r="B604" s="27" t="inlineStr">
        <is>
          <t>S5</t>
        </is>
      </c>
      <c r="C604" s="27" t="inlineStr">
        <is>
          <t>Pharmacologie</t>
        </is>
      </c>
      <c r="D604" s="27" t="inlineStr">
        <is>
          <t>Pharmacologie spécifique</t>
        </is>
      </c>
      <c r="E604" s="27" t="inlineStr">
        <is>
          <t>Les diurétiques</t>
        </is>
      </c>
      <c r="F604" s="18" t="n"/>
      <c r="G604" s="19" t="n"/>
      <c r="H604" s="20">
        <f>IF($G604="",1,IF($G604=0,1,IF($G604=1,3,IF($G604=2,7,IF($G604=3,14,IF($G604=4,30,60))))))</f>
        <v/>
      </c>
      <c r="I604" s="21">
        <f>IF($F604="","",$F604+$H604)</f>
        <v/>
      </c>
      <c r="J604">
        <f>IF($F604="","⚪ NEW",IF($G604&gt;=5,"✅ DONE",IF($I604&lt;TODAY(),"🔴 OVERDUE",IF($I604=TODAY(),"🟢 TODAY",IF($I604=TODAY()+1,"🔵 TOMORROW",IF($I604&lt;=TODAY()+7,"📅 THIS WEEK","⏳ SCHEDULED"))))))</f>
        <v/>
      </c>
      <c r="K604" s="20">
        <f>IF($F604="",999,IF($G604&gt;=5,9999,IF($I604="",999,$I604-TODAY())))</f>
        <v/>
      </c>
    </row>
    <row r="605">
      <c r="A605" s="26">
        <f>ROW()-2</f>
        <v/>
      </c>
      <c r="B605" s="27" t="inlineStr">
        <is>
          <t>S5</t>
        </is>
      </c>
      <c r="C605" s="27" t="inlineStr">
        <is>
          <t>Pharmacologie</t>
        </is>
      </c>
      <c r="D605" s="27" t="inlineStr">
        <is>
          <t>Pharmacologie spécifique</t>
        </is>
      </c>
      <c r="E605" s="27" t="inlineStr">
        <is>
          <t>Les anti-inflammatoires</t>
        </is>
      </c>
      <c r="F605" s="18" t="n"/>
      <c r="G605" s="19" t="n"/>
      <c r="H605" s="20">
        <f>IF($G605="",1,IF($G605=0,1,IF($G605=1,3,IF($G605=2,7,IF($G605=3,14,IF($G605=4,30,60))))))</f>
        <v/>
      </c>
      <c r="I605" s="21">
        <f>IF($F605="","",$F605+$H605)</f>
        <v/>
      </c>
      <c r="J605">
        <f>IF($F605="","⚪ NEW",IF($G605&gt;=5,"✅ DONE",IF($I605&lt;TODAY(),"🔴 OVERDUE",IF($I605=TODAY(),"🟢 TODAY",IF($I605=TODAY()+1,"🔵 TOMORROW",IF($I605&lt;=TODAY()+7,"📅 THIS WEEK","⏳ SCHEDULED"))))))</f>
        <v/>
      </c>
      <c r="K605" s="20">
        <f>IF($F605="",999,IF($G605&gt;=5,9999,IF($I605="",999,$I605-TODAY())))</f>
        <v/>
      </c>
    </row>
    <row r="606">
      <c r="A606" s="26">
        <f>ROW()-2</f>
        <v/>
      </c>
      <c r="B606" s="27" t="inlineStr">
        <is>
          <t>S5</t>
        </is>
      </c>
      <c r="C606" s="27" t="inlineStr">
        <is>
          <t>Pharmacologie</t>
        </is>
      </c>
      <c r="D606" s="27" t="inlineStr">
        <is>
          <t>Pharmacologie spécifique</t>
        </is>
      </c>
      <c r="E606" s="27" t="inlineStr">
        <is>
          <t>L'insulinothérapie</t>
        </is>
      </c>
      <c r="F606" s="18" t="n"/>
      <c r="G606" s="19" t="n"/>
      <c r="H606" s="20">
        <f>IF($G606="",1,IF($G606=0,1,IF($G606=1,3,IF($G606=2,7,IF($G606=3,14,IF($G606=4,30,60))))))</f>
        <v/>
      </c>
      <c r="I606" s="21">
        <f>IF($F606="","",$F606+$H606)</f>
        <v/>
      </c>
      <c r="J606">
        <f>IF($F606="","⚪ NEW",IF($G606&gt;=5,"✅ DONE",IF($I606&lt;TODAY(),"🔴 OVERDUE",IF($I606=TODAY(),"🟢 TODAY",IF($I606=TODAY()+1,"🔵 TOMORROW",IF($I606&lt;=TODAY()+7,"📅 THIS WEEK","⏳ SCHEDULED"))))))</f>
        <v/>
      </c>
      <c r="K606" s="20">
        <f>IF($F606="",999,IF($G606&gt;=5,9999,IF($I606="",999,$I606-TODAY())))</f>
        <v/>
      </c>
    </row>
    <row r="607">
      <c r="A607" s="26">
        <f>ROW()-2</f>
        <v/>
      </c>
      <c r="B607" s="27" t="inlineStr">
        <is>
          <t>S5</t>
        </is>
      </c>
      <c r="C607" s="27" t="inlineStr">
        <is>
          <t>Pharmacologie</t>
        </is>
      </c>
      <c r="D607" s="27" t="inlineStr">
        <is>
          <t>Pharmacologie spécifique</t>
        </is>
      </c>
      <c r="E607" s="27" t="inlineStr">
        <is>
          <t>Les antidiabétiques</t>
        </is>
      </c>
      <c r="F607" s="18" t="n"/>
      <c r="G607" s="19" t="n"/>
      <c r="H607" s="20">
        <f>IF($G607="",1,IF($G607=0,1,IF($G607=1,3,IF($G607=2,7,IF($G607=3,14,IF($G607=4,30,60))))))</f>
        <v/>
      </c>
      <c r="I607" s="21">
        <f>IF($F607="","",$F607+$H607)</f>
        <v/>
      </c>
      <c r="J607">
        <f>IF($F607="","⚪ NEW",IF($G607&gt;=5,"✅ DONE",IF($I607&lt;TODAY(),"🔴 OVERDUE",IF($I607=TODAY(),"🟢 TODAY",IF($I607=TODAY()+1,"🔵 TOMORROW",IF($I607&lt;=TODAY()+7,"📅 THIS WEEK","⏳ SCHEDULED"))))))</f>
        <v/>
      </c>
      <c r="K607" s="20">
        <f>IF($F607="",999,IF($G607&gt;=5,9999,IF($I607="",999,$I607-TODAY())))</f>
        <v/>
      </c>
    </row>
    <row r="608">
      <c r="A608" s="26">
        <f>ROW()-2</f>
        <v/>
      </c>
      <c r="B608" s="27" t="inlineStr">
        <is>
          <t>S5</t>
        </is>
      </c>
      <c r="C608" s="27" t="inlineStr">
        <is>
          <t>Pharmacologie</t>
        </is>
      </c>
      <c r="D608" s="27" t="inlineStr">
        <is>
          <t>Pharmacologie spécifique</t>
        </is>
      </c>
      <c r="E608" s="27" t="inlineStr">
        <is>
          <t>Les antalgiques</t>
        </is>
      </c>
      <c r="F608" s="18" t="n"/>
      <c r="G608" s="19" t="n"/>
      <c r="H608" s="20">
        <f>IF($G608="",1,IF($G608=0,1,IF($G608=1,3,IF($G608=2,7,IF($G608=3,14,IF($G608=4,30,60))))))</f>
        <v/>
      </c>
      <c r="I608" s="21">
        <f>IF($F608="","",$F608+$H608)</f>
        <v/>
      </c>
      <c r="J608">
        <f>IF($F608="","⚪ NEW",IF($G608&gt;=5,"✅ DONE",IF($I608&lt;TODAY(),"🔴 OVERDUE",IF($I608=TODAY(),"🟢 TODAY",IF($I608=TODAY()+1,"🔵 TOMORROW",IF($I608&lt;=TODAY()+7,"📅 THIS WEEK","⏳ SCHEDULED"))))))</f>
        <v/>
      </c>
      <c r="K608" s="20">
        <f>IF($F608="",999,IF($G608&gt;=5,9999,IF($I608="",999,$I608-TODAY())))</f>
        <v/>
      </c>
    </row>
    <row r="609">
      <c r="A609" s="26">
        <f>ROW()-2</f>
        <v/>
      </c>
      <c r="B609" s="27" t="inlineStr">
        <is>
          <t>S5</t>
        </is>
      </c>
      <c r="C609" s="27" t="inlineStr">
        <is>
          <t>Pharmacologie</t>
        </is>
      </c>
      <c r="D609" s="27" t="inlineStr">
        <is>
          <t>Pharmacologie spécifique</t>
        </is>
      </c>
      <c r="E609" s="27" t="inlineStr">
        <is>
          <t>Antibiothérapie - généralités</t>
        </is>
      </c>
      <c r="F609" s="18" t="n"/>
      <c r="G609" s="19" t="n"/>
      <c r="H609" s="20">
        <f>IF($G609="",1,IF($G609=0,1,IF($G609=1,3,IF($G609=2,7,IF($G609=3,14,IF($G609=4,30,60))))))</f>
        <v/>
      </c>
      <c r="I609" s="21">
        <f>IF($F609="","",$F609+$H609)</f>
        <v/>
      </c>
      <c r="J609">
        <f>IF($F609="","⚪ NEW",IF($G609&gt;=5,"✅ DONE",IF($I609&lt;TODAY(),"🔴 OVERDUE",IF($I609=TODAY(),"🟢 TODAY",IF($I609=TODAY()+1,"🔵 TOMORROW",IF($I609&lt;=TODAY()+7,"📅 THIS WEEK","⏳ SCHEDULED"))))))</f>
        <v/>
      </c>
      <c r="K609" s="20">
        <f>IF($F609="",999,IF($G609&gt;=5,9999,IF($I609="",999,$I609-TODAY())))</f>
        <v/>
      </c>
    </row>
    <row r="610">
      <c r="A610" s="26">
        <f>ROW()-2</f>
        <v/>
      </c>
      <c r="B610" s="27" t="inlineStr">
        <is>
          <t>S5</t>
        </is>
      </c>
      <c r="C610" s="27" t="inlineStr">
        <is>
          <t>Pharmacologie</t>
        </is>
      </c>
      <c r="D610" s="27" t="inlineStr">
        <is>
          <t>Pharmacologie spécifique</t>
        </is>
      </c>
      <c r="E610" s="27" t="inlineStr">
        <is>
          <t>Bêta-lactamines</t>
        </is>
      </c>
      <c r="F610" s="18" t="n"/>
      <c r="G610" s="19" t="n"/>
      <c r="H610" s="20">
        <f>IF($G610="",1,IF($G610=0,1,IF($G610=1,3,IF($G610=2,7,IF($G610=3,14,IF($G610=4,30,60))))))</f>
        <v/>
      </c>
      <c r="I610" s="21">
        <f>IF($F610="","",$F610+$H610)</f>
        <v/>
      </c>
      <c r="J610">
        <f>IF($F610="","⚪ NEW",IF($G610&gt;=5,"✅ DONE",IF($I610&lt;TODAY(),"🔴 OVERDUE",IF($I610=TODAY(),"🟢 TODAY",IF($I610=TODAY()+1,"🔵 TOMORROW",IF($I610&lt;=TODAY()+7,"📅 THIS WEEK","⏳ SCHEDULED"))))))</f>
        <v/>
      </c>
      <c r="K610" s="20">
        <f>IF($F610="",999,IF($G610&gt;=5,9999,IF($I610="",999,$I610-TODAY())))</f>
        <v/>
      </c>
    </row>
    <row r="611">
      <c r="A611" s="26">
        <f>ROW()-2</f>
        <v/>
      </c>
      <c r="B611" s="27" t="inlineStr">
        <is>
          <t>S5</t>
        </is>
      </c>
      <c r="C611" s="27" t="inlineStr">
        <is>
          <t>Pharmacologie</t>
        </is>
      </c>
      <c r="D611" s="27" t="inlineStr">
        <is>
          <t>Pharmacologie spécifique</t>
        </is>
      </c>
      <c r="E611" s="27" t="inlineStr">
        <is>
          <t>Aminosides</t>
        </is>
      </c>
      <c r="F611" s="18" t="n"/>
      <c r="G611" s="19" t="n"/>
      <c r="H611" s="20">
        <f>IF($G611="",1,IF($G611=0,1,IF($G611=1,3,IF($G611=2,7,IF($G611=3,14,IF($G611=4,30,60))))))</f>
        <v/>
      </c>
      <c r="I611" s="21">
        <f>IF($F611="","",$F611+$H611)</f>
        <v/>
      </c>
      <c r="J611">
        <f>IF($F611="","⚪ NEW",IF($G611&gt;=5,"✅ DONE",IF($I611&lt;TODAY(),"🔴 OVERDUE",IF($I611=TODAY(),"🟢 TODAY",IF($I611=TODAY()+1,"🔵 TOMORROW",IF($I611&lt;=TODAY()+7,"📅 THIS WEEK","⏳ SCHEDULED"))))))</f>
        <v/>
      </c>
      <c r="K611" s="20">
        <f>IF($F611="",999,IF($G611&gt;=5,9999,IF($I611="",999,$I611-TODAY())))</f>
        <v/>
      </c>
    </row>
    <row r="612">
      <c r="A612" s="26">
        <f>ROW()-2</f>
        <v/>
      </c>
      <c r="B612" s="27" t="inlineStr">
        <is>
          <t>S5</t>
        </is>
      </c>
      <c r="C612" s="27" t="inlineStr">
        <is>
          <t>Pharmacologie</t>
        </is>
      </c>
      <c r="D612" s="27" t="inlineStr">
        <is>
          <t>Pharmacologie spécifique</t>
        </is>
      </c>
      <c r="E612" s="27" t="inlineStr">
        <is>
          <t>Glycopeptides</t>
        </is>
      </c>
      <c r="F612" s="18" t="n"/>
      <c r="G612" s="19" t="n"/>
      <c r="H612" s="20">
        <f>IF($G612="",1,IF($G612=0,1,IF($G612=1,3,IF($G612=2,7,IF($G612=3,14,IF($G612=4,30,60))))))</f>
        <v/>
      </c>
      <c r="I612" s="21">
        <f>IF($F612="","",$F612+$H612)</f>
        <v/>
      </c>
      <c r="J612">
        <f>IF($F612="","⚪ NEW",IF($G612&gt;=5,"✅ DONE",IF($I612&lt;TODAY(),"🔴 OVERDUE",IF($I612=TODAY(),"🟢 TODAY",IF($I612=TODAY()+1,"🔵 TOMORROW",IF($I612&lt;=TODAY()+7,"📅 THIS WEEK","⏳ SCHEDULED"))))))</f>
        <v/>
      </c>
      <c r="K612" s="20">
        <f>IF($F612="",999,IF($G612&gt;=5,9999,IF($I612="",999,$I612-TODAY())))</f>
        <v/>
      </c>
    </row>
    <row r="613">
      <c r="A613" s="26">
        <f>ROW()-2</f>
        <v/>
      </c>
      <c r="B613" s="27" t="inlineStr">
        <is>
          <t>S5</t>
        </is>
      </c>
      <c r="C613" s="27" t="inlineStr">
        <is>
          <t>Pharmacologie</t>
        </is>
      </c>
      <c r="D613" s="27" t="inlineStr">
        <is>
          <t>Pharmacologie spécifique</t>
        </is>
      </c>
      <c r="E613" s="27" t="inlineStr">
        <is>
          <t>Imidazolés</t>
        </is>
      </c>
      <c r="F613" s="18" t="n"/>
      <c r="G613" s="19" t="n"/>
      <c r="H613" s="20">
        <f>IF($G613="",1,IF($G613=0,1,IF($G613=1,3,IF($G613=2,7,IF($G613=3,14,IF($G613=4,30,60))))))</f>
        <v/>
      </c>
      <c r="I613" s="21">
        <f>IF($F613="","",$F613+$H613)</f>
        <v/>
      </c>
      <c r="J613">
        <f>IF($F613="","⚪ NEW",IF($G613&gt;=5,"✅ DONE",IF($I613&lt;TODAY(),"🔴 OVERDUE",IF($I613=TODAY(),"🟢 TODAY",IF($I613=TODAY()+1,"🔵 TOMORROW",IF($I613&lt;=TODAY()+7,"📅 THIS WEEK","⏳ SCHEDULED"))))))</f>
        <v/>
      </c>
      <c r="K613" s="20">
        <f>IF($F613="",999,IF($G613&gt;=5,9999,IF($I613="",999,$I613-TODAY())))</f>
        <v/>
      </c>
    </row>
    <row r="614">
      <c r="A614" s="26">
        <f>ROW()-2</f>
        <v/>
      </c>
      <c r="B614" s="27" t="inlineStr">
        <is>
          <t>S5</t>
        </is>
      </c>
      <c r="C614" s="27" t="inlineStr">
        <is>
          <t>Pharmacologie</t>
        </is>
      </c>
      <c r="D614" s="27" t="inlineStr">
        <is>
          <t>Pharmacologie spécifique</t>
        </is>
      </c>
      <c r="E614" s="27" t="inlineStr">
        <is>
          <t>Quinolones</t>
        </is>
      </c>
      <c r="F614" s="18" t="n"/>
      <c r="G614" s="19" t="n"/>
      <c r="H614" s="20">
        <f>IF($G614="",1,IF($G614=0,1,IF($G614=1,3,IF($G614=2,7,IF($G614=3,14,IF($G614=4,30,60))))))</f>
        <v/>
      </c>
      <c r="I614" s="21">
        <f>IF($F614="","",$F614+$H614)</f>
        <v/>
      </c>
      <c r="J614">
        <f>IF($F614="","⚪ NEW",IF($G614&gt;=5,"✅ DONE",IF($I614&lt;TODAY(),"🔴 OVERDUE",IF($I614=TODAY(),"🟢 TODAY",IF($I614=TODAY()+1,"🔵 TOMORROW",IF($I614&lt;=TODAY()+7,"📅 THIS WEEK","⏳ SCHEDULED"))))))</f>
        <v/>
      </c>
      <c r="K614" s="20">
        <f>IF($F614="",999,IF($G614&gt;=5,9999,IF($I614="",999,$I614-TODAY())))</f>
        <v/>
      </c>
    </row>
    <row r="615">
      <c r="A615" s="26">
        <f>ROW()-2</f>
        <v/>
      </c>
      <c r="B615" s="27" t="inlineStr">
        <is>
          <t>S5</t>
        </is>
      </c>
      <c r="C615" s="27" t="inlineStr">
        <is>
          <t>Pharmacologie</t>
        </is>
      </c>
      <c r="D615" s="27" t="inlineStr">
        <is>
          <t>Pharmacologie spécifique</t>
        </is>
      </c>
      <c r="E615" s="27" t="inlineStr">
        <is>
          <t>Cyclines</t>
        </is>
      </c>
      <c r="F615" s="18" t="n"/>
      <c r="G615" s="19" t="n"/>
      <c r="H615" s="20">
        <f>IF($G615="",1,IF($G615=0,1,IF($G615=1,3,IF($G615=2,7,IF($G615=3,14,IF($G615=4,30,60))))))</f>
        <v/>
      </c>
      <c r="I615" s="21">
        <f>IF($F615="","",$F615+$H615)</f>
        <v/>
      </c>
      <c r="J615">
        <f>IF($F615="","⚪ NEW",IF($G615&gt;=5,"✅ DONE",IF($I615&lt;TODAY(),"🔴 OVERDUE",IF($I615=TODAY(),"🟢 TODAY",IF($I615=TODAY()+1,"🔵 TOMORROW",IF($I615&lt;=TODAY()+7,"📅 THIS WEEK","⏳ SCHEDULED"))))))</f>
        <v/>
      </c>
      <c r="K615" s="20">
        <f>IF($F615="",999,IF($G615&gt;=5,9999,IF($I615="",999,$I615-TODAY())))</f>
        <v/>
      </c>
    </row>
    <row r="616">
      <c r="A616" s="26">
        <f>ROW()-2</f>
        <v/>
      </c>
      <c r="B616" s="27" t="inlineStr">
        <is>
          <t>S5</t>
        </is>
      </c>
      <c r="C616" s="27" t="inlineStr">
        <is>
          <t>Pharmacologie</t>
        </is>
      </c>
      <c r="D616" s="27" t="inlineStr">
        <is>
          <t>Pharmacologie spécifique</t>
        </is>
      </c>
      <c r="E616" s="27" t="inlineStr">
        <is>
          <t>Macrolides</t>
        </is>
      </c>
      <c r="F616" s="18" t="n"/>
      <c r="G616" s="19" t="n"/>
      <c r="H616" s="20">
        <f>IF($G616="",1,IF($G616=0,1,IF($G616=1,3,IF($G616=2,7,IF($G616=3,14,IF($G616=4,30,60))))))</f>
        <v/>
      </c>
      <c r="I616" s="21">
        <f>IF($F616="","",$F616+$H616)</f>
        <v/>
      </c>
      <c r="J616">
        <f>IF($F616="","⚪ NEW",IF($G616&gt;=5,"✅ DONE",IF($I616&lt;TODAY(),"🔴 OVERDUE",IF($I616=TODAY(),"🟢 TODAY",IF($I616=TODAY()+1,"🔵 TOMORROW",IF($I616&lt;=TODAY()+7,"📅 THIS WEEK","⏳ SCHEDULED"))))))</f>
        <v/>
      </c>
      <c r="K616" s="20">
        <f>IF($F616="",999,IF($G616&gt;=5,9999,IF($I616="",999,$I616-TODAY())))</f>
        <v/>
      </c>
    </row>
    <row r="617">
      <c r="A617" s="26">
        <f>ROW()-2</f>
        <v/>
      </c>
      <c r="B617" s="27" t="inlineStr">
        <is>
          <t>S5</t>
        </is>
      </c>
      <c r="C617" s="27" t="inlineStr">
        <is>
          <t>Pharmacologie</t>
        </is>
      </c>
      <c r="D617" s="27" t="inlineStr">
        <is>
          <t>Pharmacologie spécifique</t>
        </is>
      </c>
      <c r="E617" s="27" t="inlineStr">
        <is>
          <t>Sulfamides</t>
        </is>
      </c>
      <c r="F617" s="18" t="n"/>
      <c r="G617" s="19" t="n"/>
      <c r="H617" s="20">
        <f>IF($G617="",1,IF($G617=0,1,IF($G617=1,3,IF($G617=2,7,IF($G617=3,14,IF($G617=4,30,60))))))</f>
        <v/>
      </c>
      <c r="I617" s="21">
        <f>IF($F617="","",$F617+$H617)</f>
        <v/>
      </c>
      <c r="J617">
        <f>IF($F617="","⚪ NEW",IF($G617&gt;=5,"✅ DONE",IF($I617&lt;TODAY(),"🔴 OVERDUE",IF($I617=TODAY(),"🟢 TODAY",IF($I617=TODAY()+1,"🔵 TOMORROW",IF($I617&lt;=TODAY()+7,"📅 THIS WEEK","⏳ SCHEDULED"))))))</f>
        <v/>
      </c>
      <c r="K617" s="20">
        <f>IF($F617="",999,IF($G617&gt;=5,9999,IF($I617="",999,$I617-TODAY())))</f>
        <v/>
      </c>
    </row>
    <row r="618">
      <c r="A618" s="26">
        <f>ROW()-2</f>
        <v/>
      </c>
      <c r="B618" s="27" t="inlineStr">
        <is>
          <t>S5</t>
        </is>
      </c>
      <c r="C618" s="27" t="inlineStr">
        <is>
          <t>Pharmacologie</t>
        </is>
      </c>
      <c r="D618" s="27" t="inlineStr">
        <is>
          <t>Pharmacologie spécifique</t>
        </is>
      </c>
      <c r="E618" s="27" t="inlineStr">
        <is>
          <t>Phénicolés</t>
        </is>
      </c>
      <c r="F618" s="18" t="n"/>
      <c r="G618" s="19" t="n"/>
      <c r="H618" s="20">
        <f>IF($G618="",1,IF($G618=0,1,IF($G618=1,3,IF($G618=2,7,IF($G618=3,14,IF($G618=4,30,60))))))</f>
        <v/>
      </c>
      <c r="I618" s="21">
        <f>IF($F618="","",$F618+$H618)</f>
        <v/>
      </c>
      <c r="J618">
        <f>IF($F618="","⚪ NEW",IF($G618&gt;=5,"✅ DONE",IF($I618&lt;TODAY(),"🔴 OVERDUE",IF($I618=TODAY(),"🟢 TODAY",IF($I618=TODAY()+1,"🔵 TOMORROW",IF($I618&lt;=TODAY()+7,"📅 THIS WEEK","⏳ SCHEDULED"))))))</f>
        <v/>
      </c>
      <c r="K618" s="20">
        <f>IF($F618="",999,IF($G618&gt;=5,9999,IF($I618="",999,$I618-TODAY())))</f>
        <v/>
      </c>
    </row>
    <row r="619">
      <c r="A619" s="26">
        <f>ROW()-2</f>
        <v/>
      </c>
      <c r="B619" s="27" t="inlineStr">
        <is>
          <t>S5</t>
        </is>
      </c>
      <c r="C619" s="27" t="inlineStr">
        <is>
          <t>Pharmacologie</t>
        </is>
      </c>
      <c r="D619" s="27" t="inlineStr">
        <is>
          <t>Pharmacologie spécifique</t>
        </is>
      </c>
      <c r="E619" s="27" t="inlineStr">
        <is>
          <t>Antiviraux</t>
        </is>
      </c>
      <c r="F619" s="18" t="n"/>
      <c r="G619" s="19" t="n"/>
      <c r="H619" s="20">
        <f>IF($G619="",1,IF($G619=0,1,IF($G619=1,3,IF($G619=2,7,IF($G619=3,14,IF($G619=4,30,60))))))</f>
        <v/>
      </c>
      <c r="I619" s="21">
        <f>IF($F619="","",$F619+$H619)</f>
        <v/>
      </c>
      <c r="J619">
        <f>IF($F619="","⚪ NEW",IF($G619&gt;=5,"✅ DONE",IF($I619&lt;TODAY(),"🔴 OVERDUE",IF($I619=TODAY(),"🟢 TODAY",IF($I619=TODAY()+1,"🔵 TOMORROW",IF($I619&lt;=TODAY()+7,"📅 THIS WEEK","⏳ SCHEDULED"))))))</f>
        <v/>
      </c>
      <c r="K619" s="20">
        <f>IF($F619="",999,IF($G619&gt;=5,9999,IF($I619="",999,$I619-TODAY())))</f>
        <v/>
      </c>
    </row>
    <row r="620">
      <c r="A620" s="26">
        <f>ROW()-2</f>
        <v/>
      </c>
      <c r="B620" s="27" t="inlineStr">
        <is>
          <t>S5</t>
        </is>
      </c>
      <c r="C620" s="27" t="inlineStr">
        <is>
          <t>Pharmacologie</t>
        </is>
      </c>
      <c r="D620" s="27" t="inlineStr">
        <is>
          <t>Pharmacologie spécifique</t>
        </is>
      </c>
      <c r="E620" s="27" t="inlineStr">
        <is>
          <t>Antifongiques</t>
        </is>
      </c>
      <c r="F620" s="18" t="n"/>
      <c r="G620" s="19" t="n"/>
      <c r="H620" s="20">
        <f>IF($G620="",1,IF($G620=0,1,IF($G620=1,3,IF($G620=2,7,IF($G620=3,14,IF($G620=4,30,60))))))</f>
        <v/>
      </c>
      <c r="I620" s="21">
        <f>IF($F620="","",$F620+$H620)</f>
        <v/>
      </c>
      <c r="J620">
        <f>IF($F620="","⚪ NEW",IF($G620&gt;=5,"✅ DONE",IF($I620&lt;TODAY(),"🔴 OVERDUE",IF($I620=TODAY(),"🟢 TODAY",IF($I620=TODAY()+1,"🔵 TOMORROW",IF($I620&lt;=TODAY()+7,"📅 THIS WEEK","⏳ SCHEDULED"))))))</f>
        <v/>
      </c>
      <c r="K620" s="20">
        <f>IF($F620="",999,IF($G620&gt;=5,9999,IF($I620="",999,$I620-TODAY())))</f>
        <v/>
      </c>
    </row>
    <row r="621">
      <c r="A621" s="28">
        <f>ROW()-2</f>
        <v/>
      </c>
      <c r="B621" s="29" t="inlineStr">
        <is>
          <t>S5</t>
        </is>
      </c>
      <c r="C621" s="29" t="inlineStr">
        <is>
          <t>Radiologie - Imagerie médicale</t>
        </is>
      </c>
      <c r="D621" s="29" t="inlineStr">
        <is>
          <t>Neuroradiologie</t>
        </is>
      </c>
      <c r="E621" s="29" t="inlineStr">
        <is>
          <t>Moyens d'exploration en neuroradiologie</t>
        </is>
      </c>
      <c r="F621" s="18" t="n"/>
      <c r="G621" s="19" t="n"/>
      <c r="H621" s="20">
        <f>IF($G621="",1,IF($G621=0,1,IF($G621=1,3,IF($G621=2,7,IF($G621=3,14,IF($G621=4,30,60))))))</f>
        <v/>
      </c>
      <c r="I621" s="21">
        <f>IF($F621="","",$F621+$H621)</f>
        <v/>
      </c>
      <c r="J621">
        <f>IF($F621="","⚪ NEW",IF($G621&gt;=5,"✅ DONE",IF($I621&lt;TODAY(),"🔴 OVERDUE",IF($I621=TODAY(),"🟢 TODAY",IF($I621=TODAY()+1,"🔵 TOMORROW",IF($I621&lt;=TODAY()+7,"📅 THIS WEEK","⏳ SCHEDULED"))))))</f>
        <v/>
      </c>
      <c r="K621" s="20">
        <f>IF($F621="",999,IF($G621&gt;=5,9999,IF($I621="",999,$I621-TODAY())))</f>
        <v/>
      </c>
    </row>
    <row r="622">
      <c r="A622" s="28">
        <f>ROW()-2</f>
        <v/>
      </c>
      <c r="B622" s="29" t="inlineStr">
        <is>
          <t>S5</t>
        </is>
      </c>
      <c r="C622" s="29" t="inlineStr">
        <is>
          <t>Radiologie - Imagerie médicale</t>
        </is>
      </c>
      <c r="D622" s="29" t="inlineStr">
        <is>
          <t>Neuroradiologie</t>
        </is>
      </c>
      <c r="E622" s="29" t="inlineStr">
        <is>
          <t>Imagerie des AVC</t>
        </is>
      </c>
      <c r="F622" s="18" t="n"/>
      <c r="G622" s="19" t="n"/>
      <c r="H622" s="20">
        <f>IF($G622="",1,IF($G622=0,1,IF($G622=1,3,IF($G622=2,7,IF($G622=3,14,IF($G622=4,30,60))))))</f>
        <v/>
      </c>
      <c r="I622" s="21">
        <f>IF($F622="","",$F622+$H622)</f>
        <v/>
      </c>
      <c r="J622">
        <f>IF($F622="","⚪ NEW",IF($G622&gt;=5,"✅ DONE",IF($I622&lt;TODAY(),"🔴 OVERDUE",IF($I622=TODAY(),"🟢 TODAY",IF($I622=TODAY()+1,"🔵 TOMORROW",IF($I622&lt;=TODAY()+7,"📅 THIS WEEK","⏳ SCHEDULED"))))))</f>
        <v/>
      </c>
      <c r="K622" s="20">
        <f>IF($F622="",999,IF($G622&gt;=5,9999,IF($I622="",999,$I622-TODAY())))</f>
        <v/>
      </c>
    </row>
    <row r="623">
      <c r="A623" s="28">
        <f>ROW()-2</f>
        <v/>
      </c>
      <c r="B623" s="29" t="inlineStr">
        <is>
          <t>S5</t>
        </is>
      </c>
      <c r="C623" s="29" t="inlineStr">
        <is>
          <t>Radiologie - Imagerie médicale</t>
        </is>
      </c>
      <c r="D623" s="29" t="inlineStr">
        <is>
          <t>Neuroradiologie</t>
        </is>
      </c>
      <c r="E623" s="29" t="inlineStr">
        <is>
          <t>Arbre décisionnel des AVC</t>
        </is>
      </c>
      <c r="F623" s="18" t="n"/>
      <c r="G623" s="19" t="n"/>
      <c r="H623" s="20">
        <f>IF($G623="",1,IF($G623=0,1,IF($G623=1,3,IF($G623=2,7,IF($G623=3,14,IF($G623=4,30,60))))))</f>
        <v/>
      </c>
      <c r="I623" s="21">
        <f>IF($F623="","",$F623+$H623)</f>
        <v/>
      </c>
      <c r="J623">
        <f>IF($F623="","⚪ NEW",IF($G623&gt;=5,"✅ DONE",IF($I623&lt;TODAY(),"🔴 OVERDUE",IF($I623=TODAY(),"🟢 TODAY",IF($I623=TODAY()+1,"🔵 TOMORROW",IF($I623&lt;=TODAY()+7,"📅 THIS WEEK","⏳ SCHEDULED"))))))</f>
        <v/>
      </c>
      <c r="K623" s="20">
        <f>IF($F623="",999,IF($G623&gt;=5,9999,IF($I623="",999,$I623-TODAY())))</f>
        <v/>
      </c>
    </row>
    <row r="624">
      <c r="A624" s="28">
        <f>ROW()-2</f>
        <v/>
      </c>
      <c r="B624" s="29" t="inlineStr">
        <is>
          <t>S5</t>
        </is>
      </c>
      <c r="C624" s="29" t="inlineStr">
        <is>
          <t>Radiologie - Imagerie médicale</t>
        </is>
      </c>
      <c r="D624" s="29" t="inlineStr">
        <is>
          <t>Neuroradiologie</t>
        </is>
      </c>
      <c r="E624" s="29" t="inlineStr">
        <is>
          <t>Traumatismes crânio-encéphaliques</t>
        </is>
      </c>
      <c r="F624" s="18" t="n"/>
      <c r="G624" s="19" t="n"/>
      <c r="H624" s="20">
        <f>IF($G624="",1,IF($G624=0,1,IF($G624=1,3,IF($G624=2,7,IF($G624=3,14,IF($G624=4,30,60))))))</f>
        <v/>
      </c>
      <c r="I624" s="21">
        <f>IF($F624="","",$F624+$H624)</f>
        <v/>
      </c>
      <c r="J624">
        <f>IF($F624="","⚪ NEW",IF($G624&gt;=5,"✅ DONE",IF($I624&lt;TODAY(),"🔴 OVERDUE",IF($I624=TODAY(),"🟢 TODAY",IF($I624=TODAY()+1,"🔵 TOMORROW",IF($I624&lt;=TODAY()+7,"📅 THIS WEEK","⏳ SCHEDULED"))))))</f>
        <v/>
      </c>
      <c r="K624" s="20">
        <f>IF($F624="",999,IF($G624&gt;=5,9999,IF($I624="",999,$I624-TODAY())))</f>
        <v/>
      </c>
    </row>
    <row r="625">
      <c r="A625" s="28">
        <f>ROW()-2</f>
        <v/>
      </c>
      <c r="B625" s="29" t="inlineStr">
        <is>
          <t>S5</t>
        </is>
      </c>
      <c r="C625" s="29" t="inlineStr">
        <is>
          <t>Radiologie - Imagerie médicale</t>
        </is>
      </c>
      <c r="D625" s="29" t="inlineStr">
        <is>
          <t>Imagerie digestive</t>
        </is>
      </c>
      <c r="E625" s="29" t="inlineStr">
        <is>
          <t>Sémiologie radiologique</t>
        </is>
      </c>
      <c r="F625" s="18" t="n"/>
      <c r="G625" s="19" t="n"/>
      <c r="H625" s="20">
        <f>IF($G625="",1,IF($G625=0,1,IF($G625=1,3,IF($G625=2,7,IF($G625=3,14,IF($G625=4,30,60))))))</f>
        <v/>
      </c>
      <c r="I625" s="21">
        <f>IF($F625="","",$F625+$H625)</f>
        <v/>
      </c>
      <c r="J625">
        <f>IF($F625="","⚪ NEW",IF($G625&gt;=5,"✅ DONE",IF($I625&lt;TODAY(),"🔴 OVERDUE",IF($I625=TODAY(),"🟢 TODAY",IF($I625=TODAY()+1,"🔵 TOMORROW",IF($I625&lt;=TODAY()+7,"📅 THIS WEEK","⏳ SCHEDULED"))))))</f>
        <v/>
      </c>
      <c r="K625" s="20">
        <f>IF($F625="",999,IF($G625&gt;=5,9999,IF($I625="",999,$I625-TODAY())))</f>
        <v/>
      </c>
    </row>
    <row r="626">
      <c r="A626" s="28">
        <f>ROW()-2</f>
        <v/>
      </c>
      <c r="B626" s="29" t="inlineStr">
        <is>
          <t>S5</t>
        </is>
      </c>
      <c r="C626" s="29" t="inlineStr">
        <is>
          <t>Radiologie - Imagerie médicale</t>
        </is>
      </c>
      <c r="D626" s="29" t="inlineStr">
        <is>
          <t>Imagerie digestive</t>
        </is>
      </c>
      <c r="E626" s="29" t="inlineStr">
        <is>
          <t>Imagerie du tube digestif 1 - techniques d'exploration et sémiologie élémentaire</t>
        </is>
      </c>
      <c r="F626" s="18" t="n"/>
      <c r="G626" s="19" t="n"/>
      <c r="H626" s="20">
        <f>IF($G626="",1,IF($G626=0,1,IF($G626=1,3,IF($G626=2,7,IF($G626=3,14,IF($G626=4,30,60))))))</f>
        <v/>
      </c>
      <c r="I626" s="21">
        <f>IF($F626="","",$F626+$H626)</f>
        <v/>
      </c>
      <c r="J626">
        <f>IF($F626="","⚪ NEW",IF($G626&gt;=5,"✅ DONE",IF($I626&lt;TODAY(),"🔴 OVERDUE",IF($I626=TODAY(),"🟢 TODAY",IF($I626=TODAY()+1,"🔵 TOMORROW",IF($I626&lt;=TODAY()+7,"📅 THIS WEEK","⏳ SCHEDULED"))))))</f>
        <v/>
      </c>
      <c r="K626" s="20">
        <f>IF($F626="",999,IF($G626&gt;=5,9999,IF($I626="",999,$I626-TODAY())))</f>
        <v/>
      </c>
    </row>
    <row r="627">
      <c r="A627" s="28">
        <f>ROW()-2</f>
        <v/>
      </c>
      <c r="B627" s="29" t="inlineStr">
        <is>
          <t>S5</t>
        </is>
      </c>
      <c r="C627" s="29" t="inlineStr">
        <is>
          <t>Radiologie - Imagerie médicale</t>
        </is>
      </c>
      <c r="D627" s="29" t="inlineStr">
        <is>
          <t>Imagerie digestive</t>
        </is>
      </c>
      <c r="E627" s="29" t="inlineStr">
        <is>
          <t>Imagerie du tube digestif 2</t>
        </is>
      </c>
      <c r="F627" s="18" t="n"/>
      <c r="G627" s="19" t="n"/>
      <c r="H627" s="20">
        <f>IF($G627="",1,IF($G627=0,1,IF($G627=1,3,IF($G627=2,7,IF($G627=3,14,IF($G627=4,30,60))))))</f>
        <v/>
      </c>
      <c r="I627" s="21">
        <f>IF($F627="","",$F627+$H627)</f>
        <v/>
      </c>
      <c r="J627">
        <f>IF($F627="","⚪ NEW",IF($G627&gt;=5,"✅ DONE",IF($I627&lt;TODAY(),"🔴 OVERDUE",IF($I627=TODAY(),"🟢 TODAY",IF($I627=TODAY()+1,"🔵 TOMORROW",IF($I627&lt;=TODAY()+7,"📅 THIS WEEK","⏳ SCHEDULED"))))))</f>
        <v/>
      </c>
      <c r="K627" s="20">
        <f>IF($F627="",999,IF($G627&gt;=5,9999,IF($I627="",999,$I627-TODAY())))</f>
        <v/>
      </c>
    </row>
    <row r="628">
      <c r="A628" s="28">
        <f>ROW()-2</f>
        <v/>
      </c>
      <c r="B628" s="29" t="inlineStr">
        <is>
          <t>S5</t>
        </is>
      </c>
      <c r="C628" s="29" t="inlineStr">
        <is>
          <t>Radiologie - Imagerie médicale</t>
        </is>
      </c>
      <c r="D628" s="29" t="inlineStr">
        <is>
          <t>Imagerie digestive</t>
        </is>
      </c>
      <c r="E628" s="29" t="inlineStr">
        <is>
          <t>Imagerie du foie</t>
        </is>
      </c>
      <c r="F628" s="18" t="n"/>
      <c r="G628" s="19" t="n"/>
      <c r="H628" s="20">
        <f>IF($G628="",1,IF($G628=0,1,IF($G628=1,3,IF($G628=2,7,IF($G628=3,14,IF($G628=4,30,60))))))</f>
        <v/>
      </c>
      <c r="I628" s="21">
        <f>IF($F628="","",$F628+$H628)</f>
        <v/>
      </c>
      <c r="J628">
        <f>IF($F628="","⚪ NEW",IF($G628&gt;=5,"✅ DONE",IF($I628&lt;TODAY(),"🔴 OVERDUE",IF($I628=TODAY(),"🟢 TODAY",IF($I628=TODAY()+1,"🔵 TOMORROW",IF($I628&lt;=TODAY()+7,"📅 THIS WEEK","⏳ SCHEDULED"))))))</f>
        <v/>
      </c>
      <c r="K628" s="20">
        <f>IF($F628="",999,IF($G628&gt;=5,9999,IF($I628="",999,$I628-TODAY())))</f>
        <v/>
      </c>
    </row>
    <row r="629">
      <c r="A629" s="28">
        <f>ROW()-2</f>
        <v/>
      </c>
      <c r="B629" s="29" t="inlineStr">
        <is>
          <t>S5</t>
        </is>
      </c>
      <c r="C629" s="29" t="inlineStr">
        <is>
          <t>Radiologie - Imagerie médicale</t>
        </is>
      </c>
      <c r="D629" s="29" t="inlineStr">
        <is>
          <t>Imagerie digestive</t>
        </is>
      </c>
      <c r="E629" s="29" t="inlineStr">
        <is>
          <t>Imagerie du pancréas</t>
        </is>
      </c>
      <c r="F629" s="18" t="n"/>
      <c r="G629" s="19" t="n"/>
      <c r="H629" s="20">
        <f>IF($G629="",1,IF($G629=0,1,IF($G629=1,3,IF($G629=2,7,IF($G629=3,14,IF($G629=4,30,60))))))</f>
        <v/>
      </c>
      <c r="I629" s="21">
        <f>IF($F629="","",$F629+$H629)</f>
        <v/>
      </c>
      <c r="J629">
        <f>IF($F629="","⚪ NEW",IF($G629&gt;=5,"✅ DONE",IF($I629&lt;TODAY(),"🔴 OVERDUE",IF($I629=TODAY(),"🟢 TODAY",IF($I629=TODAY()+1,"🔵 TOMORROW",IF($I629&lt;=TODAY()+7,"📅 THIS WEEK","⏳ SCHEDULED"))))))</f>
        <v/>
      </c>
      <c r="K629" s="20">
        <f>IF($F629="",999,IF($G629&gt;=5,9999,IF($I629="",999,$I629-TODAY())))</f>
        <v/>
      </c>
    </row>
    <row r="630">
      <c r="A630" s="28">
        <f>ROW()-2</f>
        <v/>
      </c>
      <c r="B630" s="29" t="inlineStr">
        <is>
          <t>S5</t>
        </is>
      </c>
      <c r="C630" s="29" t="inlineStr">
        <is>
          <t>Radiologie - Imagerie médicale</t>
        </is>
      </c>
      <c r="D630" s="29" t="inlineStr">
        <is>
          <t>Imagerie digestive</t>
        </is>
      </c>
      <c r="E630" s="29" t="inlineStr">
        <is>
          <t>Imagerie des voies biliaires</t>
        </is>
      </c>
      <c r="F630" s="18" t="n"/>
      <c r="G630" s="19" t="n"/>
      <c r="H630" s="20">
        <f>IF($G630="",1,IF($G630=0,1,IF($G630=1,3,IF($G630=2,7,IF($G630=3,14,IF($G630=4,30,60))))))</f>
        <v/>
      </c>
      <c r="I630" s="21">
        <f>IF($F630="","",$F630+$H630)</f>
        <v/>
      </c>
      <c r="J630">
        <f>IF($F630="","⚪ NEW",IF($G630&gt;=5,"✅ DONE",IF($I630&lt;TODAY(),"🔴 OVERDUE",IF($I630=TODAY(),"🟢 TODAY",IF($I630=TODAY()+1,"🔵 TOMORROW",IF($I630&lt;=TODAY()+7,"📅 THIS WEEK","⏳ SCHEDULED"))))))</f>
        <v/>
      </c>
      <c r="K630" s="20">
        <f>IF($F630="",999,IF($G630&gt;=5,9999,IF($I630="",999,$I630-TODAY())))</f>
        <v/>
      </c>
    </row>
    <row r="631">
      <c r="A631" s="28">
        <f>ROW()-2</f>
        <v/>
      </c>
      <c r="B631" s="29" t="inlineStr">
        <is>
          <t>S5</t>
        </is>
      </c>
      <c r="C631" s="29" t="inlineStr">
        <is>
          <t>Radiologie - Imagerie médicale</t>
        </is>
      </c>
      <c r="D631" s="29" t="inlineStr">
        <is>
          <t>Imagerie digestive</t>
        </is>
      </c>
      <c r="E631" s="29" t="inlineStr">
        <is>
          <t>Abdomen aigu</t>
        </is>
      </c>
      <c r="F631" s="18" t="n"/>
      <c r="G631" s="19" t="n"/>
      <c r="H631" s="20">
        <f>IF($G631="",1,IF($G631=0,1,IF($G631=1,3,IF($G631=2,7,IF($G631=3,14,IF($G631=4,30,60))))))</f>
        <v/>
      </c>
      <c r="I631" s="21">
        <f>IF($F631="","",$F631+$H631)</f>
        <v/>
      </c>
      <c r="J631">
        <f>IF($F631="","⚪ NEW",IF($G631&gt;=5,"✅ DONE",IF($I631&lt;TODAY(),"🔴 OVERDUE",IF($I631=TODAY(),"🟢 TODAY",IF($I631=TODAY()+1,"🔵 TOMORROW",IF($I631&lt;=TODAY()+7,"📅 THIS WEEK","⏳ SCHEDULED"))))))</f>
        <v/>
      </c>
      <c r="K631" s="20">
        <f>IF($F631="",999,IF($G631&gt;=5,9999,IF($I631="",999,$I631-TODAY())))</f>
        <v/>
      </c>
    </row>
    <row r="632">
      <c r="A632" s="28">
        <f>ROW()-2</f>
        <v/>
      </c>
      <c r="B632" s="29" t="inlineStr">
        <is>
          <t>S5</t>
        </is>
      </c>
      <c r="C632" s="29" t="inlineStr">
        <is>
          <t>Radiologie - Imagerie médicale</t>
        </is>
      </c>
      <c r="D632" s="29" t="inlineStr">
        <is>
          <t>Imagerie thoracique et cardiaque</t>
        </is>
      </c>
      <c r="E632" s="29" t="inlineStr">
        <is>
          <t>L'exploration radiologique du thorax</t>
        </is>
      </c>
      <c r="F632" s="18" t="n"/>
      <c r="G632" s="19" t="n"/>
      <c r="H632" s="20">
        <f>IF($G632="",1,IF($G632=0,1,IF($G632=1,3,IF($G632=2,7,IF($G632=3,14,IF($G632=4,30,60))))))</f>
        <v/>
      </c>
      <c r="I632" s="21">
        <f>IF($F632="","",$F632+$H632)</f>
        <v/>
      </c>
      <c r="J632">
        <f>IF($F632="","⚪ NEW",IF($G632&gt;=5,"✅ DONE",IF($I632&lt;TODAY(),"🔴 OVERDUE",IF($I632=TODAY(),"🟢 TODAY",IF($I632=TODAY()+1,"🔵 TOMORROW",IF($I632&lt;=TODAY()+7,"📅 THIS WEEK","⏳ SCHEDULED"))))))</f>
        <v/>
      </c>
      <c r="K632" s="20">
        <f>IF($F632="",999,IF($G632&gt;=5,9999,IF($I632="",999,$I632-TODAY())))</f>
        <v/>
      </c>
    </row>
    <row r="633">
      <c r="A633" s="28">
        <f>ROW()-2</f>
        <v/>
      </c>
      <c r="B633" s="29" t="inlineStr">
        <is>
          <t>S5</t>
        </is>
      </c>
      <c r="C633" s="29" t="inlineStr">
        <is>
          <t>Radiologie - Imagerie médicale</t>
        </is>
      </c>
      <c r="D633" s="29" t="inlineStr">
        <is>
          <t>Imagerie thoracique et cardiaque</t>
        </is>
      </c>
      <c r="E633" s="29" t="inlineStr">
        <is>
          <t>Syndrome alvéolaire et interstitiel</t>
        </is>
      </c>
      <c r="F633" s="18" t="n"/>
      <c r="G633" s="19" t="n"/>
      <c r="H633" s="20">
        <f>IF($G633="",1,IF($G633=0,1,IF($G633=1,3,IF($G633=2,7,IF($G633=3,14,IF($G633=4,30,60))))))</f>
        <v/>
      </c>
      <c r="I633" s="21">
        <f>IF($F633="","",$F633+$H633)</f>
        <v/>
      </c>
      <c r="J633">
        <f>IF($F633="","⚪ NEW",IF($G633&gt;=5,"✅ DONE",IF($I633&lt;TODAY(),"🔴 OVERDUE",IF($I633=TODAY(),"🟢 TODAY",IF($I633=TODAY()+1,"🔵 TOMORROW",IF($I633&lt;=TODAY()+7,"📅 THIS WEEK","⏳ SCHEDULED"))))))</f>
        <v/>
      </c>
      <c r="K633" s="20">
        <f>IF($F633="",999,IF($G633&gt;=5,9999,IF($I633="",999,$I633-TODAY())))</f>
        <v/>
      </c>
    </row>
    <row r="634">
      <c r="A634" s="28">
        <f>ROW()-2</f>
        <v/>
      </c>
      <c r="B634" s="29" t="inlineStr">
        <is>
          <t>S5</t>
        </is>
      </c>
      <c r="C634" s="29" t="inlineStr">
        <is>
          <t>Radiologie - Imagerie médicale</t>
        </is>
      </c>
      <c r="D634" s="29" t="inlineStr">
        <is>
          <t>Imagerie thoracique et cardiaque</t>
        </is>
      </c>
      <c r="E634" s="29" t="inlineStr">
        <is>
          <t>Syndrome bronchique et troubles de la ventilation</t>
        </is>
      </c>
      <c r="F634" s="18" t="n"/>
      <c r="G634" s="19" t="n"/>
      <c r="H634" s="20">
        <f>IF($G634="",1,IF($G634=0,1,IF($G634=1,3,IF($G634=2,7,IF($G634=3,14,IF($G634=4,30,60))))))</f>
        <v/>
      </c>
      <c r="I634" s="21">
        <f>IF($F634="","",$F634+$H634)</f>
        <v/>
      </c>
      <c r="J634">
        <f>IF($F634="","⚪ NEW",IF($G634&gt;=5,"✅ DONE",IF($I634&lt;TODAY(),"🔴 OVERDUE",IF($I634=TODAY(),"🟢 TODAY",IF($I634=TODAY()+1,"🔵 TOMORROW",IF($I634&lt;=TODAY()+7,"📅 THIS WEEK","⏳ SCHEDULED"))))))</f>
        <v/>
      </c>
      <c r="K634" s="20">
        <f>IF($F634="",999,IF($G634&gt;=5,9999,IF($I634="",999,$I634-TODAY())))</f>
        <v/>
      </c>
    </row>
    <row r="635">
      <c r="A635" s="28">
        <f>ROW()-2</f>
        <v/>
      </c>
      <c r="B635" s="29" t="inlineStr">
        <is>
          <t>S5</t>
        </is>
      </c>
      <c r="C635" s="29" t="inlineStr">
        <is>
          <t>Radiologie - Imagerie médicale</t>
        </is>
      </c>
      <c r="D635" s="29" t="inlineStr">
        <is>
          <t>Imagerie thoracique et cardiaque</t>
        </is>
      </c>
      <c r="E635" s="29" t="inlineStr">
        <is>
          <t>Syndrome pleural</t>
        </is>
      </c>
      <c r="F635" s="18" t="n"/>
      <c r="G635" s="19" t="n"/>
      <c r="H635" s="20">
        <f>IF($G635="",1,IF($G635=0,1,IF($G635=1,3,IF($G635=2,7,IF($G635=3,14,IF($G635=4,30,60))))))</f>
        <v/>
      </c>
      <c r="I635" s="21">
        <f>IF($F635="","",$F635+$H635)</f>
        <v/>
      </c>
      <c r="J635">
        <f>IF($F635="","⚪ NEW",IF($G635&gt;=5,"✅ DONE",IF($I635&lt;TODAY(),"🔴 OVERDUE",IF($I635=TODAY(),"🟢 TODAY",IF($I635=TODAY()+1,"🔵 TOMORROW",IF($I635&lt;=TODAY()+7,"📅 THIS WEEK","⏳ SCHEDULED"))))))</f>
        <v/>
      </c>
      <c r="K635" s="20">
        <f>IF($F635="",999,IF($G635&gt;=5,9999,IF($I635="",999,$I635-TODAY())))</f>
        <v/>
      </c>
    </row>
    <row r="636">
      <c r="A636" s="28">
        <f>ROW()-2</f>
        <v/>
      </c>
      <c r="B636" s="29" t="inlineStr">
        <is>
          <t>S5</t>
        </is>
      </c>
      <c r="C636" s="29" t="inlineStr">
        <is>
          <t>Radiologie - Imagerie médicale</t>
        </is>
      </c>
      <c r="D636" s="29" t="inlineStr">
        <is>
          <t>Imagerie thoracique et cardiaque</t>
        </is>
      </c>
      <c r="E636" s="29" t="inlineStr">
        <is>
          <t>Le médiastin normal et pathologique</t>
        </is>
      </c>
      <c r="F636" s="18" t="n"/>
      <c r="G636" s="19" t="n"/>
      <c r="H636" s="20">
        <f>IF($G636="",1,IF($G636=0,1,IF($G636=1,3,IF($G636=2,7,IF($G636=3,14,IF($G636=4,30,60))))))</f>
        <v/>
      </c>
      <c r="I636" s="21">
        <f>IF($F636="","",$F636+$H636)</f>
        <v/>
      </c>
      <c r="J636">
        <f>IF($F636="","⚪ NEW",IF($G636&gt;=5,"✅ DONE",IF($I636&lt;TODAY(),"🔴 OVERDUE",IF($I636=TODAY(),"🟢 TODAY",IF($I636=TODAY()+1,"🔵 TOMORROW",IF($I636&lt;=TODAY()+7,"📅 THIS WEEK","⏳ SCHEDULED"))))))</f>
        <v/>
      </c>
      <c r="K636" s="20">
        <f>IF($F636="",999,IF($G636&gt;=5,9999,IF($I636="",999,$I636-TODAY())))</f>
        <v/>
      </c>
    </row>
    <row r="637">
      <c r="A637" s="28">
        <f>ROW()-2</f>
        <v/>
      </c>
      <c r="B637" s="29" t="inlineStr">
        <is>
          <t>S5</t>
        </is>
      </c>
      <c r="C637" s="29" t="inlineStr">
        <is>
          <t>Radiologie - Imagerie médicale</t>
        </is>
      </c>
      <c r="D637" s="29" t="inlineStr">
        <is>
          <t>Imagerie thoracique et cardiaque</t>
        </is>
      </c>
      <c r="E637" s="29" t="inlineStr">
        <is>
          <t>Imagerie des infections pulmonaires</t>
        </is>
      </c>
      <c r="F637" s="18" t="n"/>
      <c r="G637" s="19" t="n"/>
      <c r="H637" s="20">
        <f>IF($G637="",1,IF($G637=0,1,IF($G637=1,3,IF($G637=2,7,IF($G637=3,14,IF($G637=4,30,60))))))</f>
        <v/>
      </c>
      <c r="I637" s="21">
        <f>IF($F637="","",$F637+$H637)</f>
        <v/>
      </c>
      <c r="J637">
        <f>IF($F637="","⚪ NEW",IF($G637&gt;=5,"✅ DONE",IF($I637&lt;TODAY(),"🔴 OVERDUE",IF($I637=TODAY(),"🟢 TODAY",IF($I637=TODAY()+1,"🔵 TOMORROW",IF($I637&lt;=TODAY()+7,"📅 THIS WEEK","⏳ SCHEDULED"))))))</f>
        <v/>
      </c>
      <c r="K637" s="20">
        <f>IF($F637="",999,IF($G637&gt;=5,9999,IF($I637="",999,$I637-TODAY())))</f>
        <v/>
      </c>
    </row>
    <row r="638">
      <c r="A638" s="28">
        <f>ROW()-2</f>
        <v/>
      </c>
      <c r="B638" s="29" t="inlineStr">
        <is>
          <t>S5</t>
        </is>
      </c>
      <c r="C638" s="29" t="inlineStr">
        <is>
          <t>Radiologie - Imagerie médicale</t>
        </is>
      </c>
      <c r="D638" s="29" t="inlineStr">
        <is>
          <t>Imagerie thoracique et cardiaque</t>
        </is>
      </c>
      <c r="E638" s="29" t="inlineStr">
        <is>
          <t>Imagerie des tumeurs malignes broncho-pulmonaires</t>
        </is>
      </c>
      <c r="F638" s="18" t="n"/>
      <c r="G638" s="19" t="n"/>
      <c r="H638" s="20">
        <f>IF($G638="",1,IF($G638=0,1,IF($G638=1,3,IF($G638=2,7,IF($G638=3,14,IF($G638=4,30,60))))))</f>
        <v/>
      </c>
      <c r="I638" s="21">
        <f>IF($F638="","",$F638+$H638)</f>
        <v/>
      </c>
      <c r="J638">
        <f>IF($F638="","⚪ NEW",IF($G638&gt;=5,"✅ DONE",IF($I638&lt;TODAY(),"🔴 OVERDUE",IF($I638=TODAY(),"🟢 TODAY",IF($I638=TODAY()+1,"🔵 TOMORROW",IF($I638&lt;=TODAY()+7,"📅 THIS WEEK","⏳ SCHEDULED"))))))</f>
        <v/>
      </c>
      <c r="K638" s="20">
        <f>IF($F638="",999,IF($G638&gt;=5,9999,IF($I638="",999,$I638-TODAY())))</f>
        <v/>
      </c>
    </row>
    <row r="639">
      <c r="A639" s="28">
        <f>ROW()-2</f>
        <v/>
      </c>
      <c r="B639" s="29" t="inlineStr">
        <is>
          <t>S5</t>
        </is>
      </c>
      <c r="C639" s="29" t="inlineStr">
        <is>
          <t>Radiologie - Imagerie médicale</t>
        </is>
      </c>
      <c r="D639" s="29" t="inlineStr">
        <is>
          <t>Imagerie thoracique et cardiaque</t>
        </is>
      </c>
      <c r="E639" s="29" t="inlineStr">
        <is>
          <t>Moyens de l'exploration radiologique du cœur</t>
        </is>
      </c>
      <c r="F639" s="18" t="n"/>
      <c r="G639" s="19" t="n"/>
      <c r="H639" s="20">
        <f>IF($G639="",1,IF($G639=0,1,IF($G639=1,3,IF($G639=2,7,IF($G639=3,14,IF($G639=4,30,60))))))</f>
        <v/>
      </c>
      <c r="I639" s="21">
        <f>IF($F639="","",$F639+$H639)</f>
        <v/>
      </c>
      <c r="J639">
        <f>IF($F639="","⚪ NEW",IF($G639&gt;=5,"✅ DONE",IF($I639&lt;TODAY(),"🔴 OVERDUE",IF($I639=TODAY(),"🟢 TODAY",IF($I639=TODAY()+1,"🔵 TOMORROW",IF($I639&lt;=TODAY()+7,"📅 THIS WEEK","⏳ SCHEDULED"))))))</f>
        <v/>
      </c>
      <c r="K639" s="20">
        <f>IF($F639="",999,IF($G639&gt;=5,9999,IF($I639="",999,$I639-TODAY())))</f>
        <v/>
      </c>
    </row>
    <row r="640">
      <c r="A640" s="28">
        <f>ROW()-2</f>
        <v/>
      </c>
      <c r="B640" s="29" t="inlineStr">
        <is>
          <t>S5</t>
        </is>
      </c>
      <c r="C640" s="29" t="inlineStr">
        <is>
          <t>Radiologie - Imagerie médicale</t>
        </is>
      </c>
      <c r="D640" s="29" t="inlineStr">
        <is>
          <t>Imagerie thoracique et cardiaque</t>
        </is>
      </c>
      <c r="E640" s="29" t="inlineStr">
        <is>
          <t>Radiologie interventionnelle</t>
        </is>
      </c>
      <c r="F640" s="18" t="n"/>
      <c r="G640" s="19" t="n"/>
      <c r="H640" s="20">
        <f>IF($G640="",1,IF($G640=0,1,IF($G640=1,3,IF($G640=2,7,IF($G640=3,14,IF($G640=4,30,60))))))</f>
        <v/>
      </c>
      <c r="I640" s="21">
        <f>IF($F640="","",$F640+$H640)</f>
        <v/>
      </c>
      <c r="J640">
        <f>IF($F640="","⚪ NEW",IF($G640&gt;=5,"✅ DONE",IF($I640&lt;TODAY(),"🔴 OVERDUE",IF($I640=TODAY(),"🟢 TODAY",IF($I640=TODAY()+1,"🔵 TOMORROW",IF($I640&lt;=TODAY()+7,"📅 THIS WEEK","⏳ SCHEDULED"))))))</f>
        <v/>
      </c>
      <c r="K640" s="20">
        <f>IF($F640="",999,IF($G640&gt;=5,9999,IF($I640="",999,$I640-TODAY())))</f>
        <v/>
      </c>
    </row>
    <row r="641">
      <c r="A641" s="28">
        <f>ROW()-2</f>
        <v/>
      </c>
      <c r="B641" s="29" t="inlineStr">
        <is>
          <t>S5</t>
        </is>
      </c>
      <c r="C641" s="29" t="inlineStr">
        <is>
          <t>Radiologie - Imagerie médicale</t>
        </is>
      </c>
      <c r="D641" s="29" t="inlineStr">
        <is>
          <t>Imagerie ostéo-articulaire</t>
        </is>
      </c>
      <c r="E641" s="29" t="inlineStr">
        <is>
          <t>Approche diagnostique d'une lésion osseuse</t>
        </is>
      </c>
      <c r="F641" s="18" t="n"/>
      <c r="G641" s="19" t="n"/>
      <c r="H641" s="20">
        <f>IF($G641="",1,IF($G641=0,1,IF($G641=1,3,IF($G641=2,7,IF($G641=3,14,IF($G641=4,30,60))))))</f>
        <v/>
      </c>
      <c r="I641" s="21">
        <f>IF($F641="","",$F641+$H641)</f>
        <v/>
      </c>
      <c r="J641">
        <f>IF($F641="","⚪ NEW",IF($G641&gt;=5,"✅ DONE",IF($I641&lt;TODAY(),"🔴 OVERDUE",IF($I641=TODAY(),"🟢 TODAY",IF($I641=TODAY()+1,"🔵 TOMORROW",IF($I641&lt;=TODAY()+7,"📅 THIS WEEK","⏳ SCHEDULED"))))))</f>
        <v/>
      </c>
      <c r="K641" s="20">
        <f>IF($F641="",999,IF($G641&gt;=5,9999,IF($I641="",999,$I641-TODAY())))</f>
        <v/>
      </c>
    </row>
    <row r="642">
      <c r="A642" s="28">
        <f>ROW()-2</f>
        <v/>
      </c>
      <c r="B642" s="29" t="inlineStr">
        <is>
          <t>S5</t>
        </is>
      </c>
      <c r="C642" s="29" t="inlineStr">
        <is>
          <t>Radiologie - Imagerie médicale</t>
        </is>
      </c>
      <c r="D642" s="29" t="inlineStr">
        <is>
          <t>Imagerie ostéo-articulaire</t>
        </is>
      </c>
      <c r="E642" s="29" t="inlineStr">
        <is>
          <t>Les tumeurs osseuses malignes</t>
        </is>
      </c>
      <c r="F642" s="18" t="n"/>
      <c r="G642" s="19" t="n"/>
      <c r="H642" s="20">
        <f>IF($G642="",1,IF($G642=0,1,IF($G642=1,3,IF($G642=2,7,IF($G642=3,14,IF($G642=4,30,60))))))</f>
        <v/>
      </c>
      <c r="I642" s="21">
        <f>IF($F642="","",$F642+$H642)</f>
        <v/>
      </c>
      <c r="J642">
        <f>IF($F642="","⚪ NEW",IF($G642&gt;=5,"✅ DONE",IF($I642&lt;TODAY(),"🔴 OVERDUE",IF($I642=TODAY(),"🟢 TODAY",IF($I642=TODAY()+1,"🔵 TOMORROW",IF($I642&lt;=TODAY()+7,"📅 THIS WEEK","⏳ SCHEDULED"))))))</f>
        <v/>
      </c>
      <c r="K642" s="20">
        <f>IF($F642="",999,IF($G642&gt;=5,9999,IF($I642="",999,$I642-TODAY())))</f>
        <v/>
      </c>
    </row>
    <row r="643">
      <c r="A643" s="28">
        <f>ROW()-2</f>
        <v/>
      </c>
      <c r="B643" s="29" t="inlineStr">
        <is>
          <t>S5</t>
        </is>
      </c>
      <c r="C643" s="29" t="inlineStr">
        <is>
          <t>Radiologie - Imagerie médicale</t>
        </is>
      </c>
      <c r="D643" s="29" t="inlineStr">
        <is>
          <t>Imagerie ostéo-articulaire</t>
        </is>
      </c>
      <c r="E643" s="29" t="inlineStr">
        <is>
          <t>Les tumeurs osseuses bénignes</t>
        </is>
      </c>
      <c r="F643" s="18" t="n"/>
      <c r="G643" s="19" t="n"/>
      <c r="H643" s="20">
        <f>IF($G643="",1,IF($G643=0,1,IF($G643=1,3,IF($G643=2,7,IF($G643=3,14,IF($G643=4,30,60))))))</f>
        <v/>
      </c>
      <c r="I643" s="21">
        <f>IF($F643="","",$F643+$H643)</f>
        <v/>
      </c>
      <c r="J643">
        <f>IF($F643="","⚪ NEW",IF($G643&gt;=5,"✅ DONE",IF($I643&lt;TODAY(),"🔴 OVERDUE",IF($I643=TODAY(),"🟢 TODAY",IF($I643=TODAY()+1,"🔵 TOMORROW",IF($I643&lt;=TODAY()+7,"📅 THIS WEEK","⏳ SCHEDULED"))))))</f>
        <v/>
      </c>
      <c r="K643" s="20">
        <f>IF($F643="",999,IF($G643&gt;=5,9999,IF($I643="",999,$I643-TODAY())))</f>
        <v/>
      </c>
    </row>
    <row r="644">
      <c r="A644" s="28">
        <f>ROW()-2</f>
        <v/>
      </c>
      <c r="B644" s="29" t="inlineStr">
        <is>
          <t>S5</t>
        </is>
      </c>
      <c r="C644" s="29" t="inlineStr">
        <is>
          <t>Radiologie - Imagerie médicale</t>
        </is>
      </c>
      <c r="D644" s="29" t="inlineStr">
        <is>
          <t>Imagerie ostéo-articulaire</t>
        </is>
      </c>
      <c r="E644" s="29" t="inlineStr">
        <is>
          <t>Les ostéoarthrites 1 - ostéomyélites et ostéites</t>
        </is>
      </c>
      <c r="F644" s="18" t="n"/>
      <c r="G644" s="19" t="n"/>
      <c r="H644" s="20">
        <f>IF($G644="",1,IF($G644=0,1,IF($G644=1,3,IF($G644=2,7,IF($G644=3,14,IF($G644=4,30,60))))))</f>
        <v/>
      </c>
      <c r="I644" s="21">
        <f>IF($F644="","",$F644+$H644)</f>
        <v/>
      </c>
      <c r="J644">
        <f>IF($F644="","⚪ NEW",IF($G644&gt;=5,"✅ DONE",IF($I644&lt;TODAY(),"🔴 OVERDUE",IF($I644=TODAY(),"🟢 TODAY",IF($I644=TODAY()+1,"🔵 TOMORROW",IF($I644&lt;=TODAY()+7,"📅 THIS WEEK","⏳ SCHEDULED"))))))</f>
        <v/>
      </c>
      <c r="K644" s="20">
        <f>IF($F644="",999,IF($G644&gt;=5,9999,IF($I644="",999,$I644-TODAY())))</f>
        <v/>
      </c>
    </row>
    <row r="645">
      <c r="A645" s="28">
        <f>ROW()-2</f>
        <v/>
      </c>
      <c r="B645" s="29" t="inlineStr">
        <is>
          <t>S5</t>
        </is>
      </c>
      <c r="C645" s="29" t="inlineStr">
        <is>
          <t>Radiologie - Imagerie médicale</t>
        </is>
      </c>
      <c r="D645" s="29" t="inlineStr">
        <is>
          <t>Imagerie ostéo-articulaire</t>
        </is>
      </c>
      <c r="E645" s="29" t="inlineStr">
        <is>
          <t>Les ostéoarthrites 2 - spondylodiscites</t>
        </is>
      </c>
      <c r="F645" s="18" t="n"/>
      <c r="G645" s="19" t="n"/>
      <c r="H645" s="20">
        <f>IF($G645="",1,IF($G645=0,1,IF($G645=1,3,IF($G645=2,7,IF($G645=3,14,IF($G645=4,30,60))))))</f>
        <v/>
      </c>
      <c r="I645" s="21">
        <f>IF($F645="","",$F645+$H645)</f>
        <v/>
      </c>
      <c r="J645">
        <f>IF($F645="","⚪ NEW",IF($G645&gt;=5,"✅ DONE",IF($I645&lt;TODAY(),"🔴 OVERDUE",IF($I645=TODAY(),"🟢 TODAY",IF($I645=TODAY()+1,"🔵 TOMORROW",IF($I645&lt;=TODAY()+7,"📅 THIS WEEK","⏳ SCHEDULED"))))))</f>
        <v/>
      </c>
      <c r="K645" s="20">
        <f>IF($F645="",999,IF($G645&gt;=5,9999,IF($I645="",999,$I645-TODAY())))</f>
        <v/>
      </c>
    </row>
    <row r="646">
      <c r="A646" s="28">
        <f>ROW()-2</f>
        <v/>
      </c>
      <c r="B646" s="29" t="inlineStr">
        <is>
          <t>S5</t>
        </is>
      </c>
      <c r="C646" s="29" t="inlineStr">
        <is>
          <t>Radiologie - Imagerie médicale</t>
        </is>
      </c>
      <c r="D646" s="29" t="inlineStr">
        <is>
          <t>Imagerie ostéo-articulaire</t>
        </is>
      </c>
      <c r="E646" s="29" t="inlineStr">
        <is>
          <t>Exploration radiologique de l'arthrose</t>
        </is>
      </c>
      <c r="F646" s="18" t="n"/>
      <c r="G646" s="19" t="n"/>
      <c r="H646" s="20">
        <f>IF($G646="",1,IF($G646=0,1,IF($G646=1,3,IF($G646=2,7,IF($G646=3,14,IF($G646=4,30,60))))))</f>
        <v/>
      </c>
      <c r="I646" s="21">
        <f>IF($F646="","",$F646+$H646)</f>
        <v/>
      </c>
      <c r="J646">
        <f>IF($F646="","⚪ NEW",IF($G646&gt;=5,"✅ DONE",IF($I646&lt;TODAY(),"🔴 OVERDUE",IF($I646=TODAY(),"🟢 TODAY",IF($I646=TODAY()+1,"🔵 TOMORROW",IF($I646&lt;=TODAY()+7,"📅 THIS WEEK","⏳ SCHEDULED"))))))</f>
        <v/>
      </c>
      <c r="K646" s="20">
        <f>IF($F646="",999,IF($G646&gt;=5,9999,IF($I646="",999,$I646-TODAY())))</f>
        <v/>
      </c>
    </row>
    <row r="647">
      <c r="A647" s="28">
        <f>ROW()-2</f>
        <v/>
      </c>
      <c r="B647" s="29" t="inlineStr">
        <is>
          <t>S5</t>
        </is>
      </c>
      <c r="C647" s="29" t="inlineStr">
        <is>
          <t>Radiologie - Imagerie médicale</t>
        </is>
      </c>
      <c r="D647" s="29" t="inlineStr">
        <is>
          <t>Imagerie ostéo-articulaire</t>
        </is>
      </c>
      <c r="E647" s="29" t="inlineStr">
        <is>
          <t>Exploration radiologique du rachis</t>
        </is>
      </c>
      <c r="F647" s="18" t="n"/>
      <c r="G647" s="19" t="n"/>
      <c r="H647" s="20">
        <f>IF($G647="",1,IF($G647=0,1,IF($G647=1,3,IF($G647=2,7,IF($G647=3,14,IF($G647=4,30,60))))))</f>
        <v/>
      </c>
      <c r="I647" s="21">
        <f>IF($F647="","",$F647+$H647)</f>
        <v/>
      </c>
      <c r="J647">
        <f>IF($F647="","⚪ NEW",IF($G647&gt;=5,"✅ DONE",IF($I647&lt;TODAY(),"🔴 OVERDUE",IF($I647=TODAY(),"🟢 TODAY",IF($I647=TODAY()+1,"🔵 TOMORROW",IF($I647&lt;=TODAY()+7,"📅 THIS WEEK","⏳ SCHEDULED"))))))</f>
        <v/>
      </c>
      <c r="K647" s="20">
        <f>IF($F647="",999,IF($G647&gt;=5,9999,IF($I647="",999,$I647-TODAY())))</f>
        <v/>
      </c>
    </row>
    <row r="648">
      <c r="A648" s="28">
        <f>ROW()-2</f>
        <v/>
      </c>
      <c r="B648" s="29" t="inlineStr">
        <is>
          <t>S5</t>
        </is>
      </c>
      <c r="C648" s="29" t="inlineStr">
        <is>
          <t>Radiologie - Imagerie médicale</t>
        </is>
      </c>
      <c r="D648" s="29" t="inlineStr">
        <is>
          <t>Imagerie uro-génitale et pelvienne</t>
        </is>
      </c>
      <c r="E648" s="29" t="inlineStr">
        <is>
          <t>Exploration radiologique de l'appareil urinaire</t>
        </is>
      </c>
      <c r="F648" s="18" t="n"/>
      <c r="G648" s="19" t="n"/>
      <c r="H648" s="20">
        <f>IF($G648="",1,IF($G648=0,1,IF($G648=1,3,IF($G648=2,7,IF($G648=3,14,IF($G648=4,30,60))))))</f>
        <v/>
      </c>
      <c r="I648" s="21">
        <f>IF($F648="","",$F648+$H648)</f>
        <v/>
      </c>
      <c r="J648">
        <f>IF($F648="","⚪ NEW",IF($G648&gt;=5,"✅ DONE",IF($I648&lt;TODAY(),"🔴 OVERDUE",IF($I648=TODAY(),"🟢 TODAY",IF($I648=TODAY()+1,"🔵 TOMORROW",IF($I648&lt;=TODAY()+7,"📅 THIS WEEK","⏳ SCHEDULED"))))))</f>
        <v/>
      </c>
      <c r="K648" s="20">
        <f>IF($F648="",999,IF($G648&gt;=5,9999,IF($I648="",999,$I648-TODAY())))</f>
        <v/>
      </c>
    </row>
    <row r="649">
      <c r="A649" s="28">
        <f>ROW()-2</f>
        <v/>
      </c>
      <c r="B649" s="29" t="inlineStr">
        <is>
          <t>S5</t>
        </is>
      </c>
      <c r="C649" s="29" t="inlineStr">
        <is>
          <t>Radiologie - Imagerie médicale</t>
        </is>
      </c>
      <c r="D649" s="29" t="inlineStr">
        <is>
          <t>Imagerie uro-génitale et pelvienne</t>
        </is>
      </c>
      <c r="E649" s="29" t="inlineStr">
        <is>
          <t>Syndrome obstructif des voies urinaires</t>
        </is>
      </c>
      <c r="F649" s="18" t="n"/>
      <c r="G649" s="19" t="n"/>
      <c r="H649" s="20">
        <f>IF($G649="",1,IF($G649=0,1,IF($G649=1,3,IF($G649=2,7,IF($G649=3,14,IF($G649=4,30,60))))))</f>
        <v/>
      </c>
      <c r="I649" s="21">
        <f>IF($F649="","",$F649+$H649)</f>
        <v/>
      </c>
      <c r="J649">
        <f>IF($F649="","⚪ NEW",IF($G649&gt;=5,"✅ DONE",IF($I649&lt;TODAY(),"🔴 OVERDUE",IF($I649=TODAY(),"🟢 TODAY",IF($I649=TODAY()+1,"🔵 TOMORROW",IF($I649&lt;=TODAY()+7,"📅 THIS WEEK","⏳ SCHEDULED"))))))</f>
        <v/>
      </c>
      <c r="K649" s="20">
        <f>IF($F649="",999,IF($G649&gt;=5,9999,IF($I649="",999,$I649-TODAY())))</f>
        <v/>
      </c>
    </row>
    <row r="650">
      <c r="A650" s="28">
        <f>ROW()-2</f>
        <v/>
      </c>
      <c r="B650" s="29" t="inlineStr">
        <is>
          <t>S5</t>
        </is>
      </c>
      <c r="C650" s="29" t="inlineStr">
        <is>
          <t>Radiologie - Imagerie médicale</t>
        </is>
      </c>
      <c r="D650" s="29" t="inlineStr">
        <is>
          <t>Imagerie uro-génitale et pelvienne</t>
        </is>
      </c>
      <c r="E650" s="29" t="inlineStr">
        <is>
          <t>Syndrome de masse rénale</t>
        </is>
      </c>
      <c r="F650" s="18" t="n"/>
      <c r="G650" s="19" t="n"/>
      <c r="H650" s="20">
        <f>IF($G650="",1,IF($G650=0,1,IF($G650=1,3,IF($G650=2,7,IF($G650=3,14,IF($G650=4,30,60))))))</f>
        <v/>
      </c>
      <c r="I650" s="21">
        <f>IF($F650="","",$F650+$H650)</f>
        <v/>
      </c>
      <c r="J650">
        <f>IF($F650="","⚪ NEW",IF($G650&gt;=5,"✅ DONE",IF($I650&lt;TODAY(),"🔴 OVERDUE",IF($I650=TODAY(),"🟢 TODAY",IF($I650=TODAY()+1,"🔵 TOMORROW",IF($I650&lt;=TODAY()+7,"📅 THIS WEEK","⏳ SCHEDULED"))))))</f>
        <v/>
      </c>
      <c r="K650" s="20">
        <f>IF($F650="",999,IF($G650&gt;=5,9999,IF($I650="",999,$I650-TODAY())))</f>
        <v/>
      </c>
    </row>
    <row r="651">
      <c r="A651" s="28">
        <f>ROW()-2</f>
        <v/>
      </c>
      <c r="B651" s="29" t="inlineStr">
        <is>
          <t>S5</t>
        </is>
      </c>
      <c r="C651" s="29" t="inlineStr">
        <is>
          <t>Radiologie - Imagerie médicale</t>
        </is>
      </c>
      <c r="D651" s="29" t="inlineStr">
        <is>
          <t>Imagerie uro-génitale et pelvienne</t>
        </is>
      </c>
      <c r="E651" s="29" t="inlineStr">
        <is>
          <t>Exploration radiologique du pelvis féminin</t>
        </is>
      </c>
      <c r="F651" s="18" t="n"/>
      <c r="G651" s="19" t="n"/>
      <c r="H651" s="20">
        <f>IF($G651="",1,IF($G651=0,1,IF($G651=1,3,IF($G651=2,7,IF($G651=3,14,IF($G651=4,30,60))))))</f>
        <v/>
      </c>
      <c r="I651" s="21">
        <f>IF($F651="","",$F651+$H651)</f>
        <v/>
      </c>
      <c r="J651">
        <f>IF($F651="","⚪ NEW",IF($G651&gt;=5,"✅ DONE",IF($I651&lt;TODAY(),"🔴 OVERDUE",IF($I651=TODAY(),"🟢 TODAY",IF($I651=TODAY()+1,"🔵 TOMORROW",IF($I651&lt;=TODAY()+7,"📅 THIS WEEK","⏳ SCHEDULED"))))))</f>
        <v/>
      </c>
      <c r="K651" s="20">
        <f>IF($F651="",999,IF($G651&gt;=5,9999,IF($I651="",999,$I651-TODAY())))</f>
        <v/>
      </c>
    </row>
    <row r="652">
      <c r="A652" s="28">
        <f>ROW()-2</f>
        <v/>
      </c>
      <c r="B652" s="29" t="inlineStr">
        <is>
          <t>S5</t>
        </is>
      </c>
      <c r="C652" s="29" t="inlineStr">
        <is>
          <t>Radiologie - Imagerie médicale</t>
        </is>
      </c>
      <c r="D652" s="29" t="inlineStr">
        <is>
          <t>Imagerie uro-génitale et pelvienne</t>
        </is>
      </c>
      <c r="E652" s="29" t="inlineStr">
        <is>
          <t>Exploration radiologique d'une masse pelvienne</t>
        </is>
      </c>
      <c r="F652" s="18" t="n"/>
      <c r="G652" s="19" t="n"/>
      <c r="H652" s="20">
        <f>IF($G652="",1,IF($G652=0,1,IF($G652=1,3,IF($G652=2,7,IF($G652=3,14,IF($G652=4,30,60))))))</f>
        <v/>
      </c>
      <c r="I652" s="21">
        <f>IF($F652="","",$F652+$H652)</f>
        <v/>
      </c>
      <c r="J652">
        <f>IF($F652="","⚪ NEW",IF($G652&gt;=5,"✅ DONE",IF($I652&lt;TODAY(),"🔴 OVERDUE",IF($I652=TODAY(),"🟢 TODAY",IF($I652=TODAY()+1,"🔵 TOMORROW",IF($I652&lt;=TODAY()+7,"📅 THIS WEEK","⏳ SCHEDULED"))))))</f>
        <v/>
      </c>
      <c r="K652" s="20">
        <f>IF($F652="",999,IF($G652&gt;=5,9999,IF($I652="",999,$I652-TODAY())))</f>
        <v/>
      </c>
    </row>
    <row r="653">
      <c r="A653" s="28">
        <f>ROW()-2</f>
        <v/>
      </c>
      <c r="B653" s="29" t="inlineStr">
        <is>
          <t>S5</t>
        </is>
      </c>
      <c r="C653" s="29" t="inlineStr">
        <is>
          <t>Radiologie - Imagerie médicale</t>
        </is>
      </c>
      <c r="D653" s="29" t="inlineStr">
        <is>
          <t>Imagerie uro-génitale et pelvienne</t>
        </is>
      </c>
      <c r="E653" s="29" t="inlineStr">
        <is>
          <t>Exploration radiologique du sein</t>
        </is>
      </c>
      <c r="F653" s="18" t="n"/>
      <c r="G653" s="19" t="n"/>
      <c r="H653" s="20">
        <f>IF($G653="",1,IF($G653=0,1,IF($G653=1,3,IF($G653=2,7,IF($G653=3,14,IF($G653=4,30,60))))))</f>
        <v/>
      </c>
      <c r="I653" s="21">
        <f>IF($F653="","",$F653+$H653)</f>
        <v/>
      </c>
      <c r="J653">
        <f>IF($F653="","⚪ NEW",IF($G653&gt;=5,"✅ DONE",IF($I653&lt;TODAY(),"🔴 OVERDUE",IF($I653=TODAY(),"🟢 TODAY",IF($I653=TODAY()+1,"🔵 TOMORROW",IF($I653&lt;=TODAY()+7,"📅 THIS WEEK","⏳ SCHEDULED"))))))</f>
        <v/>
      </c>
      <c r="K653" s="20">
        <f>IF($F653="",999,IF($G653&gt;=5,9999,IF($I653="",999,$I653-TODAY())))</f>
        <v/>
      </c>
    </row>
    <row r="654">
      <c r="A654" s="28">
        <f>ROW()-2</f>
        <v/>
      </c>
      <c r="B654" s="29" t="inlineStr">
        <is>
          <t>S5</t>
        </is>
      </c>
      <c r="C654" s="29" t="inlineStr">
        <is>
          <t>Radiologie - Imagerie médicale</t>
        </is>
      </c>
      <c r="D654" s="29" t="inlineStr">
        <is>
          <t>Imagerie uro-génitale et pelvienne</t>
        </is>
      </c>
      <c r="E654" s="29" t="inlineStr">
        <is>
          <t>Exploration radiologique du nodule du sein</t>
        </is>
      </c>
      <c r="F654" s="18" t="n"/>
      <c r="G654" s="19" t="n"/>
      <c r="H654" s="20">
        <f>IF($G654="",1,IF($G654=0,1,IF($G654=1,3,IF($G654=2,7,IF($G654=3,14,IF($G654=4,30,60))))))</f>
        <v/>
      </c>
      <c r="I654" s="21">
        <f>IF($F654="","",$F654+$H654)</f>
        <v/>
      </c>
      <c r="J654">
        <f>IF($F654="","⚪ NEW",IF($G654&gt;=5,"✅ DONE",IF($I654&lt;TODAY(),"🔴 OVERDUE",IF($I654=TODAY(),"🟢 TODAY",IF($I654=TODAY()+1,"🔵 TOMORROW",IF($I654&lt;=TODAY()+7,"📅 THIS WEEK","⏳ SCHEDULED"))))))</f>
        <v/>
      </c>
      <c r="K654" s="20">
        <f>IF($F654="",999,IF($G654&gt;=5,9999,IF($I654="",999,$I654-TODAY())))</f>
        <v/>
      </c>
    </row>
    <row r="655">
      <c r="A655" s="28">
        <f>ROW()-2</f>
        <v/>
      </c>
      <c r="B655" s="29" t="inlineStr">
        <is>
          <t>S5</t>
        </is>
      </c>
      <c r="C655" s="29" t="inlineStr">
        <is>
          <t>Radiologie - Imagerie médicale</t>
        </is>
      </c>
      <c r="D655" s="29" t="inlineStr">
        <is>
          <t>Imagerie pédiatrique</t>
        </is>
      </c>
      <c r="E655" s="29" t="inlineStr">
        <is>
          <t>Imagerie pédiatrique - généralités</t>
        </is>
      </c>
      <c r="F655" s="18" t="n"/>
      <c r="G655" s="19" t="n"/>
      <c r="H655" s="20">
        <f>IF($G655="",1,IF($G655=0,1,IF($G655=1,3,IF($G655=2,7,IF($G655=3,14,IF($G655=4,30,60))))))</f>
        <v/>
      </c>
      <c r="I655" s="21">
        <f>IF($F655="","",$F655+$H655)</f>
        <v/>
      </c>
      <c r="J655">
        <f>IF($F655="","⚪ NEW",IF($G655&gt;=5,"✅ DONE",IF($I655&lt;TODAY(),"🔴 OVERDUE",IF($I655=TODAY(),"🟢 TODAY",IF($I655=TODAY()+1,"🔵 TOMORROW",IF($I655&lt;=TODAY()+7,"📅 THIS WEEK","⏳ SCHEDULED"))))))</f>
        <v/>
      </c>
      <c r="K655" s="20">
        <f>IF($F655="",999,IF($G655&gt;=5,9999,IF($I655="",999,$I655-TODAY())))</f>
        <v/>
      </c>
    </row>
    <row r="656">
      <c r="A656" s="28">
        <f>ROW()-2</f>
        <v/>
      </c>
      <c r="B656" s="29" t="inlineStr">
        <is>
          <t>S5</t>
        </is>
      </c>
      <c r="C656" s="29" t="inlineStr">
        <is>
          <t>Radiologie - Imagerie médicale</t>
        </is>
      </c>
      <c r="D656" s="29" t="inlineStr">
        <is>
          <t>Imagerie pédiatrique</t>
        </is>
      </c>
      <c r="E656" s="29" t="inlineStr">
        <is>
          <t>Imagerie pédiatrique - applications</t>
        </is>
      </c>
      <c r="F656" s="18" t="n"/>
      <c r="G656" s="19" t="n"/>
      <c r="H656" s="20">
        <f>IF($G656="",1,IF($G656=0,1,IF($G656=1,3,IF($G656=2,7,IF($G656=3,14,IF($G656=4,30,60))))))</f>
        <v/>
      </c>
      <c r="I656" s="21">
        <f>IF($F656="","",$F656+$H656)</f>
        <v/>
      </c>
      <c r="J656">
        <f>IF($F656="","⚪ NEW",IF($G656&gt;=5,"✅ DONE",IF($I656&lt;TODAY(),"🔴 OVERDUE",IF($I656=TODAY(),"🟢 TODAY",IF($I656=TODAY()+1,"🔵 TOMORROW",IF($I656&lt;=TODAY()+7,"📅 THIS WEEK","⏳ SCHEDULED"))))))</f>
        <v/>
      </c>
      <c r="K656" s="20">
        <f>IF($F656="",999,IF($G656&gt;=5,9999,IF($I656="",999,$I656-TODAY())))</f>
        <v/>
      </c>
    </row>
    <row r="657">
      <c r="A657" s="30">
        <f>ROW()-2</f>
        <v/>
      </c>
      <c r="B657" s="31" t="inlineStr">
        <is>
          <t>S5</t>
        </is>
      </c>
      <c r="C657" s="31" t="inlineStr">
        <is>
          <t>Anatomie pathologique</t>
        </is>
      </c>
      <c r="D657" s="31" t="inlineStr">
        <is>
          <t>Anatomie pathologique générale et oncologie fondamentale</t>
        </is>
      </c>
      <c r="E657" s="31" t="inlineStr">
        <is>
          <t>Introduction à l'anatomie pathologique</t>
        </is>
      </c>
      <c r="F657" s="18" t="n"/>
      <c r="G657" s="19" t="n"/>
      <c r="H657" s="20">
        <f>IF($G657="",1,IF($G657=0,1,IF($G657=1,3,IF($G657=2,7,IF($G657=3,14,IF($G657=4,30,60))))))</f>
        <v/>
      </c>
      <c r="I657" s="21">
        <f>IF($F657="","",$F657+$H657)</f>
        <v/>
      </c>
      <c r="J657">
        <f>IF($F657="","⚪ NEW",IF($G657&gt;=5,"✅ DONE",IF($I657&lt;TODAY(),"🔴 OVERDUE",IF($I657=TODAY(),"🟢 TODAY",IF($I657=TODAY()+1,"🔵 TOMORROW",IF($I657&lt;=TODAY()+7,"📅 THIS WEEK","⏳ SCHEDULED"))))))</f>
        <v/>
      </c>
      <c r="K657" s="20">
        <f>IF($F657="",999,IF($G657&gt;=5,9999,IF($I657="",999,$I657-TODAY())))</f>
        <v/>
      </c>
    </row>
    <row r="658">
      <c r="A658" s="30">
        <f>ROW()-2</f>
        <v/>
      </c>
      <c r="B658" s="31" t="inlineStr">
        <is>
          <t>S5</t>
        </is>
      </c>
      <c r="C658" s="31" t="inlineStr">
        <is>
          <t>Anatomie pathologique</t>
        </is>
      </c>
      <c r="D658" s="31" t="inlineStr">
        <is>
          <t>Anatomie pathologique générale et oncologie fondamentale</t>
        </is>
      </c>
      <c r="E658" s="31" t="inlineStr">
        <is>
          <t>Techniques en anatomie pathologique - partie 1</t>
        </is>
      </c>
      <c r="F658" s="18" t="n"/>
      <c r="G658" s="19" t="n"/>
      <c r="H658" s="20">
        <f>IF($G658="",1,IF($G658=0,1,IF($G658=1,3,IF($G658=2,7,IF($G658=3,14,IF($G658=4,30,60))))))</f>
        <v/>
      </c>
      <c r="I658" s="21">
        <f>IF($F658="","",$F658+$H658)</f>
        <v/>
      </c>
      <c r="J658">
        <f>IF($F658="","⚪ NEW",IF($G658&gt;=5,"✅ DONE",IF($I658&lt;TODAY(),"🔴 OVERDUE",IF($I658=TODAY(),"🟢 TODAY",IF($I658=TODAY()+1,"🔵 TOMORROW",IF($I658&lt;=TODAY()+7,"📅 THIS WEEK","⏳ SCHEDULED"))))))</f>
        <v/>
      </c>
      <c r="K658" s="20">
        <f>IF($F658="",999,IF($G658&gt;=5,9999,IF($I658="",999,$I658-TODAY())))</f>
        <v/>
      </c>
    </row>
    <row r="659">
      <c r="A659" s="30">
        <f>ROW()-2</f>
        <v/>
      </c>
      <c r="B659" s="31" t="inlineStr">
        <is>
          <t>S5</t>
        </is>
      </c>
      <c r="C659" s="31" t="inlineStr">
        <is>
          <t>Anatomie pathologique</t>
        </is>
      </c>
      <c r="D659" s="31" t="inlineStr">
        <is>
          <t>Anatomie pathologique générale et oncologie fondamentale</t>
        </is>
      </c>
      <c r="E659" s="31" t="inlineStr">
        <is>
          <t>Techniques en anatomie pathologique - partie 2</t>
        </is>
      </c>
      <c r="F659" s="18" t="n"/>
      <c r="G659" s="19" t="n"/>
      <c r="H659" s="20">
        <f>IF($G659="",1,IF($G659=0,1,IF($G659=1,3,IF($G659=2,7,IF($G659=3,14,IF($G659=4,30,60))))))</f>
        <v/>
      </c>
      <c r="I659" s="21">
        <f>IF($F659="","",$F659+$H659)</f>
        <v/>
      </c>
      <c r="J659">
        <f>IF($F659="","⚪ NEW",IF($G659&gt;=5,"✅ DONE",IF($I659&lt;TODAY(),"🔴 OVERDUE",IF($I659=TODAY(),"🟢 TODAY",IF($I659=TODAY()+1,"🔵 TOMORROW",IF($I659&lt;=TODAY()+7,"📅 THIS WEEK","⏳ SCHEDULED"))))))</f>
        <v/>
      </c>
      <c r="K659" s="20">
        <f>IF($F659="",999,IF($G659&gt;=5,9999,IF($I659="",999,$I659-TODAY())))</f>
        <v/>
      </c>
    </row>
    <row r="660">
      <c r="A660" s="30">
        <f>ROW()-2</f>
        <v/>
      </c>
      <c r="B660" s="31" t="inlineStr">
        <is>
          <t>S5</t>
        </is>
      </c>
      <c r="C660" s="31" t="inlineStr">
        <is>
          <t>Anatomie pathologique</t>
        </is>
      </c>
      <c r="D660" s="31" t="inlineStr">
        <is>
          <t>Anatomie pathologique générale et oncologie fondamentale</t>
        </is>
      </c>
      <c r="E660" s="31" t="inlineStr">
        <is>
          <t>Introduction à la pathologie tumorale</t>
        </is>
      </c>
      <c r="F660" s="18" t="n"/>
      <c r="G660" s="19" t="n"/>
      <c r="H660" s="20">
        <f>IF($G660="",1,IF($G660=0,1,IF($G660=1,3,IF($G660=2,7,IF($G660=3,14,IF($G660=4,30,60))))))</f>
        <v/>
      </c>
      <c r="I660" s="21">
        <f>IF($F660="","",$F660+$H660)</f>
        <v/>
      </c>
      <c r="J660">
        <f>IF($F660="","⚪ NEW",IF($G660&gt;=5,"✅ DONE",IF($I660&lt;TODAY(),"🔴 OVERDUE",IF($I660=TODAY(),"🟢 TODAY",IF($I660=TODAY()+1,"🔵 TOMORROW",IF($I660&lt;=TODAY()+7,"📅 THIS WEEK","⏳ SCHEDULED"))))))</f>
        <v/>
      </c>
      <c r="K660" s="20">
        <f>IF($F660="",999,IF($G660&gt;=5,9999,IF($I660="",999,$I660-TODAY())))</f>
        <v/>
      </c>
    </row>
    <row r="661">
      <c r="A661" s="30">
        <f>ROW()-2</f>
        <v/>
      </c>
      <c r="B661" s="31" t="inlineStr">
        <is>
          <t>S5</t>
        </is>
      </c>
      <c r="C661" s="31" t="inlineStr">
        <is>
          <t>Anatomie pathologique</t>
        </is>
      </c>
      <c r="D661" s="31" t="inlineStr">
        <is>
          <t>Anatomie pathologique générale et oncologie fondamentale</t>
        </is>
      </c>
      <c r="E661" s="31" t="inlineStr">
        <is>
          <t>Généralités sur les tumeurs bénignes</t>
        </is>
      </c>
      <c r="F661" s="18" t="n"/>
      <c r="G661" s="19" t="n"/>
      <c r="H661" s="20">
        <f>IF($G661="",1,IF($G661=0,1,IF($G661=1,3,IF($G661=2,7,IF($G661=3,14,IF($G661=4,30,60))))))</f>
        <v/>
      </c>
      <c r="I661" s="21">
        <f>IF($F661="","",$F661+$H661)</f>
        <v/>
      </c>
      <c r="J661">
        <f>IF($F661="","⚪ NEW",IF($G661&gt;=5,"✅ DONE",IF($I661&lt;TODAY(),"🔴 OVERDUE",IF($I661=TODAY(),"🟢 TODAY",IF($I661=TODAY()+1,"🔵 TOMORROW",IF($I661&lt;=TODAY()+7,"📅 THIS WEEK","⏳ SCHEDULED"))))))</f>
        <v/>
      </c>
      <c r="K661" s="20">
        <f>IF($F661="",999,IF($G661&gt;=5,9999,IF($I661="",999,$I661-TODAY())))</f>
        <v/>
      </c>
    </row>
    <row r="662">
      <c r="A662" s="30">
        <f>ROW()-2</f>
        <v/>
      </c>
      <c r="B662" s="31" t="inlineStr">
        <is>
          <t>S5</t>
        </is>
      </c>
      <c r="C662" s="31" t="inlineStr">
        <is>
          <t>Anatomie pathologique</t>
        </is>
      </c>
      <c r="D662" s="31" t="inlineStr">
        <is>
          <t>Anatomie pathologique générale et oncologie fondamentale</t>
        </is>
      </c>
      <c r="E662" s="31" t="inlineStr">
        <is>
          <t>Bases fondamentales de l'oncogenèse</t>
        </is>
      </c>
      <c r="F662" s="18" t="n"/>
      <c r="G662" s="19" t="n"/>
      <c r="H662" s="20">
        <f>IF($G662="",1,IF($G662=0,1,IF($G662=1,3,IF($G662=2,7,IF($G662=3,14,IF($G662=4,30,60))))))</f>
        <v/>
      </c>
      <c r="I662" s="21">
        <f>IF($F662="","",$F662+$H662)</f>
        <v/>
      </c>
      <c r="J662">
        <f>IF($F662="","⚪ NEW",IF($G662&gt;=5,"✅ DONE",IF($I662&lt;TODAY(),"🔴 OVERDUE",IF($I662=TODAY(),"🟢 TODAY",IF($I662=TODAY()+1,"🔵 TOMORROW",IF($I662&lt;=TODAY()+7,"📅 THIS WEEK","⏳ SCHEDULED"))))))</f>
        <v/>
      </c>
      <c r="K662" s="20">
        <f>IF($F662="",999,IF($G662&gt;=5,9999,IF($I662="",999,$I662-TODAY())))</f>
        <v/>
      </c>
    </row>
    <row r="663">
      <c r="A663" s="30">
        <f>ROW()-2</f>
        <v/>
      </c>
      <c r="B663" s="31" t="inlineStr">
        <is>
          <t>S5</t>
        </is>
      </c>
      <c r="C663" s="31" t="inlineStr">
        <is>
          <t>Anatomie pathologique</t>
        </is>
      </c>
      <c r="D663" s="31" t="inlineStr">
        <is>
          <t>Anatomie pathologique générale et oncologie fondamentale</t>
        </is>
      </c>
      <c r="E663" s="31" t="inlineStr">
        <is>
          <t>La cellule cancéreuse</t>
        </is>
      </c>
      <c r="F663" s="18" t="n"/>
      <c r="G663" s="19" t="n"/>
      <c r="H663" s="20">
        <f>IF($G663="",1,IF($G663=0,1,IF($G663=1,3,IF($G663=2,7,IF($G663=3,14,IF($G663=4,30,60))))))</f>
        <v/>
      </c>
      <c r="I663" s="21">
        <f>IF($F663="","",$F663+$H663)</f>
        <v/>
      </c>
      <c r="J663">
        <f>IF($F663="","⚪ NEW",IF($G663&gt;=5,"✅ DONE",IF($I663&lt;TODAY(),"🔴 OVERDUE",IF($I663=TODAY(),"🟢 TODAY",IF($I663=TODAY()+1,"🔵 TOMORROW",IF($I663&lt;=TODAY()+7,"📅 THIS WEEK","⏳ SCHEDULED"))))))</f>
        <v/>
      </c>
      <c r="K663" s="20">
        <f>IF($F663="",999,IF($G663&gt;=5,9999,IF($I663="",999,$I663-TODAY())))</f>
        <v/>
      </c>
    </row>
    <row r="664">
      <c r="A664" s="30">
        <f>ROW()-2</f>
        <v/>
      </c>
      <c r="B664" s="31" t="inlineStr">
        <is>
          <t>S5</t>
        </is>
      </c>
      <c r="C664" s="31" t="inlineStr">
        <is>
          <t>Anatomie pathologique</t>
        </is>
      </c>
      <c r="D664" s="31" t="inlineStr">
        <is>
          <t>Anatomie pathologique générale et oncologie fondamentale</t>
        </is>
      </c>
      <c r="E664" s="31" t="inlineStr">
        <is>
          <t>Les métastases</t>
        </is>
      </c>
      <c r="F664" s="18" t="n"/>
      <c r="G664" s="19" t="n"/>
      <c r="H664" s="20">
        <f>IF($G664="",1,IF($G664=0,1,IF($G664=1,3,IF($G664=2,7,IF($G664=3,14,IF($G664=4,30,60))))))</f>
        <v/>
      </c>
      <c r="I664" s="21">
        <f>IF($F664="","",$F664+$H664)</f>
        <v/>
      </c>
      <c r="J664">
        <f>IF($F664="","⚪ NEW",IF($G664&gt;=5,"✅ DONE",IF($I664&lt;TODAY(),"🔴 OVERDUE",IF($I664=TODAY(),"🟢 TODAY",IF($I664=TODAY()+1,"🔵 TOMORROW",IF($I664&lt;=TODAY()+7,"📅 THIS WEEK","⏳ SCHEDULED"))))))</f>
        <v/>
      </c>
      <c r="K664" s="20">
        <f>IF($F664="",999,IF($G664&gt;=5,9999,IF($I664="",999,$I664-TODAY())))</f>
        <v/>
      </c>
    </row>
    <row r="665">
      <c r="A665" s="30">
        <f>ROW()-2</f>
        <v/>
      </c>
      <c r="B665" s="31" t="inlineStr">
        <is>
          <t>S5</t>
        </is>
      </c>
      <c r="C665" s="31" t="inlineStr">
        <is>
          <t>Anatomie pathologique</t>
        </is>
      </c>
      <c r="D665" s="31" t="inlineStr">
        <is>
          <t>Anatomie pathologique générale et oncologie fondamentale</t>
        </is>
      </c>
      <c r="E665" s="31" t="inlineStr">
        <is>
          <t>Le stroma tumoral</t>
        </is>
      </c>
      <c r="F665" s="18" t="n"/>
      <c r="G665" s="19" t="n"/>
      <c r="H665" s="20">
        <f>IF($G665="",1,IF($G665=0,1,IF($G665=1,3,IF($G665=2,7,IF($G665=3,14,IF($G665=4,30,60))))))</f>
        <v/>
      </c>
      <c r="I665" s="21">
        <f>IF($F665="","",$F665+$H665)</f>
        <v/>
      </c>
      <c r="J665">
        <f>IF($F665="","⚪ NEW",IF($G665&gt;=5,"✅ DONE",IF($I665&lt;TODAY(),"🔴 OVERDUE",IF($I665=TODAY(),"🟢 TODAY",IF($I665=TODAY()+1,"🔵 TOMORROW",IF($I665&lt;=TODAY()+7,"📅 THIS WEEK","⏳ SCHEDULED"))))))</f>
        <v/>
      </c>
      <c r="K665" s="20">
        <f>IF($F665="",999,IF($G665&gt;=5,9999,IF($I665="",999,$I665-TODAY())))</f>
        <v/>
      </c>
    </row>
    <row r="666">
      <c r="A666" s="30">
        <f>ROW()-2</f>
        <v/>
      </c>
      <c r="B666" s="31" t="inlineStr">
        <is>
          <t>S5</t>
        </is>
      </c>
      <c r="C666" s="31" t="inlineStr">
        <is>
          <t>Anatomie pathologique</t>
        </is>
      </c>
      <c r="D666" s="31" t="inlineStr">
        <is>
          <t>Anatomie pathologique générale et oncologie fondamentale</t>
        </is>
      </c>
      <c r="E666" s="31" t="inlineStr">
        <is>
          <t>Les amyloses</t>
        </is>
      </c>
      <c r="F666" s="18" t="n"/>
      <c r="G666" s="19" t="n"/>
      <c r="H666" s="20">
        <f>IF($G666="",1,IF($G666=0,1,IF($G666=1,3,IF($G666=2,7,IF($G666=3,14,IF($G666=4,30,60))))))</f>
        <v/>
      </c>
      <c r="I666" s="21">
        <f>IF($F666="","",$F666+$H666)</f>
        <v/>
      </c>
      <c r="J666">
        <f>IF($F666="","⚪ NEW",IF($G666&gt;=5,"✅ DONE",IF($I666&lt;TODAY(),"🔴 OVERDUE",IF($I666=TODAY(),"🟢 TODAY",IF($I666=TODAY()+1,"🔵 TOMORROW",IF($I666&lt;=TODAY()+7,"📅 THIS WEEK","⏳ SCHEDULED"))))))</f>
        <v/>
      </c>
      <c r="K666" s="20">
        <f>IF($F666="",999,IF($G666&gt;=5,9999,IF($I666="",999,$I666-TODAY())))</f>
        <v/>
      </c>
    </row>
    <row r="667">
      <c r="A667" s="30">
        <f>ROW()-2</f>
        <v/>
      </c>
      <c r="B667" s="31" t="inlineStr">
        <is>
          <t>S5</t>
        </is>
      </c>
      <c r="C667" s="31" t="inlineStr">
        <is>
          <t>Anatomie pathologique</t>
        </is>
      </c>
      <c r="D667" s="31" t="inlineStr">
        <is>
          <t>Pathologie générale</t>
        </is>
      </c>
      <c r="E667" s="31" t="inlineStr">
        <is>
          <t>Les maladies de surcharge</t>
        </is>
      </c>
      <c r="F667" s="18" t="n"/>
      <c r="G667" s="19" t="n"/>
      <c r="H667" s="20">
        <f>IF($G667="",1,IF($G667=0,1,IF($G667=1,3,IF($G667=2,7,IF($G667=3,14,IF($G667=4,30,60))))))</f>
        <v/>
      </c>
      <c r="I667" s="21">
        <f>IF($F667="","",$F667+$H667)</f>
        <v/>
      </c>
      <c r="J667">
        <f>IF($F667="","⚪ NEW",IF($G667&gt;=5,"✅ DONE",IF($I667&lt;TODAY(),"🔴 OVERDUE",IF($I667=TODAY(),"🟢 TODAY",IF($I667=TODAY()+1,"🔵 TOMORROW",IF($I667&lt;=TODAY()+7,"📅 THIS WEEK","⏳ SCHEDULED"))))))</f>
        <v/>
      </c>
      <c r="K667" s="20">
        <f>IF($F667="",999,IF($G667&gt;=5,9999,IF($I667="",999,$I667-TODAY())))</f>
        <v/>
      </c>
    </row>
    <row r="668">
      <c r="A668" s="30">
        <f>ROW()-2</f>
        <v/>
      </c>
      <c r="B668" s="31" t="inlineStr">
        <is>
          <t>S5</t>
        </is>
      </c>
      <c r="C668" s="31" t="inlineStr">
        <is>
          <t>Anatomie pathologique</t>
        </is>
      </c>
      <c r="D668" s="31" t="inlineStr">
        <is>
          <t>Pathologie générale</t>
        </is>
      </c>
      <c r="E668" s="31" t="inlineStr">
        <is>
          <t>Les processus inflammatoires</t>
        </is>
      </c>
      <c r="F668" s="18" t="n"/>
      <c r="G668" s="19" t="n"/>
      <c r="H668" s="20">
        <f>IF($G668="",1,IF($G668=0,1,IF($G668=1,3,IF($G668=2,7,IF($G668=3,14,IF($G668=4,30,60))))))</f>
        <v/>
      </c>
      <c r="I668" s="21">
        <f>IF($F668="","",$F668+$H668)</f>
        <v/>
      </c>
      <c r="J668">
        <f>IF($F668="","⚪ NEW",IF($G668&gt;=5,"✅ DONE",IF($I668&lt;TODAY(),"🔴 OVERDUE",IF($I668=TODAY(),"🟢 TODAY",IF($I668=TODAY()+1,"🔵 TOMORROW",IF($I668&lt;=TODAY()+7,"📅 THIS WEEK","⏳ SCHEDULED"))))))</f>
        <v/>
      </c>
      <c r="K668" s="20">
        <f>IF($F668="",999,IF($G668&gt;=5,9999,IF($I668="",999,$I668-TODAY())))</f>
        <v/>
      </c>
    </row>
    <row r="669">
      <c r="A669" s="30">
        <f>ROW()-2</f>
        <v/>
      </c>
      <c r="B669" s="31" t="inlineStr">
        <is>
          <t>S5</t>
        </is>
      </c>
      <c r="C669" s="31" t="inlineStr">
        <is>
          <t>Anatomie pathologique</t>
        </is>
      </c>
      <c r="D669" s="31" t="inlineStr">
        <is>
          <t>Pathologie générale</t>
        </is>
      </c>
      <c r="E669" s="31" t="inlineStr">
        <is>
          <t>Les phases de l'inflammation</t>
        </is>
      </c>
      <c r="F669" s="18" t="n"/>
      <c r="G669" s="19" t="n"/>
      <c r="H669" s="20">
        <f>IF($G669="",1,IF($G669=0,1,IF($G669=1,3,IF($G669=2,7,IF($G669=3,14,IF($G669=4,30,60))))))</f>
        <v/>
      </c>
      <c r="I669" s="21">
        <f>IF($F669="","",$F669+$H669)</f>
        <v/>
      </c>
      <c r="J669">
        <f>IF($F669="","⚪ NEW",IF($G669&gt;=5,"✅ DONE",IF($I669&lt;TODAY(),"🔴 OVERDUE",IF($I669=TODAY(),"🟢 TODAY",IF($I669=TODAY()+1,"🔵 TOMORROW",IF($I669&lt;=TODAY()+7,"📅 THIS WEEK","⏳ SCHEDULED"))))))</f>
        <v/>
      </c>
      <c r="K669" s="20">
        <f>IF($F669="",999,IF($G669&gt;=5,9999,IF($I669="",999,$I669-TODAY())))</f>
        <v/>
      </c>
    </row>
    <row r="670">
      <c r="A670" s="30">
        <f>ROW()-2</f>
        <v/>
      </c>
      <c r="B670" s="31" t="inlineStr">
        <is>
          <t>S5</t>
        </is>
      </c>
      <c r="C670" s="31" t="inlineStr">
        <is>
          <t>Anatomie pathologique</t>
        </is>
      </c>
      <c r="D670" s="31" t="inlineStr">
        <is>
          <t>Pathologie générale</t>
        </is>
      </c>
      <c r="E670" s="31" t="inlineStr">
        <is>
          <t>L'inflammation granulomateuse (chronique)</t>
        </is>
      </c>
      <c r="F670" s="18" t="n"/>
      <c r="G670" s="19" t="n"/>
      <c r="H670" s="20">
        <f>IF($G670="",1,IF($G670=0,1,IF($G670=1,3,IF($G670=2,7,IF($G670=3,14,IF($G670=4,30,60))))))</f>
        <v/>
      </c>
      <c r="I670" s="21">
        <f>IF($F670="","",$F670+$H670)</f>
        <v/>
      </c>
      <c r="J670">
        <f>IF($F670="","⚪ NEW",IF($G670&gt;=5,"✅ DONE",IF($I670&lt;TODAY(),"🔴 OVERDUE",IF($I670=TODAY(),"🟢 TODAY",IF($I670=TODAY()+1,"🔵 TOMORROW",IF($I670&lt;=TODAY()+7,"📅 THIS WEEK","⏳ SCHEDULED"))))))</f>
        <v/>
      </c>
      <c r="K670" s="20">
        <f>IF($F670="",999,IF($G670&gt;=5,9999,IF($I670="",999,$I670-TODAY())))</f>
        <v/>
      </c>
    </row>
    <row r="671">
      <c r="A671" s="30">
        <f>ROW()-2</f>
        <v/>
      </c>
      <c r="B671" s="31" t="inlineStr">
        <is>
          <t>S5</t>
        </is>
      </c>
      <c r="C671" s="31" t="inlineStr">
        <is>
          <t>Anatomie pathologique</t>
        </is>
      </c>
      <c r="D671" s="31" t="inlineStr">
        <is>
          <t>Pathologie générale</t>
        </is>
      </c>
      <c r="E671" s="31" t="inlineStr">
        <is>
          <t>L'inflammation spécifique</t>
        </is>
      </c>
      <c r="F671" s="18" t="n"/>
      <c r="G671" s="19" t="n"/>
      <c r="H671" s="20">
        <f>IF($G671="",1,IF($G671=0,1,IF($G671=1,3,IF($G671=2,7,IF($G671=3,14,IF($G671=4,30,60))))))</f>
        <v/>
      </c>
      <c r="I671" s="21">
        <f>IF($F671="","",$F671+$H671)</f>
        <v/>
      </c>
      <c r="J671">
        <f>IF($F671="","⚪ NEW",IF($G671&gt;=5,"✅ DONE",IF($I671&lt;TODAY(),"🔴 OVERDUE",IF($I671=TODAY(),"🟢 TODAY",IF($I671=TODAY()+1,"🔵 TOMORROW",IF($I671&lt;=TODAY()+7,"📅 THIS WEEK","⏳ SCHEDULED"))))))</f>
        <v/>
      </c>
      <c r="K671" s="20">
        <f>IF($F671="",999,IF($G671&gt;=5,9999,IF($I671="",999,$I671-TODAY())))</f>
        <v/>
      </c>
    </row>
    <row r="672">
      <c r="A672" s="30">
        <f>ROW()-2</f>
        <v/>
      </c>
      <c r="B672" s="31" t="inlineStr">
        <is>
          <t>S5</t>
        </is>
      </c>
      <c r="C672" s="31" t="inlineStr">
        <is>
          <t>Anatomie pathologique</t>
        </is>
      </c>
      <c r="D672" s="31" t="inlineStr">
        <is>
          <t>Pathologie générale</t>
        </is>
      </c>
      <c r="E672" s="31" t="inlineStr">
        <is>
          <t>La cicatrisation</t>
        </is>
      </c>
      <c r="F672" s="18" t="n"/>
      <c r="G672" s="19" t="n"/>
      <c r="H672" s="20">
        <f>IF($G672="",1,IF($G672=0,1,IF($G672=1,3,IF($G672=2,7,IF($G672=3,14,IF($G672=4,30,60))))))</f>
        <v/>
      </c>
      <c r="I672" s="21">
        <f>IF($F672="","",$F672+$H672)</f>
        <v/>
      </c>
      <c r="J672">
        <f>IF($F672="","⚪ NEW",IF($G672&gt;=5,"✅ DONE",IF($I672&lt;TODAY(),"🔴 OVERDUE",IF($I672=TODAY(),"🟢 TODAY",IF($I672=TODAY()+1,"🔵 TOMORROW",IF($I672&lt;=TODAY()+7,"📅 THIS WEEK","⏳ SCHEDULED"))))))</f>
        <v/>
      </c>
      <c r="K672" s="20">
        <f>IF($F672="",999,IF($G672&gt;=5,9999,IF($I672="",999,$I672-TODAY())))</f>
        <v/>
      </c>
    </row>
    <row r="673">
      <c r="A673" s="30">
        <f>ROW()-2</f>
        <v/>
      </c>
      <c r="B673" s="31" t="inlineStr">
        <is>
          <t>S5</t>
        </is>
      </c>
      <c r="C673" s="31" t="inlineStr">
        <is>
          <t>Anatomie pathologique</t>
        </is>
      </c>
      <c r="D673" s="31" t="inlineStr">
        <is>
          <t>Pathologie générale</t>
        </is>
      </c>
      <c r="E673" s="31" t="inlineStr">
        <is>
          <t>La pathologie circulatoire</t>
        </is>
      </c>
      <c r="F673" s="18" t="n"/>
      <c r="G673" s="19" t="n"/>
      <c r="H673" s="20">
        <f>IF($G673="",1,IF($G673=0,1,IF($G673=1,3,IF($G673=2,7,IF($G673=3,14,IF($G673=4,30,60))))))</f>
        <v/>
      </c>
      <c r="I673" s="21">
        <f>IF($F673="","",$F673+$H673)</f>
        <v/>
      </c>
      <c r="J673">
        <f>IF($F673="","⚪ NEW",IF($G673&gt;=5,"✅ DONE",IF($I673&lt;TODAY(),"🔴 OVERDUE",IF($I673=TODAY(),"🟢 TODAY",IF($I673=TODAY()+1,"🔵 TOMORROW",IF($I673&lt;=TODAY()+7,"📅 THIS WEEK","⏳ SCHEDULED"))))))</f>
        <v/>
      </c>
      <c r="K673" s="20">
        <f>IF($F673="",999,IF($G673&gt;=5,9999,IF($I673="",999,$I673-TODAY())))</f>
        <v/>
      </c>
    </row>
    <row r="674">
      <c r="A674" s="32">
        <f>ROW()-2</f>
        <v/>
      </c>
      <c r="B674" s="33" t="inlineStr">
        <is>
          <t>S6</t>
        </is>
      </c>
      <c r="C674" s="33" t="inlineStr">
        <is>
          <t>Pathologie respiratoire</t>
        </is>
      </c>
      <c r="D674" s="33" t="inlineStr">
        <is>
          <t>Médecine</t>
        </is>
      </c>
      <c r="E674" s="33" t="inlineStr">
        <is>
          <t>Pneumopathies interstitielles diffuses (PID)</t>
        </is>
      </c>
      <c r="F674" s="18" t="n"/>
      <c r="G674" s="19" t="n"/>
      <c r="H674" s="20">
        <f>IF($G674="",1,IF($G674=0,1,IF($G674=1,3,IF($G674=2,7,IF($G674=3,14,IF($G674=4,30,60))))))</f>
        <v/>
      </c>
      <c r="I674" s="21">
        <f>IF($F674="","",$F674+$H674)</f>
        <v/>
      </c>
      <c r="J674">
        <f>IF($F674="","⚪ NEW",IF($G674&gt;=5,"✅ DONE",IF($I674&lt;TODAY(),"🔴 OVERDUE",IF($I674=TODAY(),"🟢 TODAY",IF($I674=TODAY()+1,"🔵 TOMORROW",IF($I674&lt;=TODAY()+7,"📅 THIS WEEK","⏳ SCHEDULED"))))))</f>
        <v/>
      </c>
      <c r="K674" s="20">
        <f>IF($F674="",999,IF($G674&gt;=5,9999,IF($I674="",999,$I674-TODAY())))</f>
        <v/>
      </c>
    </row>
    <row r="675">
      <c r="A675" s="32">
        <f>ROW()-2</f>
        <v/>
      </c>
      <c r="B675" s="33" t="inlineStr">
        <is>
          <t>S6</t>
        </is>
      </c>
      <c r="C675" s="33" t="inlineStr">
        <is>
          <t>Pathologie respiratoire</t>
        </is>
      </c>
      <c r="D675" s="33" t="inlineStr">
        <is>
          <t>Médecine</t>
        </is>
      </c>
      <c r="E675" s="33" t="inlineStr">
        <is>
          <t>La sarcoïdose</t>
        </is>
      </c>
      <c r="F675" s="18" t="n"/>
      <c r="G675" s="19" t="n"/>
      <c r="H675" s="20">
        <f>IF($G675="",1,IF($G675=0,1,IF($G675=1,3,IF($G675=2,7,IF($G675=3,14,IF($G675=4,30,60))))))</f>
        <v/>
      </c>
      <c r="I675" s="21">
        <f>IF($F675="","",$F675+$H675)</f>
        <v/>
      </c>
      <c r="J675">
        <f>IF($F675="","⚪ NEW",IF($G675&gt;=5,"✅ DONE",IF($I675&lt;TODAY(),"🔴 OVERDUE",IF($I675=TODAY(),"🟢 TODAY",IF($I675=TODAY()+1,"🔵 TOMORROW",IF($I675&lt;=TODAY()+7,"📅 THIS WEEK","⏳ SCHEDULED"))))))</f>
        <v/>
      </c>
      <c r="K675" s="20">
        <f>IF($F675="",999,IF($G675&gt;=5,9999,IF($I675="",999,$I675-TODAY())))</f>
        <v/>
      </c>
    </row>
    <row r="676">
      <c r="A676" s="32">
        <f>ROW()-2</f>
        <v/>
      </c>
      <c r="B676" s="33" t="inlineStr">
        <is>
          <t>S6</t>
        </is>
      </c>
      <c r="C676" s="33" t="inlineStr">
        <is>
          <t>Pathologie respiratoire</t>
        </is>
      </c>
      <c r="D676" s="33" t="inlineStr">
        <is>
          <t>Médecine</t>
        </is>
      </c>
      <c r="E676" s="33" t="inlineStr">
        <is>
          <t>Pneumoconioses</t>
        </is>
      </c>
      <c r="F676" s="18" t="n"/>
      <c r="G676" s="19" t="n"/>
      <c r="H676" s="20">
        <f>IF($G676="",1,IF($G676=0,1,IF($G676=1,3,IF($G676=2,7,IF($G676=3,14,IF($G676=4,30,60))))))</f>
        <v/>
      </c>
      <c r="I676" s="21">
        <f>IF($F676="","",$F676+$H676)</f>
        <v/>
      </c>
      <c r="J676">
        <f>IF($F676="","⚪ NEW",IF($G676&gt;=5,"✅ DONE",IF($I676&lt;TODAY(),"🔴 OVERDUE",IF($I676=TODAY(),"🟢 TODAY",IF($I676=TODAY()+1,"🔵 TOMORROW",IF($I676&lt;=TODAY()+7,"📅 THIS WEEK","⏳ SCHEDULED"))))))</f>
        <v/>
      </c>
      <c r="K676" s="20">
        <f>IF($F676="",999,IF($G676&gt;=5,9999,IF($I676="",999,$I676-TODAY())))</f>
        <v/>
      </c>
    </row>
    <row r="677">
      <c r="A677" s="32">
        <f>ROW()-2</f>
        <v/>
      </c>
      <c r="B677" s="33" t="inlineStr">
        <is>
          <t>S6</t>
        </is>
      </c>
      <c r="C677" s="33" t="inlineStr">
        <is>
          <t>Pathologie respiratoire</t>
        </is>
      </c>
      <c r="D677" s="33" t="inlineStr">
        <is>
          <t>Médecine</t>
        </is>
      </c>
      <c r="E677" s="33" t="inlineStr">
        <is>
          <t>Pneumopathie d'hypersensibilité (alvéolite allergique extrinsèque)</t>
        </is>
      </c>
      <c r="F677" s="18" t="n"/>
      <c r="G677" s="19" t="n"/>
      <c r="H677" s="20">
        <f>IF($G677="",1,IF($G677=0,1,IF($G677=1,3,IF($G677=2,7,IF($G677=3,14,IF($G677=4,30,60))))))</f>
        <v/>
      </c>
      <c r="I677" s="21">
        <f>IF($F677="","",$F677+$H677)</f>
        <v/>
      </c>
      <c r="J677">
        <f>IF($F677="","⚪ NEW",IF($G677&gt;=5,"✅ DONE",IF($I677&lt;TODAY(),"🔴 OVERDUE",IF($I677=TODAY(),"🟢 TODAY",IF($I677=TODAY()+1,"🔵 TOMORROW",IF($I677&lt;=TODAY()+7,"📅 THIS WEEK","⏳ SCHEDULED"))))))</f>
        <v/>
      </c>
      <c r="K677" s="20">
        <f>IF($F677="",999,IF($G677&gt;=5,9999,IF($I677="",999,$I677-TODAY())))</f>
        <v/>
      </c>
    </row>
    <row r="678">
      <c r="A678" s="32">
        <f>ROW()-2</f>
        <v/>
      </c>
      <c r="B678" s="33" t="inlineStr">
        <is>
          <t>S6</t>
        </is>
      </c>
      <c r="C678" s="33" t="inlineStr">
        <is>
          <t>Pathologie respiratoire</t>
        </is>
      </c>
      <c r="D678" s="33" t="inlineStr">
        <is>
          <t>Médecine</t>
        </is>
      </c>
      <c r="E678" s="33" t="inlineStr">
        <is>
          <t>Les infections respiratoires basses communautaires (IRABC)</t>
        </is>
      </c>
      <c r="F678" s="18" t="n"/>
      <c r="G678" s="19" t="n"/>
      <c r="H678" s="20">
        <f>IF($G678="",1,IF($G678=0,1,IF($G678=1,3,IF($G678=2,7,IF($G678=3,14,IF($G678=4,30,60))))))</f>
        <v/>
      </c>
      <c r="I678" s="21">
        <f>IF($F678="","",$F678+$H678)</f>
        <v/>
      </c>
      <c r="J678">
        <f>IF($F678="","⚪ NEW",IF($G678&gt;=5,"✅ DONE",IF($I678&lt;TODAY(),"🔴 OVERDUE",IF($I678=TODAY(),"🟢 TODAY",IF($I678=TODAY()+1,"🔵 TOMORROW",IF($I678&lt;=TODAY()+7,"📅 THIS WEEK","⏳ SCHEDULED"))))))</f>
        <v/>
      </c>
      <c r="K678" s="20">
        <f>IF($F678="",999,IF($G678&gt;=5,9999,IF($I678="",999,$I678-TODAY())))</f>
        <v/>
      </c>
    </row>
    <row r="679">
      <c r="A679" s="32">
        <f>ROW()-2</f>
        <v/>
      </c>
      <c r="B679" s="33" t="inlineStr">
        <is>
          <t>S6</t>
        </is>
      </c>
      <c r="C679" s="33" t="inlineStr">
        <is>
          <t>Pathologie respiratoire</t>
        </is>
      </c>
      <c r="D679" s="33" t="inlineStr">
        <is>
          <t>Médecine</t>
        </is>
      </c>
      <c r="E679" s="33" t="inlineStr">
        <is>
          <t>BPCO</t>
        </is>
      </c>
      <c r="F679" s="18" t="n"/>
      <c r="G679" s="19" t="n"/>
      <c r="H679" s="20">
        <f>IF($G679="",1,IF($G679=0,1,IF($G679=1,3,IF($G679=2,7,IF($G679=3,14,IF($G679=4,30,60))))))</f>
        <v/>
      </c>
      <c r="I679" s="21">
        <f>IF($F679="","",$F679+$H679)</f>
        <v/>
      </c>
      <c r="J679">
        <f>IF($F679="","⚪ NEW",IF($G679&gt;=5,"✅ DONE",IF($I679&lt;TODAY(),"🔴 OVERDUE",IF($I679=TODAY(),"🟢 TODAY",IF($I679=TODAY()+1,"🔵 TOMORROW",IF($I679&lt;=TODAY()+7,"📅 THIS WEEK","⏳ SCHEDULED"))))))</f>
        <v/>
      </c>
      <c r="K679" s="20">
        <f>IF($F679="",999,IF($G679&gt;=5,9999,IF($I679="",999,$I679-TODAY())))</f>
        <v/>
      </c>
    </row>
    <row r="680">
      <c r="A680" s="32">
        <f>ROW()-2</f>
        <v/>
      </c>
      <c r="B680" s="33" t="inlineStr">
        <is>
          <t>S6</t>
        </is>
      </c>
      <c r="C680" s="33" t="inlineStr">
        <is>
          <t>Pathologie respiratoire</t>
        </is>
      </c>
      <c r="D680" s="33" t="inlineStr">
        <is>
          <t>Médecine</t>
        </is>
      </c>
      <c r="E680" s="33" t="inlineStr">
        <is>
          <t>Asthme</t>
        </is>
      </c>
      <c r="F680" s="18" t="n"/>
      <c r="G680" s="19" t="n"/>
      <c r="H680" s="20">
        <f>IF($G680="",1,IF($G680=0,1,IF($G680=1,3,IF($G680=2,7,IF($G680=3,14,IF($G680=4,30,60))))))</f>
        <v/>
      </c>
      <c r="I680" s="21">
        <f>IF($F680="","",$F680+$H680)</f>
        <v/>
      </c>
      <c r="J680">
        <f>IF($F680="","⚪ NEW",IF($G680&gt;=5,"✅ DONE",IF($I680&lt;TODAY(),"🔴 OVERDUE",IF($I680=TODAY(),"🟢 TODAY",IF($I680=TODAY()+1,"🔵 TOMORROW",IF($I680&lt;=TODAY()+7,"📅 THIS WEEK","⏳ SCHEDULED"))))))</f>
        <v/>
      </c>
      <c r="K680" s="20">
        <f>IF($F680="",999,IF($G680&gt;=5,9999,IF($I680="",999,$I680-TODAY())))</f>
        <v/>
      </c>
    </row>
    <row r="681">
      <c r="A681" s="32">
        <f>ROW()-2</f>
        <v/>
      </c>
      <c r="B681" s="33" t="inlineStr">
        <is>
          <t>S6</t>
        </is>
      </c>
      <c r="C681" s="33" t="inlineStr">
        <is>
          <t>Pathologie respiratoire</t>
        </is>
      </c>
      <c r="D681" s="33" t="inlineStr">
        <is>
          <t>Médecine</t>
        </is>
      </c>
      <c r="E681" s="33" t="inlineStr">
        <is>
          <t>Cancer bronchique</t>
        </is>
      </c>
      <c r="F681" s="18" t="n"/>
      <c r="G681" s="19" t="n"/>
      <c r="H681" s="20">
        <f>IF($G681="",1,IF($G681=0,1,IF($G681=1,3,IF($G681=2,7,IF($G681=3,14,IF($G681=4,30,60))))))</f>
        <v/>
      </c>
      <c r="I681" s="21">
        <f>IF($F681="","",$F681+$H681)</f>
        <v/>
      </c>
      <c r="J681">
        <f>IF($F681="","⚪ NEW",IF($G681&gt;=5,"✅ DONE",IF($I681&lt;TODAY(),"🔴 OVERDUE",IF($I681=TODAY(),"🟢 TODAY",IF($I681=TODAY()+1,"🔵 TOMORROW",IF($I681&lt;=TODAY()+7,"📅 THIS WEEK","⏳ SCHEDULED"))))))</f>
        <v/>
      </c>
      <c r="K681" s="20">
        <f>IF($F681="",999,IF($G681&gt;=5,9999,IF($I681="",999,$I681-TODAY())))</f>
        <v/>
      </c>
    </row>
    <row r="682">
      <c r="A682" s="32">
        <f>ROW()-2</f>
        <v/>
      </c>
      <c r="B682" s="33" t="inlineStr">
        <is>
          <t>S6</t>
        </is>
      </c>
      <c r="C682" s="33" t="inlineStr">
        <is>
          <t>Pathologie respiratoire</t>
        </is>
      </c>
      <c r="D682" s="33" t="inlineStr">
        <is>
          <t>Médecine</t>
        </is>
      </c>
      <c r="E682" s="33" t="inlineStr">
        <is>
          <t>Infections respiratoires au cours du VIH</t>
        </is>
      </c>
      <c r="F682" s="18" t="n"/>
      <c r="G682" s="19" t="n"/>
      <c r="H682" s="20">
        <f>IF($G682="",1,IF($G682=0,1,IF($G682=1,3,IF($G682=2,7,IF($G682=3,14,IF($G682=4,30,60))))))</f>
        <v/>
      </c>
      <c r="I682" s="21">
        <f>IF($F682="","",$F682+$H682)</f>
        <v/>
      </c>
      <c r="J682">
        <f>IF($F682="","⚪ NEW",IF($G682&gt;=5,"✅ DONE",IF($I682&lt;TODAY(),"🔴 OVERDUE",IF($I682=TODAY(),"🟢 TODAY",IF($I682=TODAY()+1,"🔵 TOMORROW",IF($I682&lt;=TODAY()+7,"📅 THIS WEEK","⏳ SCHEDULED"))))))</f>
        <v/>
      </c>
      <c r="K682" s="20">
        <f>IF($F682="",999,IF($G682&gt;=5,9999,IF($I682="",999,$I682-TODAY())))</f>
        <v/>
      </c>
    </row>
    <row r="683">
      <c r="A683" s="32">
        <f>ROW()-2</f>
        <v/>
      </c>
      <c r="B683" s="33" t="inlineStr">
        <is>
          <t>S6</t>
        </is>
      </c>
      <c r="C683" s="33" t="inlineStr">
        <is>
          <t>Pathologie respiratoire</t>
        </is>
      </c>
      <c r="D683" s="33" t="inlineStr">
        <is>
          <t>Médecine</t>
        </is>
      </c>
      <c r="E683" s="33" t="inlineStr">
        <is>
          <t>Pathologie du tabac</t>
        </is>
      </c>
      <c r="F683" s="18" t="n"/>
      <c r="G683" s="19" t="n"/>
      <c r="H683" s="20">
        <f>IF($G683="",1,IF($G683=0,1,IF($G683=1,3,IF($G683=2,7,IF($G683=3,14,IF($G683=4,30,60))))))</f>
        <v/>
      </c>
      <c r="I683" s="21">
        <f>IF($F683="","",$F683+$H683)</f>
        <v/>
      </c>
      <c r="J683">
        <f>IF($F683="","⚪ NEW",IF($G683&gt;=5,"✅ DONE",IF($I683&lt;TODAY(),"🔴 OVERDUE",IF($I683=TODAY(),"🟢 TODAY",IF($I683=TODAY()+1,"🔵 TOMORROW",IF($I683&lt;=TODAY()+7,"📅 THIS WEEK","⏳ SCHEDULED"))))))</f>
        <v/>
      </c>
      <c r="K683" s="20">
        <f>IF($F683="",999,IF($G683&gt;=5,9999,IF($I683="",999,$I683-TODAY())))</f>
        <v/>
      </c>
    </row>
    <row r="684">
      <c r="A684" s="32">
        <f>ROW()-2</f>
        <v/>
      </c>
      <c r="B684" s="33" t="inlineStr">
        <is>
          <t>S6</t>
        </is>
      </c>
      <c r="C684" s="33" t="inlineStr">
        <is>
          <t>Pathologie respiratoire</t>
        </is>
      </c>
      <c r="D684" s="33" t="inlineStr">
        <is>
          <t>Médecine</t>
        </is>
      </c>
      <c r="E684" s="33" t="inlineStr">
        <is>
          <t>Mycoses respiratoires (aspergillose)</t>
        </is>
      </c>
      <c r="F684" s="18" t="n"/>
      <c r="G684" s="19" t="n"/>
      <c r="H684" s="20">
        <f>IF($G684="",1,IF($G684=0,1,IF($G684=1,3,IF($G684=2,7,IF($G684=3,14,IF($G684=4,30,60))))))</f>
        <v/>
      </c>
      <c r="I684" s="21">
        <f>IF($F684="","",$F684+$H684)</f>
        <v/>
      </c>
      <c r="J684">
        <f>IF($F684="","⚪ NEW",IF($G684&gt;=5,"✅ DONE",IF($I684&lt;TODAY(),"🔴 OVERDUE",IF($I684=TODAY(),"🟢 TODAY",IF($I684=TODAY()+1,"🔵 TOMORROW",IF($I684&lt;=TODAY()+7,"📅 THIS WEEK","⏳ SCHEDULED"))))))</f>
        <v/>
      </c>
      <c r="K684" s="20">
        <f>IF($F684="",999,IF($G684&gt;=5,9999,IF($I684="",999,$I684-TODAY())))</f>
        <v/>
      </c>
    </row>
    <row r="685">
      <c r="A685" s="32">
        <f>ROW()-2</f>
        <v/>
      </c>
      <c r="B685" s="33" t="inlineStr">
        <is>
          <t>S6</t>
        </is>
      </c>
      <c r="C685" s="33" t="inlineStr">
        <is>
          <t>Pathologie respiratoire</t>
        </is>
      </c>
      <c r="D685" s="33" t="inlineStr">
        <is>
          <t>Médecine</t>
        </is>
      </c>
      <c r="E685" s="33" t="inlineStr">
        <is>
          <t>Hypertension pulmonaire (HTP)</t>
        </is>
      </c>
      <c r="F685" s="18" t="n"/>
      <c r="G685" s="19" t="n"/>
      <c r="H685" s="20">
        <f>IF($G685="",1,IF($G685=0,1,IF($G685=1,3,IF($G685=2,7,IF($G685=3,14,IF($G685=4,30,60))))))</f>
        <v/>
      </c>
      <c r="I685" s="21">
        <f>IF($F685="","",$F685+$H685)</f>
        <v/>
      </c>
      <c r="J685">
        <f>IF($F685="","⚪ NEW",IF($G685&gt;=5,"✅ DONE",IF($I685&lt;TODAY(),"🔴 OVERDUE",IF($I685=TODAY(),"🟢 TODAY",IF($I685=TODAY()+1,"🔵 TOMORROW",IF($I685&lt;=TODAY()+7,"📅 THIS WEEK","⏳ SCHEDULED"))))))</f>
        <v/>
      </c>
      <c r="K685" s="20">
        <f>IF($F685="",999,IF($G685&gt;=5,9999,IF($I685="",999,$I685-TODAY())))</f>
        <v/>
      </c>
    </row>
    <row r="686">
      <c r="A686" s="32">
        <f>ROW()-2</f>
        <v/>
      </c>
      <c r="B686" s="33" t="inlineStr">
        <is>
          <t>S6</t>
        </is>
      </c>
      <c r="C686" s="33" t="inlineStr">
        <is>
          <t>Pathologie respiratoire</t>
        </is>
      </c>
      <c r="D686" s="33" t="inlineStr">
        <is>
          <t>Médecine</t>
        </is>
      </c>
      <c r="E686" s="33" t="inlineStr">
        <is>
          <t>Syndrome d'apnée obstructive du sommeil</t>
        </is>
      </c>
      <c r="F686" s="18" t="n"/>
      <c r="G686" s="19" t="n"/>
      <c r="H686" s="20">
        <f>IF($G686="",1,IF($G686=0,1,IF($G686=1,3,IF($G686=2,7,IF($G686=3,14,IF($G686=4,30,60))))))</f>
        <v/>
      </c>
      <c r="I686" s="21">
        <f>IF($F686="","",$F686+$H686)</f>
        <v/>
      </c>
      <c r="J686">
        <f>IF($F686="","⚪ NEW",IF($G686&gt;=5,"✅ DONE",IF($I686&lt;TODAY(),"🔴 OVERDUE",IF($I686=TODAY(),"🟢 TODAY",IF($I686=TODAY()+1,"🔵 TOMORROW",IF($I686&lt;=TODAY()+7,"📅 THIS WEEK","⏳ SCHEDULED"))))))</f>
        <v/>
      </c>
      <c r="K686" s="20">
        <f>IF($F686="",999,IF($G686&gt;=5,9999,IF($I686="",999,$I686-TODAY())))</f>
        <v/>
      </c>
    </row>
    <row r="687">
      <c r="A687" s="32">
        <f>ROW()-2</f>
        <v/>
      </c>
      <c r="B687" s="33" t="inlineStr">
        <is>
          <t>S6</t>
        </is>
      </c>
      <c r="C687" s="33" t="inlineStr">
        <is>
          <t>Pathologie respiratoire</t>
        </is>
      </c>
      <c r="D687" s="33" t="inlineStr">
        <is>
          <t>Médecine</t>
        </is>
      </c>
      <c r="E687" s="33" t="inlineStr">
        <is>
          <t>Les pleurésies</t>
        </is>
      </c>
      <c r="F687" s="18" t="n"/>
      <c r="G687" s="19" t="n"/>
      <c r="H687" s="20">
        <f>IF($G687="",1,IF($G687=0,1,IF($G687=1,3,IF($G687=2,7,IF($G687=3,14,IF($G687=4,30,60))))))</f>
        <v/>
      </c>
      <c r="I687" s="21">
        <f>IF($F687="","",$F687+$H687)</f>
        <v/>
      </c>
      <c r="J687">
        <f>IF($F687="","⚪ NEW",IF($G687&gt;=5,"✅ DONE",IF($I687&lt;TODAY(),"🔴 OVERDUE",IF($I687=TODAY(),"🟢 TODAY",IF($I687=TODAY()+1,"🔵 TOMORROW",IF($I687&lt;=TODAY()+7,"📅 THIS WEEK","⏳ SCHEDULED"))))))</f>
        <v/>
      </c>
      <c r="K687" s="20">
        <f>IF($F687="",999,IF($G687&gt;=5,9999,IF($I687="",999,$I687-TODAY())))</f>
        <v/>
      </c>
    </row>
    <row r="688">
      <c r="A688" s="32">
        <f>ROW()-2</f>
        <v/>
      </c>
      <c r="B688" s="33" t="inlineStr">
        <is>
          <t>S6</t>
        </is>
      </c>
      <c r="C688" s="33" t="inlineStr">
        <is>
          <t>Pathologie respiratoire</t>
        </is>
      </c>
      <c r="D688" s="33" t="inlineStr">
        <is>
          <t>Médecine</t>
        </is>
      </c>
      <c r="E688" s="33" t="inlineStr">
        <is>
          <t>Abcès pulmonaire</t>
        </is>
      </c>
      <c r="F688" s="18" t="n"/>
      <c r="G688" s="19" t="n"/>
      <c r="H688" s="20">
        <f>IF($G688="",1,IF($G688=0,1,IF($G688=1,3,IF($G688=2,7,IF($G688=3,14,IF($G688=4,30,60))))))</f>
        <v/>
      </c>
      <c r="I688" s="21">
        <f>IF($F688="","",$F688+$H688)</f>
        <v/>
      </c>
      <c r="J688">
        <f>IF($F688="","⚪ NEW",IF($G688&gt;=5,"✅ DONE",IF($I688&lt;TODAY(),"🔴 OVERDUE",IF($I688=TODAY(),"🟢 TODAY",IF($I688=TODAY()+1,"🔵 TOMORROW",IF($I688&lt;=TODAY()+7,"📅 THIS WEEK","⏳ SCHEDULED"))))))</f>
        <v/>
      </c>
      <c r="K688" s="20">
        <f>IF($F688="",999,IF($G688&gt;=5,9999,IF($I688="",999,$I688-TODAY())))</f>
        <v/>
      </c>
    </row>
    <row r="689">
      <c r="A689" s="32">
        <f>ROW()-2</f>
        <v/>
      </c>
      <c r="B689" s="33" t="inlineStr">
        <is>
          <t>S6</t>
        </is>
      </c>
      <c r="C689" s="33" t="inlineStr">
        <is>
          <t>Pathologie respiratoire</t>
        </is>
      </c>
      <c r="D689" s="33" t="inlineStr">
        <is>
          <t>Médecine</t>
        </is>
      </c>
      <c r="E689" s="33" t="inlineStr">
        <is>
          <t>Dilatation des bronches (DDB)</t>
        </is>
      </c>
      <c r="F689" s="18" t="n"/>
      <c r="G689" s="19" t="n"/>
      <c r="H689" s="20">
        <f>IF($G689="",1,IF($G689=0,1,IF($G689=1,3,IF($G689=2,7,IF($G689=3,14,IF($G689=4,30,60))))))</f>
        <v/>
      </c>
      <c r="I689" s="21">
        <f>IF($F689="","",$F689+$H689)</f>
        <v/>
      </c>
      <c r="J689">
        <f>IF($F689="","⚪ NEW",IF($G689&gt;=5,"✅ DONE",IF($I689&lt;TODAY(),"🔴 OVERDUE",IF($I689=TODAY(),"🟢 TODAY",IF($I689=TODAY()+1,"🔵 TOMORROW",IF($I689&lt;=TODAY()+7,"📅 THIS WEEK","⏳ SCHEDULED"))))))</f>
        <v/>
      </c>
      <c r="K689" s="20">
        <f>IF($F689="",999,IF($G689&gt;=5,9999,IF($I689="",999,$I689-TODAY())))</f>
        <v/>
      </c>
    </row>
    <row r="690">
      <c r="A690" s="32">
        <f>ROW()-2</f>
        <v/>
      </c>
      <c r="B690" s="33" t="inlineStr">
        <is>
          <t>S6</t>
        </is>
      </c>
      <c r="C690" s="33" t="inlineStr">
        <is>
          <t>Pathologie respiratoire</t>
        </is>
      </c>
      <c r="D690" s="33" t="inlineStr">
        <is>
          <t>Médecine</t>
        </is>
      </c>
      <c r="E690" s="33" t="inlineStr">
        <is>
          <t>Kyste hydatique pulmonaire (KHP)</t>
        </is>
      </c>
      <c r="F690" s="18" t="n"/>
      <c r="G690" s="19" t="n"/>
      <c r="H690" s="20">
        <f>IF($G690="",1,IF($G690=0,1,IF($G690=1,3,IF($G690=2,7,IF($G690=3,14,IF($G690=4,30,60))))))</f>
        <v/>
      </c>
      <c r="I690" s="21">
        <f>IF($F690="","",$F690+$H690)</f>
        <v/>
      </c>
      <c r="J690">
        <f>IF($F690="","⚪ NEW",IF($G690&gt;=5,"✅ DONE",IF($I690&lt;TODAY(),"🔴 OVERDUE",IF($I690=TODAY(),"🟢 TODAY",IF($I690=TODAY()+1,"🔵 TOMORROW",IF($I690&lt;=TODAY()+7,"📅 THIS WEEK","⏳ SCHEDULED"))))))</f>
        <v/>
      </c>
      <c r="K690" s="20">
        <f>IF($F690="",999,IF($G690&gt;=5,9999,IF($I690="",999,$I690-TODAY())))</f>
        <v/>
      </c>
    </row>
    <row r="691">
      <c r="A691" s="32">
        <f>ROW()-2</f>
        <v/>
      </c>
      <c r="B691" s="33" t="inlineStr">
        <is>
          <t>S6</t>
        </is>
      </c>
      <c r="C691" s="33" t="inlineStr">
        <is>
          <t>Pathologie respiratoire</t>
        </is>
      </c>
      <c r="D691" s="33" t="inlineStr">
        <is>
          <t>Médecine</t>
        </is>
      </c>
      <c r="E691" s="33" t="inlineStr">
        <is>
          <t>Insuffisance respiratoire aiguë</t>
        </is>
      </c>
      <c r="F691" s="18" t="n"/>
      <c r="G691" s="19" t="n"/>
      <c r="H691" s="20">
        <f>IF($G691="",1,IF($G691=0,1,IF($G691=1,3,IF($G691=2,7,IF($G691=3,14,IF($G691=4,30,60))))))</f>
        <v/>
      </c>
      <c r="I691" s="21">
        <f>IF($F691="","",$F691+$H691)</f>
        <v/>
      </c>
      <c r="J691">
        <f>IF($F691="","⚪ NEW",IF($G691&gt;=5,"✅ DONE",IF($I691&lt;TODAY(),"🔴 OVERDUE",IF($I691=TODAY(),"🟢 TODAY",IF($I691=TODAY()+1,"🔵 TOMORROW",IF($I691&lt;=TODAY()+7,"📅 THIS WEEK","⏳ SCHEDULED"))))))</f>
        <v/>
      </c>
      <c r="K691" s="20">
        <f>IF($F691="",999,IF($G691&gt;=5,9999,IF($I691="",999,$I691-TODAY())))</f>
        <v/>
      </c>
    </row>
    <row r="692">
      <c r="A692" s="32">
        <f>ROW()-2</f>
        <v/>
      </c>
      <c r="B692" s="33" t="inlineStr">
        <is>
          <t>S6</t>
        </is>
      </c>
      <c r="C692" s="33" t="inlineStr">
        <is>
          <t>Pathologie respiratoire</t>
        </is>
      </c>
      <c r="D692" s="33" t="inlineStr">
        <is>
          <t>Médecine</t>
        </is>
      </c>
      <c r="E692" s="33" t="inlineStr">
        <is>
          <t>Introduction à la tuberculose</t>
        </is>
      </c>
      <c r="F692" s="18" t="n"/>
      <c r="G692" s="19" t="n"/>
      <c r="H692" s="20">
        <f>IF($G692="",1,IF($G692=0,1,IF($G692=1,3,IF($G692=2,7,IF($G692=3,14,IF($G692=4,30,60))))))</f>
        <v/>
      </c>
      <c r="I692" s="21">
        <f>IF($F692="","",$F692+$H692)</f>
        <v/>
      </c>
      <c r="J692">
        <f>IF($F692="","⚪ NEW",IF($G692&gt;=5,"✅ DONE",IF($I692&lt;TODAY(),"🔴 OVERDUE",IF($I692=TODAY(),"🟢 TODAY",IF($I692=TODAY()+1,"🔵 TOMORROW",IF($I692&lt;=TODAY()+7,"📅 THIS WEEK","⏳ SCHEDULED"))))))</f>
        <v/>
      </c>
      <c r="K692" s="20">
        <f>IF($F692="",999,IF($G692&gt;=5,9999,IF($I692="",999,$I692-TODAY())))</f>
        <v/>
      </c>
    </row>
    <row r="693">
      <c r="A693" s="32">
        <f>ROW()-2</f>
        <v/>
      </c>
      <c r="B693" s="33" t="inlineStr">
        <is>
          <t>S6</t>
        </is>
      </c>
      <c r="C693" s="33" t="inlineStr">
        <is>
          <t>Pathologie respiratoire</t>
        </is>
      </c>
      <c r="D693" s="33" t="inlineStr">
        <is>
          <t>Médecine</t>
        </is>
      </c>
      <c r="E693" s="33" t="inlineStr">
        <is>
          <t>Primo-infection tuberculeuse</t>
        </is>
      </c>
      <c r="F693" s="18" t="n"/>
      <c r="G693" s="19" t="n"/>
      <c r="H693" s="20">
        <f>IF($G693="",1,IF($G693=0,1,IF($G693=1,3,IF($G693=2,7,IF($G693=3,14,IF($G693=4,30,60))))))</f>
        <v/>
      </c>
      <c r="I693" s="21">
        <f>IF($F693="","",$F693+$H693)</f>
        <v/>
      </c>
      <c r="J693">
        <f>IF($F693="","⚪ NEW",IF($G693&gt;=5,"✅ DONE",IF($I693&lt;TODAY(),"🔴 OVERDUE",IF($I693=TODAY(),"🟢 TODAY",IF($I693=TODAY()+1,"🔵 TOMORROW",IF($I693&lt;=TODAY()+7,"📅 THIS WEEK","⏳ SCHEDULED"))))))</f>
        <v/>
      </c>
      <c r="K693" s="20">
        <f>IF($F693="",999,IF($G693&gt;=5,9999,IF($I693="",999,$I693-TODAY())))</f>
        <v/>
      </c>
    </row>
    <row r="694">
      <c r="A694" s="32">
        <f>ROW()-2</f>
        <v/>
      </c>
      <c r="B694" s="33" t="inlineStr">
        <is>
          <t>S6</t>
        </is>
      </c>
      <c r="C694" s="33" t="inlineStr">
        <is>
          <t>Pathologie respiratoire</t>
        </is>
      </c>
      <c r="D694" s="33" t="inlineStr">
        <is>
          <t>Médecine</t>
        </is>
      </c>
      <c r="E694" s="33" t="inlineStr">
        <is>
          <t>Tuberculose pulmonaire commune</t>
        </is>
      </c>
      <c r="F694" s="18" t="n"/>
      <c r="G694" s="19" t="n"/>
      <c r="H694" s="20">
        <f>IF($G694="",1,IF($G694=0,1,IF($G694=1,3,IF($G694=2,7,IF($G694=3,14,IF($G694=4,30,60))))))</f>
        <v/>
      </c>
      <c r="I694" s="21">
        <f>IF($F694="","",$F694+$H694)</f>
        <v/>
      </c>
      <c r="J694">
        <f>IF($F694="","⚪ NEW",IF($G694&gt;=5,"✅ DONE",IF($I694&lt;TODAY(),"🔴 OVERDUE",IF($I694=TODAY(),"🟢 TODAY",IF($I694=TODAY()+1,"🔵 TOMORROW",IF($I694&lt;=TODAY()+7,"📅 THIS WEEK","⏳ SCHEDULED"))))))</f>
        <v/>
      </c>
      <c r="K694" s="20">
        <f>IF($F694="",999,IF($G694&gt;=5,9999,IF($I694="",999,$I694-TODAY())))</f>
        <v/>
      </c>
    </row>
    <row r="695">
      <c r="A695" s="32">
        <f>ROW()-2</f>
        <v/>
      </c>
      <c r="B695" s="33" t="inlineStr">
        <is>
          <t>S6</t>
        </is>
      </c>
      <c r="C695" s="33" t="inlineStr">
        <is>
          <t>Pathologie respiratoire</t>
        </is>
      </c>
      <c r="D695" s="33" t="inlineStr">
        <is>
          <t>Médecine</t>
        </is>
      </c>
      <c r="E695" s="33" t="inlineStr">
        <is>
          <t>Tuberculoses aiguës</t>
        </is>
      </c>
      <c r="F695" s="18" t="n"/>
      <c r="G695" s="19" t="n"/>
      <c r="H695" s="20">
        <f>IF($G695="",1,IF($G695=0,1,IF($G695=1,3,IF($G695=2,7,IF($G695=3,14,IF($G695=4,30,60))))))</f>
        <v/>
      </c>
      <c r="I695" s="21">
        <f>IF($F695="","",$F695+$H695)</f>
        <v/>
      </c>
      <c r="J695">
        <f>IF($F695="","⚪ NEW",IF($G695&gt;=5,"✅ DONE",IF($I695&lt;TODAY(),"🔴 OVERDUE",IF($I695=TODAY(),"🟢 TODAY",IF($I695=TODAY()+1,"🔵 TOMORROW",IF($I695&lt;=TODAY()+7,"📅 THIS WEEK","⏳ SCHEDULED"))))))</f>
        <v/>
      </c>
      <c r="K695" s="20">
        <f>IF($F695="",999,IF($G695&gt;=5,9999,IF($I695="",999,$I695-TODAY())))</f>
        <v/>
      </c>
    </row>
    <row r="696">
      <c r="A696" s="32">
        <f>ROW()-2</f>
        <v/>
      </c>
      <c r="B696" s="33" t="inlineStr">
        <is>
          <t>S6</t>
        </is>
      </c>
      <c r="C696" s="33" t="inlineStr">
        <is>
          <t>Pathologie respiratoire</t>
        </is>
      </c>
      <c r="D696" s="33" t="inlineStr">
        <is>
          <t>Médecine</t>
        </is>
      </c>
      <c r="E696" s="33" t="inlineStr">
        <is>
          <t>Tumeurs médiastinales</t>
        </is>
      </c>
      <c r="F696" s="18" t="n"/>
      <c r="G696" s="19" t="n"/>
      <c r="H696" s="20">
        <f>IF($G696="",1,IF($G696=0,1,IF($G696=1,3,IF($G696=2,7,IF($G696=3,14,IF($G696=4,30,60))))))</f>
        <v/>
      </c>
      <c r="I696" s="21">
        <f>IF($F696="","",$F696+$H696)</f>
        <v/>
      </c>
      <c r="J696">
        <f>IF($F696="","⚪ NEW",IF($G696&gt;=5,"✅ DONE",IF($I696&lt;TODAY(),"🔴 OVERDUE",IF($I696=TODAY(),"🟢 TODAY",IF($I696=TODAY()+1,"🔵 TOMORROW",IF($I696&lt;=TODAY()+7,"📅 THIS WEEK","⏳ SCHEDULED"))))))</f>
        <v/>
      </c>
      <c r="K696" s="20">
        <f>IF($F696="",999,IF($G696&gt;=5,9999,IF($I696="",999,$I696-TODAY())))</f>
        <v/>
      </c>
    </row>
    <row r="697">
      <c r="A697" s="32">
        <f>ROW()-2</f>
        <v/>
      </c>
      <c r="B697" s="33" t="inlineStr">
        <is>
          <t>S6</t>
        </is>
      </c>
      <c r="C697" s="33" t="inlineStr">
        <is>
          <t>Pathologie respiratoire</t>
        </is>
      </c>
      <c r="D697" s="33" t="inlineStr">
        <is>
          <t>Chirurgie</t>
        </is>
      </c>
      <c r="E697" s="33" t="inlineStr">
        <is>
          <t>Pneumothorax</t>
        </is>
      </c>
      <c r="F697" s="18" t="n"/>
      <c r="G697" s="19" t="n"/>
      <c r="H697" s="20">
        <f>IF($G697="",1,IF($G697=0,1,IF($G697=1,3,IF($G697=2,7,IF($G697=3,14,IF($G697=4,30,60))))))</f>
        <v/>
      </c>
      <c r="I697" s="21">
        <f>IF($F697="","",$F697+$H697)</f>
        <v/>
      </c>
      <c r="J697">
        <f>IF($F697="","⚪ NEW",IF($G697&gt;=5,"✅ DONE",IF($I697&lt;TODAY(),"🔴 OVERDUE",IF($I697=TODAY(),"🟢 TODAY",IF($I697=TODAY()+1,"🔵 TOMORROW",IF($I697&lt;=TODAY()+7,"📅 THIS WEEK","⏳ SCHEDULED"))))))</f>
        <v/>
      </c>
      <c r="K697" s="20">
        <f>IF($F697="",999,IF($G697&gt;=5,9999,IF($I697="",999,$I697-TODAY())))</f>
        <v/>
      </c>
    </row>
    <row r="698">
      <c r="A698" s="32">
        <f>ROW()-2</f>
        <v/>
      </c>
      <c r="B698" s="33" t="inlineStr">
        <is>
          <t>S6</t>
        </is>
      </c>
      <c r="C698" s="33" t="inlineStr">
        <is>
          <t>Pathologie respiratoire</t>
        </is>
      </c>
      <c r="D698" s="33" t="inlineStr">
        <is>
          <t>Chirurgie</t>
        </is>
      </c>
      <c r="E698" s="33" t="inlineStr">
        <is>
          <t>Les traumatismes thoraciques</t>
        </is>
      </c>
      <c r="F698" s="18" t="n"/>
      <c r="G698" s="19" t="n"/>
      <c r="H698" s="20">
        <f>IF($G698="",1,IF($G698=0,1,IF($G698=1,3,IF($G698=2,7,IF($G698=3,14,IF($G698=4,30,60))))))</f>
        <v/>
      </c>
      <c r="I698" s="21">
        <f>IF($F698="","",$F698+$H698)</f>
        <v/>
      </c>
      <c r="J698">
        <f>IF($F698="","⚪ NEW",IF($G698&gt;=5,"✅ DONE",IF($I698&lt;TODAY(),"🔴 OVERDUE",IF($I698=TODAY(),"🟢 TODAY",IF($I698=TODAY()+1,"🔵 TOMORROW",IF($I698&lt;=TODAY()+7,"📅 THIS WEEK","⏳ SCHEDULED"))))))</f>
        <v/>
      </c>
      <c r="K698" s="20">
        <f>IF($F698="",999,IF($G698&gt;=5,9999,IF($I698="",999,$I698-TODAY())))</f>
        <v/>
      </c>
    </row>
    <row r="699">
      <c r="A699" s="34">
        <f>ROW()-2</f>
        <v/>
      </c>
      <c r="B699" s="35" t="inlineStr">
        <is>
          <t>S6</t>
        </is>
      </c>
      <c r="C699" s="35" t="inlineStr">
        <is>
          <t>Pathologie cardiovasculaire</t>
        </is>
      </c>
      <c r="D699" s="35" t="inlineStr">
        <is>
          <t>Médecine</t>
        </is>
      </c>
      <c r="E699" s="35" t="inlineStr">
        <is>
          <t>Rhumatisme articulaire aigu</t>
        </is>
      </c>
      <c r="F699" s="18" t="n"/>
      <c r="G699" s="19" t="n"/>
      <c r="H699" s="20">
        <f>IF($G699="",1,IF($G699=0,1,IF($G699=1,3,IF($G699=2,7,IF($G699=3,14,IF($G699=4,30,60))))))</f>
        <v/>
      </c>
      <c r="I699" s="21">
        <f>IF($F699="","",$F699+$H699)</f>
        <v/>
      </c>
      <c r="J699">
        <f>IF($F699="","⚪ NEW",IF($G699&gt;=5,"✅ DONE",IF($I699&lt;TODAY(),"🔴 OVERDUE",IF($I699=TODAY(),"🟢 TODAY",IF($I699=TODAY()+1,"🔵 TOMORROW",IF($I699&lt;=TODAY()+7,"📅 THIS WEEK","⏳ SCHEDULED"))))))</f>
        <v/>
      </c>
      <c r="K699" s="20">
        <f>IF($F699="",999,IF($G699&gt;=5,9999,IF($I699="",999,$I699-TODAY())))</f>
        <v/>
      </c>
    </row>
    <row r="700">
      <c r="A700" s="34">
        <f>ROW()-2</f>
        <v/>
      </c>
      <c r="B700" s="35" t="inlineStr">
        <is>
          <t>S6</t>
        </is>
      </c>
      <c r="C700" s="35" t="inlineStr">
        <is>
          <t>Pathologie cardiovasculaire</t>
        </is>
      </c>
      <c r="D700" s="35" t="inlineStr">
        <is>
          <t>Médecine</t>
        </is>
      </c>
      <c r="E700" s="35" t="inlineStr">
        <is>
          <t>Les endocardites infectieuses</t>
        </is>
      </c>
      <c r="F700" s="18" t="n"/>
      <c r="G700" s="19" t="n"/>
      <c r="H700" s="20">
        <f>IF($G700="",1,IF($G700=0,1,IF($G700=1,3,IF($G700=2,7,IF($G700=3,14,IF($G700=4,30,60))))))</f>
        <v/>
      </c>
      <c r="I700" s="21">
        <f>IF($F700="","",$F700+$H700)</f>
        <v/>
      </c>
      <c r="J700">
        <f>IF($F700="","⚪ NEW",IF($G700&gt;=5,"✅ DONE",IF($I700&lt;TODAY(),"🔴 OVERDUE",IF($I700=TODAY(),"🟢 TODAY",IF($I700=TODAY()+1,"🔵 TOMORROW",IF($I700&lt;=TODAY()+7,"📅 THIS WEEK","⏳ SCHEDULED"))))))</f>
        <v/>
      </c>
      <c r="K700" s="20">
        <f>IF($F700="",999,IF($G700&gt;=5,9999,IF($I700="",999,$I700-TODAY())))</f>
        <v/>
      </c>
    </row>
    <row r="701">
      <c r="A701" s="34">
        <f>ROW()-2</f>
        <v/>
      </c>
      <c r="B701" s="35" t="inlineStr">
        <is>
          <t>S6</t>
        </is>
      </c>
      <c r="C701" s="35" t="inlineStr">
        <is>
          <t>Pathologie cardiovasculaire</t>
        </is>
      </c>
      <c r="D701" s="35" t="inlineStr">
        <is>
          <t>Médecine</t>
        </is>
      </c>
      <c r="E701" s="35" t="inlineStr">
        <is>
          <t>Insuffisance mitrale</t>
        </is>
      </c>
      <c r="F701" s="18" t="n"/>
      <c r="G701" s="19" t="n"/>
      <c r="H701" s="20">
        <f>IF($G701="",1,IF($G701=0,1,IF($G701=1,3,IF($G701=2,7,IF($G701=3,14,IF($G701=4,30,60))))))</f>
        <v/>
      </c>
      <c r="I701" s="21">
        <f>IF($F701="","",$F701+$H701)</f>
        <v/>
      </c>
      <c r="J701">
        <f>IF($F701="","⚪ NEW",IF($G701&gt;=5,"✅ DONE",IF($I701&lt;TODAY(),"🔴 OVERDUE",IF($I701=TODAY(),"🟢 TODAY",IF($I701=TODAY()+1,"🔵 TOMORROW",IF($I701&lt;=TODAY()+7,"📅 THIS WEEK","⏳ SCHEDULED"))))))</f>
        <v/>
      </c>
      <c r="K701" s="20">
        <f>IF($F701="",999,IF($G701&gt;=5,9999,IF($I701="",999,$I701-TODAY())))</f>
        <v/>
      </c>
    </row>
    <row r="702">
      <c r="A702" s="34">
        <f>ROW()-2</f>
        <v/>
      </c>
      <c r="B702" s="35" t="inlineStr">
        <is>
          <t>S6</t>
        </is>
      </c>
      <c r="C702" s="35" t="inlineStr">
        <is>
          <t>Pathologie cardiovasculaire</t>
        </is>
      </c>
      <c r="D702" s="35" t="inlineStr">
        <is>
          <t>Médecine</t>
        </is>
      </c>
      <c r="E702" s="35" t="inlineStr">
        <is>
          <t>Insuffisance aortique</t>
        </is>
      </c>
      <c r="F702" s="18" t="n"/>
      <c r="G702" s="19" t="n"/>
      <c r="H702" s="20">
        <f>IF($G702="",1,IF($G702=0,1,IF($G702=1,3,IF($G702=2,7,IF($G702=3,14,IF($G702=4,30,60))))))</f>
        <v/>
      </c>
      <c r="I702" s="21">
        <f>IF($F702="","",$F702+$H702)</f>
        <v/>
      </c>
      <c r="J702">
        <f>IF($F702="","⚪ NEW",IF($G702&gt;=5,"✅ DONE",IF($I702&lt;TODAY(),"🔴 OVERDUE",IF($I702=TODAY(),"🟢 TODAY",IF($I702=TODAY()+1,"🔵 TOMORROW",IF($I702&lt;=TODAY()+7,"📅 THIS WEEK","⏳ SCHEDULED"))))))</f>
        <v/>
      </c>
      <c r="K702" s="20">
        <f>IF($F702="",999,IF($G702&gt;=5,9999,IF($I702="",999,$I702-TODAY())))</f>
        <v/>
      </c>
    </row>
    <row r="703">
      <c r="A703" s="34">
        <f>ROW()-2</f>
        <v/>
      </c>
      <c r="B703" s="35" t="inlineStr">
        <is>
          <t>S6</t>
        </is>
      </c>
      <c r="C703" s="35" t="inlineStr">
        <is>
          <t>Pathologie cardiovasculaire</t>
        </is>
      </c>
      <c r="D703" s="35" t="inlineStr">
        <is>
          <t>Médecine</t>
        </is>
      </c>
      <c r="E703" s="35" t="inlineStr">
        <is>
          <t>Rétrécissement mitral</t>
        </is>
      </c>
      <c r="F703" s="18" t="n"/>
      <c r="G703" s="19" t="n"/>
      <c r="H703" s="20">
        <f>IF($G703="",1,IF($G703=0,1,IF($G703=1,3,IF($G703=2,7,IF($G703=3,14,IF($G703=4,30,60))))))</f>
        <v/>
      </c>
      <c r="I703" s="21">
        <f>IF($F703="","",$F703+$H703)</f>
        <v/>
      </c>
      <c r="J703">
        <f>IF($F703="","⚪ NEW",IF($G703&gt;=5,"✅ DONE",IF($I703&lt;TODAY(),"🔴 OVERDUE",IF($I703=TODAY(),"🟢 TODAY",IF($I703=TODAY()+1,"🔵 TOMORROW",IF($I703&lt;=TODAY()+7,"📅 THIS WEEK","⏳ SCHEDULED"))))))</f>
        <v/>
      </c>
      <c r="K703" s="20">
        <f>IF($F703="",999,IF($G703&gt;=5,9999,IF($I703="",999,$I703-TODAY())))</f>
        <v/>
      </c>
    </row>
    <row r="704">
      <c r="A704" s="34">
        <f>ROW()-2</f>
        <v/>
      </c>
      <c r="B704" s="35" t="inlineStr">
        <is>
          <t>S6</t>
        </is>
      </c>
      <c r="C704" s="35" t="inlineStr">
        <is>
          <t>Pathologie cardiovasculaire</t>
        </is>
      </c>
      <c r="D704" s="35" t="inlineStr">
        <is>
          <t>Médecine</t>
        </is>
      </c>
      <c r="E704" s="35" t="inlineStr">
        <is>
          <t>Rétrécissement aortique</t>
        </is>
      </c>
      <c r="F704" s="18" t="n"/>
      <c r="G704" s="19" t="n"/>
      <c r="H704" s="20">
        <f>IF($G704="",1,IF($G704=0,1,IF($G704=1,3,IF($G704=2,7,IF($G704=3,14,IF($G704=4,30,60))))))</f>
        <v/>
      </c>
      <c r="I704" s="21">
        <f>IF($F704="","",$F704+$H704)</f>
        <v/>
      </c>
      <c r="J704">
        <f>IF($F704="","⚪ NEW",IF($G704&gt;=5,"✅ DONE",IF($I704&lt;TODAY(),"🔴 OVERDUE",IF($I704=TODAY(),"🟢 TODAY",IF($I704=TODAY()+1,"🔵 TOMORROW",IF($I704&lt;=TODAY()+7,"📅 THIS WEEK","⏳ SCHEDULED"))))))</f>
        <v/>
      </c>
      <c r="K704" s="20">
        <f>IF($F704="",999,IF($G704&gt;=5,9999,IF($I704="",999,$I704-TODAY())))</f>
        <v/>
      </c>
    </row>
    <row r="705">
      <c r="A705" s="34">
        <f>ROW()-2</f>
        <v/>
      </c>
      <c r="B705" s="35" t="inlineStr">
        <is>
          <t>S6</t>
        </is>
      </c>
      <c r="C705" s="35" t="inlineStr">
        <is>
          <t>Pathologie cardiovasculaire</t>
        </is>
      </c>
      <c r="D705" s="35" t="inlineStr">
        <is>
          <t>Médecine</t>
        </is>
      </c>
      <c r="E705" s="35" t="inlineStr">
        <is>
          <t>Les cardiopathies congénitales</t>
        </is>
      </c>
      <c r="F705" s="18" t="n"/>
      <c r="G705" s="19" t="n"/>
      <c r="H705" s="20">
        <f>IF($G705="",1,IF($G705=0,1,IF($G705=1,3,IF($G705=2,7,IF($G705=3,14,IF($G705=4,30,60))))))</f>
        <v/>
      </c>
      <c r="I705" s="21">
        <f>IF($F705="","",$F705+$H705)</f>
        <v/>
      </c>
      <c r="J705">
        <f>IF($F705="","⚪ NEW",IF($G705&gt;=5,"✅ DONE",IF($I705&lt;TODAY(),"🔴 OVERDUE",IF($I705=TODAY(),"🟢 TODAY",IF($I705=TODAY()+1,"🔵 TOMORROW",IF($I705&lt;=TODAY()+7,"📅 THIS WEEK","⏳ SCHEDULED"))))))</f>
        <v/>
      </c>
      <c r="K705" s="20">
        <f>IF($F705="",999,IF($G705&gt;=5,9999,IF($I705="",999,$I705-TODAY())))</f>
        <v/>
      </c>
    </row>
    <row r="706">
      <c r="A706" s="34">
        <f>ROW()-2</f>
        <v/>
      </c>
      <c r="B706" s="35" t="inlineStr">
        <is>
          <t>S6</t>
        </is>
      </c>
      <c r="C706" s="35" t="inlineStr">
        <is>
          <t>Pathologie cardiovasculaire</t>
        </is>
      </c>
      <c r="D706" s="35" t="inlineStr">
        <is>
          <t>Médecine</t>
        </is>
      </c>
      <c r="E706" s="35" t="inlineStr">
        <is>
          <t>La maladie veineuse thrombo-embolique</t>
        </is>
      </c>
      <c r="F706" s="18" t="n"/>
      <c r="G706" s="19" t="n"/>
      <c r="H706" s="20">
        <f>IF($G706="",1,IF($G706=0,1,IF($G706=1,3,IF($G706=2,7,IF($G706=3,14,IF($G706=4,30,60))))))</f>
        <v/>
      </c>
      <c r="I706" s="21">
        <f>IF($F706="","",$F706+$H706)</f>
        <v/>
      </c>
      <c r="J706">
        <f>IF($F706="","⚪ NEW",IF($G706&gt;=5,"✅ DONE",IF($I706&lt;TODAY(),"🔴 OVERDUE",IF($I706=TODAY(),"🟢 TODAY",IF($I706=TODAY()+1,"🔵 TOMORROW",IF($I706&lt;=TODAY()+7,"📅 THIS WEEK","⏳ SCHEDULED"))))))</f>
        <v/>
      </c>
      <c r="K706" s="20">
        <f>IF($F706="",999,IF($G706&gt;=5,9999,IF($I706="",999,$I706-TODAY())))</f>
        <v/>
      </c>
    </row>
    <row r="707">
      <c r="A707" s="34">
        <f>ROW()-2</f>
        <v/>
      </c>
      <c r="B707" s="35" t="inlineStr">
        <is>
          <t>S6</t>
        </is>
      </c>
      <c r="C707" s="35" t="inlineStr">
        <is>
          <t>Pathologie cardiovasculaire</t>
        </is>
      </c>
      <c r="D707" s="35" t="inlineStr">
        <is>
          <t>Médecine</t>
        </is>
      </c>
      <c r="E707" s="35" t="inlineStr">
        <is>
          <t>Angor chronique stable (syndrome coronarien chronique)</t>
        </is>
      </c>
      <c r="F707" s="18" t="n"/>
      <c r="G707" s="19" t="n"/>
      <c r="H707" s="20">
        <f>IF($G707="",1,IF($G707=0,1,IF($G707=1,3,IF($G707=2,7,IF($G707=3,14,IF($G707=4,30,60))))))</f>
        <v/>
      </c>
      <c r="I707" s="21">
        <f>IF($F707="","",$F707+$H707)</f>
        <v/>
      </c>
      <c r="J707">
        <f>IF($F707="","⚪ NEW",IF($G707&gt;=5,"✅ DONE",IF($I707&lt;TODAY(),"🔴 OVERDUE",IF($I707=TODAY(),"🟢 TODAY",IF($I707=TODAY()+1,"🔵 TOMORROW",IF($I707&lt;=TODAY()+7,"📅 THIS WEEK","⏳ SCHEDULED"))))))</f>
        <v/>
      </c>
      <c r="K707" s="20">
        <f>IF($F707="",999,IF($G707&gt;=5,9999,IF($I707="",999,$I707-TODAY())))</f>
        <v/>
      </c>
    </row>
    <row r="708">
      <c r="A708" s="34">
        <f>ROW()-2</f>
        <v/>
      </c>
      <c r="B708" s="35" t="inlineStr">
        <is>
          <t>S6</t>
        </is>
      </c>
      <c r="C708" s="35" t="inlineStr">
        <is>
          <t>Pathologie cardiovasculaire</t>
        </is>
      </c>
      <c r="D708" s="35" t="inlineStr">
        <is>
          <t>Médecine</t>
        </is>
      </c>
      <c r="E708" s="35" t="inlineStr">
        <is>
          <t>SCA ST+</t>
        </is>
      </c>
      <c r="F708" s="18" t="n"/>
      <c r="G708" s="19" t="n"/>
      <c r="H708" s="20">
        <f>IF($G708="",1,IF($G708=0,1,IF($G708=1,3,IF($G708=2,7,IF($G708=3,14,IF($G708=4,30,60))))))</f>
        <v/>
      </c>
      <c r="I708" s="21">
        <f>IF($F708="","",$F708+$H708)</f>
        <v/>
      </c>
      <c r="J708">
        <f>IF($F708="","⚪ NEW",IF($G708&gt;=5,"✅ DONE",IF($I708&lt;TODAY(),"🔴 OVERDUE",IF($I708=TODAY(),"🟢 TODAY",IF($I708=TODAY()+1,"🔵 TOMORROW",IF($I708&lt;=TODAY()+7,"📅 THIS WEEK","⏳ SCHEDULED"))))))</f>
        <v/>
      </c>
      <c r="K708" s="20">
        <f>IF($F708="",999,IF($G708&gt;=5,9999,IF($I708="",999,$I708-TODAY())))</f>
        <v/>
      </c>
    </row>
    <row r="709">
      <c r="A709" s="34">
        <f>ROW()-2</f>
        <v/>
      </c>
      <c r="B709" s="35" t="inlineStr">
        <is>
          <t>S6</t>
        </is>
      </c>
      <c r="C709" s="35" t="inlineStr">
        <is>
          <t>Pathologie cardiovasculaire</t>
        </is>
      </c>
      <c r="D709" s="35" t="inlineStr">
        <is>
          <t>Médecine</t>
        </is>
      </c>
      <c r="E709" s="35" t="inlineStr">
        <is>
          <t>SCA ST-</t>
        </is>
      </c>
      <c r="F709" s="18" t="n"/>
      <c r="G709" s="19" t="n"/>
      <c r="H709" s="20">
        <f>IF($G709="",1,IF($G709=0,1,IF($G709=1,3,IF($G709=2,7,IF($G709=3,14,IF($G709=4,30,60))))))</f>
        <v/>
      </c>
      <c r="I709" s="21">
        <f>IF($F709="","",$F709+$H709)</f>
        <v/>
      </c>
      <c r="J709">
        <f>IF($F709="","⚪ NEW",IF($G709&gt;=5,"✅ DONE",IF($I709&lt;TODAY(),"🔴 OVERDUE",IF($I709=TODAY(),"🟢 TODAY",IF($I709=TODAY()+1,"🔵 TOMORROW",IF($I709&lt;=TODAY()+7,"📅 THIS WEEK","⏳ SCHEDULED"))))))</f>
        <v/>
      </c>
      <c r="K709" s="20">
        <f>IF($F709="",999,IF($G709&gt;=5,9999,IF($I709="",999,$I709-TODAY())))</f>
        <v/>
      </c>
    </row>
    <row r="710">
      <c r="A710" s="34">
        <f>ROW()-2</f>
        <v/>
      </c>
      <c r="B710" s="35" t="inlineStr">
        <is>
          <t>S6</t>
        </is>
      </c>
      <c r="C710" s="35" t="inlineStr">
        <is>
          <t>Pathologie cardiovasculaire</t>
        </is>
      </c>
      <c r="D710" s="35" t="inlineStr">
        <is>
          <t>Médecine</t>
        </is>
      </c>
      <c r="E710" s="35" t="inlineStr">
        <is>
          <t>Maladie du péricarde : péricardite aiguë</t>
        </is>
      </c>
      <c r="F710" s="18" t="n"/>
      <c r="G710" s="19" t="n"/>
      <c r="H710" s="20">
        <f>IF($G710="",1,IF($G710=0,1,IF($G710=1,3,IF($G710=2,7,IF($G710=3,14,IF($G710=4,30,60))))))</f>
        <v/>
      </c>
      <c r="I710" s="21">
        <f>IF($F710="","",$F710+$H710)</f>
        <v/>
      </c>
      <c r="J710">
        <f>IF($F710="","⚪ NEW",IF($G710&gt;=5,"✅ DONE",IF($I710&lt;TODAY(),"🔴 OVERDUE",IF($I710=TODAY(),"🟢 TODAY",IF($I710=TODAY()+1,"🔵 TOMORROW",IF($I710&lt;=TODAY()+7,"📅 THIS WEEK","⏳ SCHEDULED"))))))</f>
        <v/>
      </c>
      <c r="K710" s="20">
        <f>IF($F710="",999,IF($G710&gt;=5,9999,IF($I710="",999,$I710-TODAY())))</f>
        <v/>
      </c>
    </row>
    <row r="711">
      <c r="A711" s="34">
        <f>ROW()-2</f>
        <v/>
      </c>
      <c r="B711" s="35" t="inlineStr">
        <is>
          <t>S6</t>
        </is>
      </c>
      <c r="C711" s="35" t="inlineStr">
        <is>
          <t>Pathologie cardiovasculaire</t>
        </is>
      </c>
      <c r="D711" s="35" t="inlineStr">
        <is>
          <t>Médecine</t>
        </is>
      </c>
      <c r="E711" s="35" t="inlineStr">
        <is>
          <t>La péricardite chronique constrictive</t>
        </is>
      </c>
      <c r="F711" s="18" t="n"/>
      <c r="G711" s="19" t="n"/>
      <c r="H711" s="20">
        <f>IF($G711="",1,IF($G711=0,1,IF($G711=1,3,IF($G711=2,7,IF($G711=3,14,IF($G711=4,30,60))))))</f>
        <v/>
      </c>
      <c r="I711" s="21">
        <f>IF($F711="","",$F711+$H711)</f>
        <v/>
      </c>
      <c r="J711">
        <f>IF($F711="","⚪ NEW",IF($G711&gt;=5,"✅ DONE",IF($I711&lt;TODAY(),"🔴 OVERDUE",IF($I711=TODAY(),"🟢 TODAY",IF($I711=TODAY()+1,"🔵 TOMORROW",IF($I711&lt;=TODAY()+7,"📅 THIS WEEK","⏳ SCHEDULED"))))))</f>
        <v/>
      </c>
      <c r="K711" s="20">
        <f>IF($F711="",999,IF($G711&gt;=5,9999,IF($I711="",999,$I711-TODAY())))</f>
        <v/>
      </c>
    </row>
    <row r="712">
      <c r="A712" s="34">
        <f>ROW()-2</f>
        <v/>
      </c>
      <c r="B712" s="35" t="inlineStr">
        <is>
          <t>S6</t>
        </is>
      </c>
      <c r="C712" s="35" t="inlineStr">
        <is>
          <t>Pathologie cardiovasculaire</t>
        </is>
      </c>
      <c r="D712" s="35" t="inlineStr">
        <is>
          <t>Médecine</t>
        </is>
      </c>
      <c r="E712" s="35" t="inlineStr">
        <is>
          <t>La tamponnade</t>
        </is>
      </c>
      <c r="F712" s="18" t="n"/>
      <c r="G712" s="19" t="n"/>
      <c r="H712" s="20">
        <f>IF($G712="",1,IF($G712=0,1,IF($G712=1,3,IF($G712=2,7,IF($G712=3,14,IF($G712=4,30,60))))))</f>
        <v/>
      </c>
      <c r="I712" s="21">
        <f>IF($F712="","",$F712+$H712)</f>
        <v/>
      </c>
      <c r="J712">
        <f>IF($F712="","⚪ NEW",IF($G712&gt;=5,"✅ DONE",IF($I712&lt;TODAY(),"🔴 OVERDUE",IF($I712=TODAY(),"🟢 TODAY",IF($I712=TODAY()+1,"🔵 TOMORROW",IF($I712&lt;=TODAY()+7,"📅 THIS WEEK","⏳ SCHEDULED"))))))</f>
        <v/>
      </c>
      <c r="K712" s="20">
        <f>IF($F712="",999,IF($G712&gt;=5,9999,IF($I712="",999,$I712-TODAY())))</f>
        <v/>
      </c>
    </row>
    <row r="713">
      <c r="A713" s="34">
        <f>ROW()-2</f>
        <v/>
      </c>
      <c r="B713" s="35" t="inlineStr">
        <is>
          <t>S6</t>
        </is>
      </c>
      <c r="C713" s="35" t="inlineStr">
        <is>
          <t>Pathologie cardiovasculaire</t>
        </is>
      </c>
      <c r="D713" s="35" t="inlineStr">
        <is>
          <t>Médecine</t>
        </is>
      </c>
      <c r="E713" s="35" t="inlineStr">
        <is>
          <t>Athérosclérose</t>
        </is>
      </c>
      <c r="F713" s="18" t="n"/>
      <c r="G713" s="19" t="n"/>
      <c r="H713" s="20">
        <f>IF($G713="",1,IF($G713=0,1,IF($G713=1,3,IF($G713=2,7,IF($G713=3,14,IF($G713=4,30,60))))))</f>
        <v/>
      </c>
      <c r="I713" s="21">
        <f>IF($F713="","",$F713+$H713)</f>
        <v/>
      </c>
      <c r="J713">
        <f>IF($F713="","⚪ NEW",IF($G713&gt;=5,"✅ DONE",IF($I713&lt;TODAY(),"🔴 OVERDUE",IF($I713=TODAY(),"🟢 TODAY",IF($I713=TODAY()+1,"🔵 TOMORROW",IF($I713&lt;=TODAY()+7,"📅 THIS WEEK","⏳ SCHEDULED"))))))</f>
        <v/>
      </c>
      <c r="K713" s="20">
        <f>IF($F713="",999,IF($G713&gt;=5,9999,IF($I713="",999,$I713-TODAY())))</f>
        <v/>
      </c>
    </row>
    <row r="714">
      <c r="A714" s="34">
        <f>ROW()-2</f>
        <v/>
      </c>
      <c r="B714" s="35" t="inlineStr">
        <is>
          <t>S6</t>
        </is>
      </c>
      <c r="C714" s="35" t="inlineStr">
        <is>
          <t>Pathologie cardiovasculaire</t>
        </is>
      </c>
      <c r="D714" s="35" t="inlineStr">
        <is>
          <t>Médecine</t>
        </is>
      </c>
      <c r="E714" s="35" t="inlineStr">
        <is>
          <t>Risque cardiovasculaire</t>
        </is>
      </c>
      <c r="F714" s="18" t="n"/>
      <c r="G714" s="19" t="n"/>
      <c r="H714" s="20">
        <f>IF($G714="",1,IF($G714=0,1,IF($G714=1,3,IF($G714=2,7,IF($G714=3,14,IF($G714=4,30,60))))))</f>
        <v/>
      </c>
      <c r="I714" s="21">
        <f>IF($F714="","",$F714+$H714)</f>
        <v/>
      </c>
      <c r="J714">
        <f>IF($F714="","⚪ NEW",IF($G714&gt;=5,"✅ DONE",IF($I714&lt;TODAY(),"🔴 OVERDUE",IF($I714=TODAY(),"🟢 TODAY",IF($I714=TODAY()+1,"🔵 TOMORROW",IF($I714&lt;=TODAY()+7,"📅 THIS WEEK","⏳ SCHEDULED"))))))</f>
        <v/>
      </c>
      <c r="K714" s="20">
        <f>IF($F714="",999,IF($G714&gt;=5,9999,IF($I714="",999,$I714-TODAY())))</f>
        <v/>
      </c>
    </row>
    <row r="715">
      <c r="A715" s="34">
        <f>ROW()-2</f>
        <v/>
      </c>
      <c r="B715" s="35" t="inlineStr">
        <is>
          <t>S6</t>
        </is>
      </c>
      <c r="C715" s="35" t="inlineStr">
        <is>
          <t>Pathologie cardiovasculaire</t>
        </is>
      </c>
      <c r="D715" s="35" t="inlineStr">
        <is>
          <t>Médecine</t>
        </is>
      </c>
      <c r="E715" s="35" t="inlineStr">
        <is>
          <t>HTA</t>
        </is>
      </c>
      <c r="F715" s="18" t="n"/>
      <c r="G715" s="19" t="n"/>
      <c r="H715" s="20">
        <f>IF($G715="",1,IF($G715=0,1,IF($G715=1,3,IF($G715=2,7,IF($G715=3,14,IF($G715=4,30,60))))))</f>
        <v/>
      </c>
      <c r="I715" s="21">
        <f>IF($F715="","",$F715+$H715)</f>
        <v/>
      </c>
      <c r="J715">
        <f>IF($F715="","⚪ NEW",IF($G715&gt;=5,"✅ DONE",IF($I715&lt;TODAY(),"🔴 OVERDUE",IF($I715=TODAY(),"🟢 TODAY",IF($I715=TODAY()+1,"🔵 TOMORROW",IF($I715&lt;=TODAY()+7,"📅 THIS WEEK","⏳ SCHEDULED"))))))</f>
        <v/>
      </c>
      <c r="K715" s="20">
        <f>IF($F715="",999,IF($G715&gt;=5,9999,IF($I715="",999,$I715-TODAY())))</f>
        <v/>
      </c>
    </row>
    <row r="716">
      <c r="A716" s="34">
        <f>ROW()-2</f>
        <v/>
      </c>
      <c r="B716" s="35" t="inlineStr">
        <is>
          <t>S6</t>
        </is>
      </c>
      <c r="C716" s="35" t="inlineStr">
        <is>
          <t>Pathologie cardiovasculaire</t>
        </is>
      </c>
      <c r="D716" s="35" t="inlineStr">
        <is>
          <t>Médecine</t>
        </is>
      </c>
      <c r="E716" s="35" t="inlineStr">
        <is>
          <t>HTAP</t>
        </is>
      </c>
      <c r="F716" s="18" t="n"/>
      <c r="G716" s="19" t="n"/>
      <c r="H716" s="20">
        <f>IF($G716="",1,IF($G716=0,1,IF($G716=1,3,IF($G716=2,7,IF($G716=3,14,IF($G716=4,30,60))))))</f>
        <v/>
      </c>
      <c r="I716" s="21">
        <f>IF($F716="","",$F716+$H716)</f>
        <v/>
      </c>
      <c r="J716">
        <f>IF($F716="","⚪ NEW",IF($G716&gt;=5,"✅ DONE",IF($I716&lt;TODAY(),"🔴 OVERDUE",IF($I716=TODAY(),"🟢 TODAY",IF($I716=TODAY()+1,"🔵 TOMORROW",IF($I716&lt;=TODAY()+7,"📅 THIS WEEK","⏳ SCHEDULED"))))))</f>
        <v/>
      </c>
      <c r="K716" s="20">
        <f>IF($F716="",999,IF($G716&gt;=5,9999,IF($I716="",999,$I716-TODAY())))</f>
        <v/>
      </c>
    </row>
    <row r="717">
      <c r="A717" s="34">
        <f>ROW()-2</f>
        <v/>
      </c>
      <c r="B717" s="35" t="inlineStr">
        <is>
          <t>S6</t>
        </is>
      </c>
      <c r="C717" s="35" t="inlineStr">
        <is>
          <t>Pathologie cardiovasculaire</t>
        </is>
      </c>
      <c r="D717" s="35" t="inlineStr">
        <is>
          <t>Médecine</t>
        </is>
      </c>
      <c r="E717" s="35" t="inlineStr">
        <is>
          <t>Insuffisance cardiaque</t>
        </is>
      </c>
      <c r="F717" s="18" t="n"/>
      <c r="G717" s="19" t="n"/>
      <c r="H717" s="20">
        <f>IF($G717="",1,IF($G717=0,1,IF($G717=1,3,IF($G717=2,7,IF($G717=3,14,IF($G717=4,30,60))))))</f>
        <v/>
      </c>
      <c r="I717" s="21">
        <f>IF($F717="","",$F717+$H717)</f>
        <v/>
      </c>
      <c r="J717">
        <f>IF($F717="","⚪ NEW",IF($G717&gt;=5,"✅ DONE",IF($I717&lt;TODAY(),"🔴 OVERDUE",IF($I717=TODAY(),"🟢 TODAY",IF($I717=TODAY()+1,"🔵 TOMORROW",IF($I717&lt;=TODAY()+7,"📅 THIS WEEK","⏳ SCHEDULED"))))))</f>
        <v/>
      </c>
      <c r="K717" s="20">
        <f>IF($F717="",999,IF($G717&gt;=5,9999,IF($I717="",999,$I717-TODAY())))</f>
        <v/>
      </c>
    </row>
    <row r="718">
      <c r="A718" s="34">
        <f>ROW()-2</f>
        <v/>
      </c>
      <c r="B718" s="35" t="inlineStr">
        <is>
          <t>S6</t>
        </is>
      </c>
      <c r="C718" s="35" t="inlineStr">
        <is>
          <t>Pathologie cardiovasculaire</t>
        </is>
      </c>
      <c r="D718" s="35" t="inlineStr">
        <is>
          <t>Médecine</t>
        </is>
      </c>
      <c r="E718" s="35" t="inlineStr">
        <is>
          <t>Les troubles du rythme cardiaque</t>
        </is>
      </c>
      <c r="F718" s="18" t="n"/>
      <c r="G718" s="19" t="n"/>
      <c r="H718" s="20">
        <f>IF($G718="",1,IF($G718=0,1,IF($G718=1,3,IF($G718=2,7,IF($G718=3,14,IF($G718=4,30,60))))))</f>
        <v/>
      </c>
      <c r="I718" s="21">
        <f>IF($F718="","",$F718+$H718)</f>
        <v/>
      </c>
      <c r="J718">
        <f>IF($F718="","⚪ NEW",IF($G718&gt;=5,"✅ DONE",IF($I718&lt;TODAY(),"🔴 OVERDUE",IF($I718=TODAY(),"🟢 TODAY",IF($I718=TODAY()+1,"🔵 TOMORROW",IF($I718&lt;=TODAY()+7,"📅 THIS WEEK","⏳ SCHEDULED"))))))</f>
        <v/>
      </c>
      <c r="K718" s="20">
        <f>IF($F718="",999,IF($G718&gt;=5,9999,IF($I718="",999,$I718-TODAY())))</f>
        <v/>
      </c>
    </row>
    <row r="719">
      <c r="A719" s="34">
        <f>ROW()-2</f>
        <v/>
      </c>
      <c r="B719" s="35" t="inlineStr">
        <is>
          <t>S6</t>
        </is>
      </c>
      <c r="C719" s="35" t="inlineStr">
        <is>
          <t>Pathologie cardiovasculaire</t>
        </is>
      </c>
      <c r="D719" s="35" t="inlineStr">
        <is>
          <t>Médecine</t>
        </is>
      </c>
      <c r="E719" s="35" t="inlineStr">
        <is>
          <t>Les troubles de conduction cardiaque</t>
        </is>
      </c>
      <c r="F719" s="18" t="n"/>
      <c r="G719" s="19" t="n"/>
      <c r="H719" s="20">
        <f>IF($G719="",1,IF($G719=0,1,IF($G719=1,3,IF($G719=2,7,IF($G719=3,14,IF($G719=4,30,60))))))</f>
        <v/>
      </c>
      <c r="I719" s="21">
        <f>IF($F719="","",$F719+$H719)</f>
        <v/>
      </c>
      <c r="J719">
        <f>IF($F719="","⚪ NEW",IF($G719&gt;=5,"✅ DONE",IF($I719&lt;TODAY(),"🔴 OVERDUE",IF($I719=TODAY(),"🟢 TODAY",IF($I719=TODAY()+1,"🔵 TOMORROW",IF($I719&lt;=TODAY()+7,"📅 THIS WEEK","⏳ SCHEDULED"))))))</f>
        <v/>
      </c>
      <c r="K719" s="20">
        <f>IF($F719="",999,IF($G719&gt;=5,9999,IF($I719="",999,$I719-TODAY())))</f>
        <v/>
      </c>
    </row>
    <row r="720">
      <c r="A720" s="34">
        <f>ROW()-2</f>
        <v/>
      </c>
      <c r="B720" s="35" t="inlineStr">
        <is>
          <t>S6</t>
        </is>
      </c>
      <c r="C720" s="35" t="inlineStr">
        <is>
          <t>Pathologie cardiovasculaire</t>
        </is>
      </c>
      <c r="D720" s="35" t="inlineStr">
        <is>
          <t>Médecine</t>
        </is>
      </c>
      <c r="E720" s="35" t="inlineStr">
        <is>
          <t>Fibrillation atriale</t>
        </is>
      </c>
      <c r="F720" s="18" t="n"/>
      <c r="G720" s="19" t="n"/>
      <c r="H720" s="20">
        <f>IF($G720="",1,IF($G720=0,1,IF($G720=1,3,IF($G720=2,7,IF($G720=3,14,IF($G720=4,30,60))))))</f>
        <v/>
      </c>
      <c r="I720" s="21">
        <f>IF($F720="","",$F720+$H720)</f>
        <v/>
      </c>
      <c r="J720">
        <f>IF($F720="","⚪ NEW",IF($G720&gt;=5,"✅ DONE",IF($I720&lt;TODAY(),"🔴 OVERDUE",IF($I720=TODAY(),"🟢 TODAY",IF($I720=TODAY()+1,"🔵 TOMORROW",IF($I720&lt;=TODAY()+7,"📅 THIS WEEK","⏳ SCHEDULED"))))))</f>
        <v/>
      </c>
      <c r="K720" s="20">
        <f>IF($F720="",999,IF($G720&gt;=5,9999,IF($I720="",999,$I720-TODAY())))</f>
        <v/>
      </c>
    </row>
    <row r="721">
      <c r="A721" s="34">
        <f>ROW()-2</f>
        <v/>
      </c>
      <c r="B721" s="35" t="inlineStr">
        <is>
          <t>S6</t>
        </is>
      </c>
      <c r="C721" s="35" t="inlineStr">
        <is>
          <t>Pathologie cardiovasculaire</t>
        </is>
      </c>
      <c r="D721" s="35" t="inlineStr">
        <is>
          <t>Médecine</t>
        </is>
      </c>
      <c r="E721" s="35" t="inlineStr">
        <is>
          <t>Syncope</t>
        </is>
      </c>
      <c r="F721" s="18" t="n"/>
      <c r="G721" s="19" t="n"/>
      <c r="H721" s="20">
        <f>IF($G721="",1,IF($G721=0,1,IF($G721=1,3,IF($G721=2,7,IF($G721=3,14,IF($G721=4,30,60))))))</f>
        <v/>
      </c>
      <c r="I721" s="21">
        <f>IF($F721="","",$F721+$H721)</f>
        <v/>
      </c>
      <c r="J721">
        <f>IF($F721="","⚪ NEW",IF($G721&gt;=5,"✅ DONE",IF($I721&lt;TODAY(),"🔴 OVERDUE",IF($I721=TODAY(),"🟢 TODAY",IF($I721=TODAY()+1,"🔵 TOMORROW",IF($I721&lt;=TODAY()+7,"📅 THIS WEEK","⏳ SCHEDULED"))))))</f>
        <v/>
      </c>
      <c r="K721" s="20">
        <f>IF($F721="",999,IF($G721&gt;=5,9999,IF($I721="",999,$I721-TODAY())))</f>
        <v/>
      </c>
    </row>
    <row r="722">
      <c r="A722" s="34">
        <f>ROW()-2</f>
        <v/>
      </c>
      <c r="B722" s="35" t="inlineStr">
        <is>
          <t>S6</t>
        </is>
      </c>
      <c r="C722" s="35" t="inlineStr">
        <is>
          <t>Pathologie cardiovasculaire</t>
        </is>
      </c>
      <c r="D722" s="35" t="inlineStr">
        <is>
          <t>Chirurgie</t>
        </is>
      </c>
      <c r="E722" s="35" t="inlineStr">
        <is>
          <t>Dissections de l'aorte</t>
        </is>
      </c>
      <c r="F722" s="18" t="n"/>
      <c r="G722" s="19" t="n"/>
      <c r="H722" s="20">
        <f>IF($G722="",1,IF($G722=0,1,IF($G722=1,3,IF($G722=2,7,IF($G722=3,14,IF($G722=4,30,60))))))</f>
        <v/>
      </c>
      <c r="I722" s="21">
        <f>IF($F722="","",$F722+$H722)</f>
        <v/>
      </c>
      <c r="J722">
        <f>IF($F722="","⚪ NEW",IF($G722&gt;=5,"✅ DONE",IF($I722&lt;TODAY(),"🔴 OVERDUE",IF($I722=TODAY(),"🟢 TODAY",IF($I722=TODAY()+1,"🔵 TOMORROW",IF($I722&lt;=TODAY()+7,"📅 THIS WEEK","⏳ SCHEDULED"))))))</f>
        <v/>
      </c>
      <c r="K722" s="20">
        <f>IF($F722="",999,IF($G722&gt;=5,9999,IF($I722="",999,$I722-TODAY())))</f>
        <v/>
      </c>
    </row>
    <row r="723">
      <c r="A723" s="34">
        <f>ROW()-2</f>
        <v/>
      </c>
      <c r="B723" s="35" t="inlineStr">
        <is>
          <t>S6</t>
        </is>
      </c>
      <c r="C723" s="35" t="inlineStr">
        <is>
          <t>Pathologie cardiovasculaire</t>
        </is>
      </c>
      <c r="D723" s="35" t="inlineStr">
        <is>
          <t>Chirurgie</t>
        </is>
      </c>
      <c r="E723" s="35" t="inlineStr">
        <is>
          <t>Les prothèses valvulaires cardiaques</t>
        </is>
      </c>
      <c r="F723" s="18" t="n"/>
      <c r="G723" s="19" t="n"/>
      <c r="H723" s="20">
        <f>IF($G723="",1,IF($G723=0,1,IF($G723=1,3,IF($G723=2,7,IF($G723=3,14,IF($G723=4,30,60))))))</f>
        <v/>
      </c>
      <c r="I723" s="21">
        <f>IF($F723="","",$F723+$H723)</f>
        <v/>
      </c>
      <c r="J723">
        <f>IF($F723="","⚪ NEW",IF($G723&gt;=5,"✅ DONE",IF($I723&lt;TODAY(),"🔴 OVERDUE",IF($I723=TODAY(),"🟢 TODAY",IF($I723=TODAY()+1,"🔵 TOMORROW",IF($I723&lt;=TODAY()+7,"📅 THIS WEEK","⏳ SCHEDULED"))))))</f>
        <v/>
      </c>
      <c r="K723" s="20">
        <f>IF($F723="",999,IF($G723&gt;=5,9999,IF($I723="",999,$I723-TODAY())))</f>
        <v/>
      </c>
    </row>
    <row r="724">
      <c r="A724" s="34">
        <f>ROW()-2</f>
        <v/>
      </c>
      <c r="B724" s="35" t="inlineStr">
        <is>
          <t>S6</t>
        </is>
      </c>
      <c r="C724" s="35" t="inlineStr">
        <is>
          <t>Pathologie cardiovasculaire</t>
        </is>
      </c>
      <c r="D724" s="35" t="inlineStr">
        <is>
          <t>Chirurgie</t>
        </is>
      </c>
      <c r="E724" s="35" t="inlineStr">
        <is>
          <t>Coarctation aortique</t>
        </is>
      </c>
      <c r="F724" s="18" t="n"/>
      <c r="G724" s="19" t="n"/>
      <c r="H724" s="20">
        <f>IF($G724="",1,IF($G724=0,1,IF($G724=1,3,IF($G724=2,7,IF($G724=3,14,IF($G724=4,30,60))))))</f>
        <v/>
      </c>
      <c r="I724" s="21">
        <f>IF($F724="","",$F724+$H724)</f>
        <v/>
      </c>
      <c r="J724">
        <f>IF($F724="","⚪ NEW",IF($G724&gt;=5,"✅ DONE",IF($I724&lt;TODAY(),"🔴 OVERDUE",IF($I724=TODAY(),"🟢 TODAY",IF($I724=TODAY()+1,"🔵 TOMORROW",IF($I724&lt;=TODAY()+7,"📅 THIS WEEK","⏳ SCHEDULED"))))))</f>
        <v/>
      </c>
      <c r="K724" s="20">
        <f>IF($F724="",999,IF($G724&gt;=5,9999,IF($I724="",999,$I724-TODAY())))</f>
        <v/>
      </c>
    </row>
    <row r="725">
      <c r="A725" s="34">
        <f>ROW()-2</f>
        <v/>
      </c>
      <c r="B725" s="35" t="inlineStr">
        <is>
          <t>S6</t>
        </is>
      </c>
      <c r="C725" s="35" t="inlineStr">
        <is>
          <t>Pathologie cardiovasculaire</t>
        </is>
      </c>
      <c r="D725" s="35" t="inlineStr">
        <is>
          <t>Chirurgie</t>
        </is>
      </c>
      <c r="E725" s="35" t="inlineStr">
        <is>
          <t>Anévrisme de l'aorte abdominale</t>
        </is>
      </c>
      <c r="F725" s="18" t="n"/>
      <c r="G725" s="19" t="n"/>
      <c r="H725" s="20">
        <f>IF($G725="",1,IF($G725=0,1,IF($G725=1,3,IF($G725=2,7,IF($G725=3,14,IF($G725=4,30,60))))))</f>
        <v/>
      </c>
      <c r="I725" s="21">
        <f>IF($F725="","",$F725+$H725)</f>
        <v/>
      </c>
      <c r="J725">
        <f>IF($F725="","⚪ NEW",IF($G725&gt;=5,"✅ DONE",IF($I725&lt;TODAY(),"🔴 OVERDUE",IF($I725=TODAY(),"🟢 TODAY",IF($I725=TODAY()+1,"🔵 TOMORROW",IF($I725&lt;=TODAY()+7,"📅 THIS WEEK","⏳ SCHEDULED"))))))</f>
        <v/>
      </c>
      <c r="K725" s="20">
        <f>IF($F725="",999,IF($G725&gt;=5,9999,IF($I725="",999,$I725-TODAY())))</f>
        <v/>
      </c>
    </row>
    <row r="726">
      <c r="A726" s="34">
        <f>ROW()-2</f>
        <v/>
      </c>
      <c r="B726" s="35" t="inlineStr">
        <is>
          <t>S6</t>
        </is>
      </c>
      <c r="C726" s="35" t="inlineStr">
        <is>
          <t>Pathologie cardiovasculaire</t>
        </is>
      </c>
      <c r="D726" s="35" t="inlineStr">
        <is>
          <t>Chirurgie</t>
        </is>
      </c>
      <c r="E726" s="35" t="inlineStr">
        <is>
          <t>AOMI (artériopathie oblitérante des membres inférieurs)</t>
        </is>
      </c>
      <c r="F726" s="18" t="n"/>
      <c r="G726" s="19" t="n"/>
      <c r="H726" s="20">
        <f>IF($G726="",1,IF($G726=0,1,IF($G726=1,3,IF($G726=2,7,IF($G726=3,14,IF($G726=4,30,60))))))</f>
        <v/>
      </c>
      <c r="I726" s="21">
        <f>IF($F726="","",$F726+$H726)</f>
        <v/>
      </c>
      <c r="J726">
        <f>IF($F726="","⚪ NEW",IF($G726&gt;=5,"✅ DONE",IF($I726&lt;TODAY(),"🔴 OVERDUE",IF($I726=TODAY(),"🟢 TODAY",IF($I726=TODAY()+1,"🔵 TOMORROW",IF($I726&lt;=TODAY()+7,"📅 THIS WEEK","⏳ SCHEDULED"))))))</f>
        <v/>
      </c>
      <c r="K726" s="20">
        <f>IF($F726="",999,IF($G726&gt;=5,9999,IF($I726="",999,$I726-TODAY())))</f>
        <v/>
      </c>
    </row>
    <row r="727">
      <c r="A727" s="34">
        <f>ROW()-2</f>
        <v/>
      </c>
      <c r="B727" s="35" t="inlineStr">
        <is>
          <t>S6</t>
        </is>
      </c>
      <c r="C727" s="35" t="inlineStr">
        <is>
          <t>Pathologie cardiovasculaire</t>
        </is>
      </c>
      <c r="D727" s="35" t="inlineStr">
        <is>
          <t>Chirurgie</t>
        </is>
      </c>
      <c r="E727" s="35" t="inlineStr">
        <is>
          <t>Ischémie aiguë des membres inférieurs</t>
        </is>
      </c>
      <c r="F727" s="18" t="n"/>
      <c r="G727" s="19" t="n"/>
      <c r="H727" s="20">
        <f>IF($G727="",1,IF($G727=0,1,IF($G727=1,3,IF($G727=2,7,IF($G727=3,14,IF($G727=4,30,60))))))</f>
        <v/>
      </c>
      <c r="I727" s="21">
        <f>IF($F727="","",$F727+$H727)</f>
        <v/>
      </c>
      <c r="J727">
        <f>IF($F727="","⚪ NEW",IF($G727&gt;=5,"✅ DONE",IF($I727&lt;TODAY(),"🔴 OVERDUE",IF($I727=TODAY(),"🟢 TODAY",IF($I727=TODAY()+1,"🔵 TOMORROW",IF($I727&lt;=TODAY()+7,"📅 THIS WEEK","⏳ SCHEDULED"))))))</f>
        <v/>
      </c>
      <c r="K727" s="20">
        <f>IF($F727="",999,IF($G727&gt;=5,9999,IF($I727="",999,$I727-TODAY())))</f>
        <v/>
      </c>
    </row>
    <row r="728">
      <c r="A728" s="34">
        <f>ROW()-2</f>
        <v/>
      </c>
      <c r="B728" s="35" t="inlineStr">
        <is>
          <t>S6</t>
        </is>
      </c>
      <c r="C728" s="35" t="inlineStr">
        <is>
          <t>Pathologie cardiovasculaire</t>
        </is>
      </c>
      <c r="D728" s="35" t="inlineStr">
        <is>
          <t>Chirurgie</t>
        </is>
      </c>
      <c r="E728" s="35" t="inlineStr">
        <is>
          <t>Varices des membres inférieurs</t>
        </is>
      </c>
      <c r="F728" s="18" t="n"/>
      <c r="G728" s="19" t="n"/>
      <c r="H728" s="20">
        <f>IF($G728="",1,IF($G728=0,1,IF($G728=1,3,IF($G728=2,7,IF($G728=3,14,IF($G728=4,30,60))))))</f>
        <v/>
      </c>
      <c r="I728" s="21">
        <f>IF($F728="","",$F728+$H728)</f>
        <v/>
      </c>
      <c r="J728">
        <f>IF($F728="","⚪ NEW",IF($G728&gt;=5,"✅ DONE",IF($I728&lt;TODAY(),"🔴 OVERDUE",IF($I728=TODAY(),"🟢 TODAY",IF($I728=TODAY()+1,"🔵 TOMORROW",IF($I728&lt;=TODAY()+7,"📅 THIS WEEK","⏳ SCHEDULED"))))))</f>
        <v/>
      </c>
      <c r="K728" s="20">
        <f>IF($F728="",999,IF($G728&gt;=5,9999,IF($I728="",999,$I728-TODAY())))</f>
        <v/>
      </c>
    </row>
    <row r="729">
      <c r="A729" s="36">
        <f>ROW()-2</f>
        <v/>
      </c>
      <c r="B729" s="37" t="inlineStr">
        <is>
          <t>S6</t>
        </is>
      </c>
      <c r="C729" s="37" t="inlineStr">
        <is>
          <t>Pathologie digestive</t>
        </is>
      </c>
      <c r="D729" s="37" t="inlineStr">
        <is>
          <t>Médecine</t>
        </is>
      </c>
      <c r="E729" s="37" t="inlineStr">
        <is>
          <t>Les hépatites aiguës et chroniques</t>
        </is>
      </c>
      <c r="F729" s="18" t="n"/>
      <c r="G729" s="19" t="n"/>
      <c r="H729" s="20">
        <f>IF($G729="",1,IF($G729=0,1,IF($G729=1,3,IF($G729=2,7,IF($G729=3,14,IF($G729=4,30,60))))))</f>
        <v/>
      </c>
      <c r="I729" s="21">
        <f>IF($F729="","",$F729+$H729)</f>
        <v/>
      </c>
      <c r="J729">
        <f>IF($F729="","⚪ NEW",IF($G729&gt;=5,"✅ DONE",IF($I729&lt;TODAY(),"🔴 OVERDUE",IF($I729=TODAY(),"🟢 TODAY",IF($I729=TODAY()+1,"🔵 TOMORROW",IF($I729&lt;=TODAY()+7,"📅 THIS WEEK","⏳ SCHEDULED"))))))</f>
        <v/>
      </c>
      <c r="K729" s="20">
        <f>IF($F729="",999,IF($G729&gt;=5,9999,IF($I729="",999,$I729-TODAY())))</f>
        <v/>
      </c>
    </row>
    <row r="730">
      <c r="A730" s="36">
        <f>ROW()-2</f>
        <v/>
      </c>
      <c r="B730" s="37" t="inlineStr">
        <is>
          <t>S6</t>
        </is>
      </c>
      <c r="C730" s="37" t="inlineStr">
        <is>
          <t>Pathologie digestive</t>
        </is>
      </c>
      <c r="D730" s="37" t="inlineStr">
        <is>
          <t>Médecine</t>
        </is>
      </c>
      <c r="E730" s="37" t="inlineStr">
        <is>
          <t>Hépatites virales</t>
        </is>
      </c>
      <c r="F730" s="18" t="n"/>
      <c r="G730" s="19" t="n"/>
      <c r="H730" s="20">
        <f>IF($G730="",1,IF($G730=0,1,IF($G730=1,3,IF($G730=2,7,IF($G730=3,14,IF($G730=4,30,60))))))</f>
        <v/>
      </c>
      <c r="I730" s="21">
        <f>IF($F730="","",$F730+$H730)</f>
        <v/>
      </c>
      <c r="J730">
        <f>IF($F730="","⚪ NEW",IF($G730&gt;=5,"✅ DONE",IF($I730&lt;TODAY(),"🔴 OVERDUE",IF($I730=TODAY(),"🟢 TODAY",IF($I730=TODAY()+1,"🔵 TOMORROW",IF($I730&lt;=TODAY()+7,"📅 THIS WEEK","⏳ SCHEDULED"))))))</f>
        <v/>
      </c>
      <c r="K730" s="20">
        <f>IF($F730="",999,IF($G730&gt;=5,9999,IF($I730="",999,$I730-TODAY())))</f>
        <v/>
      </c>
    </row>
    <row r="731">
      <c r="A731" s="36">
        <f>ROW()-2</f>
        <v/>
      </c>
      <c r="B731" s="37" t="inlineStr">
        <is>
          <t>S6</t>
        </is>
      </c>
      <c r="C731" s="37" t="inlineStr">
        <is>
          <t>Pathologie digestive</t>
        </is>
      </c>
      <c r="D731" s="37" t="inlineStr">
        <is>
          <t>Médecine</t>
        </is>
      </c>
      <c r="E731" s="37" t="inlineStr">
        <is>
          <t>Hépatites chroniques virales B et C</t>
        </is>
      </c>
      <c r="F731" s="18" t="n"/>
      <c r="G731" s="19" t="n"/>
      <c r="H731" s="20">
        <f>IF($G731="",1,IF($G731=0,1,IF($G731=1,3,IF($G731=2,7,IF($G731=3,14,IF($G731=4,30,60))))))</f>
        <v/>
      </c>
      <c r="I731" s="21">
        <f>IF($F731="","",$F731+$H731)</f>
        <v/>
      </c>
      <c r="J731">
        <f>IF($F731="","⚪ NEW",IF($G731&gt;=5,"✅ DONE",IF($I731&lt;TODAY(),"🔴 OVERDUE",IF($I731=TODAY(),"🟢 TODAY",IF($I731=TODAY()+1,"🔵 TOMORROW",IF($I731&lt;=TODAY()+7,"📅 THIS WEEK","⏳ SCHEDULED"))))))</f>
        <v/>
      </c>
      <c r="K731" s="20">
        <f>IF($F731="",999,IF($G731&gt;=5,9999,IF($I731="",999,$I731-TODAY())))</f>
        <v/>
      </c>
    </row>
    <row r="732">
      <c r="A732" s="36">
        <f>ROW()-2</f>
        <v/>
      </c>
      <c r="B732" s="37" t="inlineStr">
        <is>
          <t>S6</t>
        </is>
      </c>
      <c r="C732" s="37" t="inlineStr">
        <is>
          <t>Pathologie digestive</t>
        </is>
      </c>
      <c r="D732" s="37" t="inlineStr">
        <is>
          <t>Médecine</t>
        </is>
      </c>
      <c r="E732" s="37" t="inlineStr">
        <is>
          <t>Maladies inflammatoires chroniques de l'intestin (MICI)</t>
        </is>
      </c>
      <c r="F732" s="18" t="n"/>
      <c r="G732" s="19" t="n"/>
      <c r="H732" s="20">
        <f>IF($G732="",1,IF($G732=0,1,IF($G732=1,3,IF($G732=2,7,IF($G732=3,14,IF($G732=4,30,60))))))</f>
        <v/>
      </c>
      <c r="I732" s="21">
        <f>IF($F732="","",$F732+$H732)</f>
        <v/>
      </c>
      <c r="J732">
        <f>IF($F732="","⚪ NEW",IF($G732&gt;=5,"✅ DONE",IF($I732&lt;TODAY(),"🔴 OVERDUE",IF($I732=TODAY(),"🟢 TODAY",IF($I732=TODAY()+1,"🔵 TOMORROW",IF($I732&lt;=TODAY()+7,"📅 THIS WEEK","⏳ SCHEDULED"))))))</f>
        <v/>
      </c>
      <c r="K732" s="20">
        <f>IF($F732="",999,IF($G732&gt;=5,9999,IF($I732="",999,$I732-TODAY())))</f>
        <v/>
      </c>
    </row>
    <row r="733">
      <c r="A733" s="36">
        <f>ROW()-2</f>
        <v/>
      </c>
      <c r="B733" s="37" t="inlineStr">
        <is>
          <t>S6</t>
        </is>
      </c>
      <c r="C733" s="37" t="inlineStr">
        <is>
          <t>Pathologie digestive</t>
        </is>
      </c>
      <c r="D733" s="37" t="inlineStr">
        <is>
          <t>Médecine</t>
        </is>
      </c>
      <c r="E733" s="37" t="inlineStr">
        <is>
          <t>Helicobacter pylori et pathologie gastro-duodénale</t>
        </is>
      </c>
      <c r="F733" s="18" t="n"/>
      <c r="G733" s="19" t="n"/>
      <c r="H733" s="20">
        <f>IF($G733="",1,IF($G733=0,1,IF($G733=1,3,IF($G733=2,7,IF($G733=3,14,IF($G733=4,30,60))))))</f>
        <v/>
      </c>
      <c r="I733" s="21">
        <f>IF($F733="","",$F733+$H733)</f>
        <v/>
      </c>
      <c r="J733">
        <f>IF($F733="","⚪ NEW",IF($G733&gt;=5,"✅ DONE",IF($I733&lt;TODAY(),"🔴 OVERDUE",IF($I733=TODAY(),"🟢 TODAY",IF($I733=TODAY()+1,"🔵 TOMORROW",IF($I733&lt;=TODAY()+7,"📅 THIS WEEK","⏳ SCHEDULED"))))))</f>
        <v/>
      </c>
      <c r="K733" s="20">
        <f>IF($F733="",999,IF($G733&gt;=5,9999,IF($I733="",999,$I733-TODAY())))</f>
        <v/>
      </c>
    </row>
    <row r="734">
      <c r="A734" s="36">
        <f>ROW()-2</f>
        <v/>
      </c>
      <c r="B734" s="37" t="inlineStr">
        <is>
          <t>S6</t>
        </is>
      </c>
      <c r="C734" s="37" t="inlineStr">
        <is>
          <t>Pathologie digestive</t>
        </is>
      </c>
      <c r="D734" s="37" t="inlineStr">
        <is>
          <t>Médecine</t>
        </is>
      </c>
      <c r="E734" s="37" t="inlineStr">
        <is>
          <t>Maladies ulcéreuses gastro-duodénales</t>
        </is>
      </c>
      <c r="F734" s="18" t="n"/>
      <c r="G734" s="19" t="n"/>
      <c r="H734" s="20">
        <f>IF($G734="",1,IF($G734=0,1,IF($G734=1,3,IF($G734=2,7,IF($G734=3,14,IF($G734=4,30,60))))))</f>
        <v/>
      </c>
      <c r="I734" s="21">
        <f>IF($F734="","",$F734+$H734)</f>
        <v/>
      </c>
      <c r="J734">
        <f>IF($F734="","⚪ NEW",IF($G734&gt;=5,"✅ DONE",IF($I734&lt;TODAY(),"🔴 OVERDUE",IF($I734=TODAY(),"🟢 TODAY",IF($I734=TODAY()+1,"🔵 TOMORROW",IF($I734&lt;=TODAY()+7,"📅 THIS WEEK","⏳ SCHEDULED"))))))</f>
        <v/>
      </c>
      <c r="K734" s="20">
        <f>IF($F734="",999,IF($G734&gt;=5,9999,IF($I734="",999,$I734-TODAY())))</f>
        <v/>
      </c>
    </row>
    <row r="735">
      <c r="A735" s="36">
        <f>ROW()-2</f>
        <v/>
      </c>
      <c r="B735" s="37" t="inlineStr">
        <is>
          <t>S6</t>
        </is>
      </c>
      <c r="C735" s="37" t="inlineStr">
        <is>
          <t>Pathologie digestive</t>
        </is>
      </c>
      <c r="D735" s="37" t="inlineStr">
        <is>
          <t>Médecine</t>
        </is>
      </c>
      <c r="E735" s="37" t="inlineStr">
        <is>
          <t>Le reflux gastro-œsophagien (RGO)</t>
        </is>
      </c>
      <c r="F735" s="18" t="n"/>
      <c r="G735" s="19" t="n"/>
      <c r="H735" s="20">
        <f>IF($G735="",1,IF($G735=0,1,IF($G735=1,3,IF($G735=2,7,IF($G735=3,14,IF($G735=4,30,60))))))</f>
        <v/>
      </c>
      <c r="I735" s="21">
        <f>IF($F735="","",$F735+$H735)</f>
        <v/>
      </c>
      <c r="J735">
        <f>IF($F735="","⚪ NEW",IF($G735&gt;=5,"✅ DONE",IF($I735&lt;TODAY(),"🔴 OVERDUE",IF($I735=TODAY(),"🟢 TODAY",IF($I735=TODAY()+1,"🔵 TOMORROW",IF($I735&lt;=TODAY()+7,"📅 THIS WEEK","⏳ SCHEDULED"))))))</f>
        <v/>
      </c>
      <c r="K735" s="20">
        <f>IF($F735="",999,IF($G735&gt;=5,9999,IF($I735="",999,$I735-TODAY())))</f>
        <v/>
      </c>
    </row>
    <row r="736">
      <c r="A736" s="36">
        <f>ROW()-2</f>
        <v/>
      </c>
      <c r="B736" s="37" t="inlineStr">
        <is>
          <t>S6</t>
        </is>
      </c>
      <c r="C736" s="37" t="inlineStr">
        <is>
          <t>Pathologie digestive</t>
        </is>
      </c>
      <c r="D736" s="37" t="inlineStr">
        <is>
          <t>Médecine</t>
        </is>
      </c>
      <c r="E736" s="37" t="inlineStr">
        <is>
          <t>Les troubles fonctionnels intestinaux</t>
        </is>
      </c>
      <c r="F736" s="18" t="n"/>
      <c r="G736" s="19" t="n"/>
      <c r="H736" s="20">
        <f>IF($G736="",1,IF($G736=0,1,IF($G736=1,3,IF($G736=2,7,IF($G736=3,14,IF($G736=4,30,60))))))</f>
        <v/>
      </c>
      <c r="I736" s="21">
        <f>IF($F736="","",$F736+$H736)</f>
        <v/>
      </c>
      <c r="J736">
        <f>IF($F736="","⚪ NEW",IF($G736&gt;=5,"✅ DONE",IF($I736&lt;TODAY(),"🔴 OVERDUE",IF($I736=TODAY(),"🟢 TODAY",IF($I736=TODAY()+1,"🔵 TOMORROW",IF($I736&lt;=TODAY()+7,"📅 THIS WEEK","⏳ SCHEDULED"))))))</f>
        <v/>
      </c>
      <c r="K736" s="20">
        <f>IF($F736="",999,IF($G736&gt;=5,9999,IF($I736="",999,$I736-TODAY())))</f>
        <v/>
      </c>
    </row>
    <row r="737">
      <c r="A737" s="36">
        <f>ROW()-2</f>
        <v/>
      </c>
      <c r="B737" s="37" t="inlineStr">
        <is>
          <t>S6</t>
        </is>
      </c>
      <c r="C737" s="37" t="inlineStr">
        <is>
          <t>Pathologie digestive</t>
        </is>
      </c>
      <c r="D737" s="37" t="inlineStr">
        <is>
          <t>Médecine</t>
        </is>
      </c>
      <c r="E737" s="37" t="inlineStr">
        <is>
          <t>La diverticulose colique</t>
        </is>
      </c>
      <c r="F737" s="18" t="n"/>
      <c r="G737" s="19" t="n"/>
      <c r="H737" s="20">
        <f>IF($G737="",1,IF($G737=0,1,IF($G737=1,3,IF($G737=2,7,IF($G737=3,14,IF($G737=4,30,60))))))</f>
        <v/>
      </c>
      <c r="I737" s="21">
        <f>IF($F737="","",$F737+$H737)</f>
        <v/>
      </c>
      <c r="J737">
        <f>IF($F737="","⚪ NEW",IF($G737&gt;=5,"✅ DONE",IF($I737&lt;TODAY(),"🔴 OVERDUE",IF($I737=TODAY(),"🟢 TODAY",IF($I737=TODAY()+1,"🔵 TOMORROW",IF($I737&lt;=TODAY()+7,"📅 THIS WEEK","⏳ SCHEDULED"))))))</f>
        <v/>
      </c>
      <c r="K737" s="20">
        <f>IF($F737="",999,IF($G737&gt;=5,9999,IF($I737="",999,$I737-TODAY())))</f>
        <v/>
      </c>
    </row>
    <row r="738">
      <c r="A738" s="36">
        <f>ROW()-2</f>
        <v/>
      </c>
      <c r="B738" s="37" t="inlineStr">
        <is>
          <t>S6</t>
        </is>
      </c>
      <c r="C738" s="37" t="inlineStr">
        <is>
          <t>Pathologie digestive</t>
        </is>
      </c>
      <c r="D738" s="37" t="inlineStr">
        <is>
          <t>Médecine</t>
        </is>
      </c>
      <c r="E738" s="37" t="inlineStr">
        <is>
          <t>Les syndromes de malabsorption</t>
        </is>
      </c>
      <c r="F738" s="18" t="n"/>
      <c r="G738" s="19" t="n"/>
      <c r="H738" s="20">
        <f>IF($G738="",1,IF($G738=0,1,IF($G738=1,3,IF($G738=2,7,IF($G738=3,14,IF($G738=4,30,60))))))</f>
        <v/>
      </c>
      <c r="I738" s="21">
        <f>IF($F738="","",$F738+$H738)</f>
        <v/>
      </c>
      <c r="J738">
        <f>IF($F738="","⚪ NEW",IF($G738&gt;=5,"✅ DONE",IF($I738&lt;TODAY(),"🔴 OVERDUE",IF($I738=TODAY(),"🟢 TODAY",IF($I738=TODAY()+1,"🔵 TOMORROW",IF($I738&lt;=TODAY()+7,"📅 THIS WEEK","⏳ SCHEDULED"))))))</f>
        <v/>
      </c>
      <c r="K738" s="20">
        <f>IF($F738="",999,IF($G738&gt;=5,9999,IF($I738="",999,$I738-TODAY())))</f>
        <v/>
      </c>
    </row>
    <row r="739">
      <c r="A739" s="36">
        <f>ROW()-2</f>
        <v/>
      </c>
      <c r="B739" s="37" t="inlineStr">
        <is>
          <t>S6</t>
        </is>
      </c>
      <c r="C739" s="37" t="inlineStr">
        <is>
          <t>Pathologie digestive</t>
        </is>
      </c>
      <c r="D739" s="37" t="inlineStr">
        <is>
          <t>Médecine</t>
        </is>
      </c>
      <c r="E739" s="37" t="inlineStr">
        <is>
          <t>Maladie cœliaque</t>
        </is>
      </c>
      <c r="F739" s="18" t="n"/>
      <c r="G739" s="19" t="n"/>
      <c r="H739" s="20">
        <f>IF($G739="",1,IF($G739=0,1,IF($G739=1,3,IF($G739=2,7,IF($G739=3,14,IF($G739=4,30,60))))))</f>
        <v/>
      </c>
      <c r="I739" s="21">
        <f>IF($F739="","",$F739+$H739)</f>
        <v/>
      </c>
      <c r="J739">
        <f>IF($F739="","⚪ NEW",IF($G739&gt;=5,"✅ DONE",IF($I739&lt;TODAY(),"🔴 OVERDUE",IF($I739=TODAY(),"🟢 TODAY",IF($I739=TODAY()+1,"🔵 TOMORROW",IF($I739&lt;=TODAY()+7,"📅 THIS WEEK","⏳ SCHEDULED"))))))</f>
        <v/>
      </c>
      <c r="K739" s="20">
        <f>IF($F739="",999,IF($G739&gt;=5,9999,IF($I739="",999,$I739-TODAY())))</f>
        <v/>
      </c>
    </row>
    <row r="740">
      <c r="A740" s="36">
        <f>ROW()-2</f>
        <v/>
      </c>
      <c r="B740" s="37" t="inlineStr">
        <is>
          <t>S6</t>
        </is>
      </c>
      <c r="C740" s="37" t="inlineStr">
        <is>
          <t>Pathologie digestive</t>
        </is>
      </c>
      <c r="D740" s="37" t="inlineStr">
        <is>
          <t>Médecine</t>
        </is>
      </c>
      <c r="E740" s="37" t="inlineStr">
        <is>
          <t>Gastrites</t>
        </is>
      </c>
      <c r="F740" s="18" t="n"/>
      <c r="G740" s="19" t="n"/>
      <c r="H740" s="20">
        <f>IF($G740="",1,IF($G740=0,1,IF($G740=1,3,IF($G740=2,7,IF($G740=3,14,IF($G740=4,30,60))))))</f>
        <v/>
      </c>
      <c r="I740" s="21">
        <f>IF($F740="","",$F740+$H740)</f>
        <v/>
      </c>
      <c r="J740">
        <f>IF($F740="","⚪ NEW",IF($G740&gt;=5,"✅ DONE",IF($I740&lt;TODAY(),"🔴 OVERDUE",IF($I740=TODAY(),"🟢 TODAY",IF($I740=TODAY()+1,"🔵 TOMORROW",IF($I740&lt;=TODAY()+7,"📅 THIS WEEK","⏳ SCHEDULED"))))))</f>
        <v/>
      </c>
      <c r="K740" s="20">
        <f>IF($F740="",999,IF($G740&gt;=5,9999,IF($I740="",999,$I740-TODAY())))</f>
        <v/>
      </c>
    </row>
    <row r="741">
      <c r="A741" s="36">
        <f>ROW()-2</f>
        <v/>
      </c>
      <c r="B741" s="37" t="inlineStr">
        <is>
          <t>S6</t>
        </is>
      </c>
      <c r="C741" s="37" t="inlineStr">
        <is>
          <t>Pathologie digestive</t>
        </is>
      </c>
      <c r="D741" s="37" t="inlineStr">
        <is>
          <t>Médecine</t>
        </is>
      </c>
      <c r="E741" s="37" t="inlineStr">
        <is>
          <t>Dyspepsie</t>
        </is>
      </c>
      <c r="F741" s="18" t="n"/>
      <c r="G741" s="19" t="n"/>
      <c r="H741" s="20">
        <f>IF($G741="",1,IF($G741=0,1,IF($G741=1,3,IF($G741=2,7,IF($G741=3,14,IF($G741=4,30,60))))))</f>
        <v/>
      </c>
      <c r="I741" s="21">
        <f>IF($F741="","",$F741+$H741)</f>
        <v/>
      </c>
      <c r="J741">
        <f>IF($F741="","⚪ NEW",IF($G741&gt;=5,"✅ DONE",IF($I741&lt;TODAY(),"🔴 OVERDUE",IF($I741=TODAY(),"🟢 TODAY",IF($I741=TODAY()+1,"🔵 TOMORROW",IF($I741&lt;=TODAY()+7,"📅 THIS WEEK","⏳ SCHEDULED"))))))</f>
        <v/>
      </c>
      <c r="K741" s="20">
        <f>IF($F741="",999,IF($G741&gt;=5,9999,IF($I741="",999,$I741-TODAY())))</f>
        <v/>
      </c>
    </row>
    <row r="742">
      <c r="A742" s="36">
        <f>ROW()-2</f>
        <v/>
      </c>
      <c r="B742" s="37" t="inlineStr">
        <is>
          <t>S6</t>
        </is>
      </c>
      <c r="C742" s="37" t="inlineStr">
        <is>
          <t>Pathologie digestive</t>
        </is>
      </c>
      <c r="D742" s="37" t="inlineStr">
        <is>
          <t>Médecine</t>
        </is>
      </c>
      <c r="E742" s="37" t="inlineStr">
        <is>
          <t>Parasitoses digestives</t>
        </is>
      </c>
      <c r="F742" s="18" t="n"/>
      <c r="G742" s="19" t="n"/>
      <c r="H742" s="20">
        <f>IF($G742="",1,IF($G742=0,1,IF($G742=1,3,IF($G742=2,7,IF($G742=3,14,IF($G742=4,30,60))))))</f>
        <v/>
      </c>
      <c r="I742" s="21">
        <f>IF($F742="","",$F742+$H742)</f>
        <v/>
      </c>
      <c r="J742">
        <f>IF($F742="","⚪ NEW",IF($G742&gt;=5,"✅ DONE",IF($I742&lt;TODAY(),"🔴 OVERDUE",IF($I742=TODAY(),"🟢 TODAY",IF($I742=TODAY()+1,"🔵 TOMORROW",IF($I742&lt;=TODAY()+7,"📅 THIS WEEK","⏳ SCHEDULED"))))))</f>
        <v/>
      </c>
      <c r="K742" s="20">
        <f>IF($F742="",999,IF($G742&gt;=5,9999,IF($I742="",999,$I742-TODAY())))</f>
        <v/>
      </c>
    </row>
    <row r="743">
      <c r="A743" s="36">
        <f>ROW()-2</f>
        <v/>
      </c>
      <c r="B743" s="37" t="inlineStr">
        <is>
          <t>S6</t>
        </is>
      </c>
      <c r="C743" s="37" t="inlineStr">
        <is>
          <t>Pathologie digestive</t>
        </is>
      </c>
      <c r="D743" s="37" t="inlineStr">
        <is>
          <t>Médecine</t>
        </is>
      </c>
      <c r="E743" s="37" t="inlineStr">
        <is>
          <t>La tuberculose abdominale</t>
        </is>
      </c>
      <c r="F743" s="18" t="n"/>
      <c r="G743" s="19" t="n"/>
      <c r="H743" s="20">
        <f>IF($G743="",1,IF($G743=0,1,IF($G743=1,3,IF($G743=2,7,IF($G743=3,14,IF($G743=4,30,60))))))</f>
        <v/>
      </c>
      <c r="I743" s="21">
        <f>IF($F743="","",$F743+$H743)</f>
        <v/>
      </c>
      <c r="J743">
        <f>IF($F743="","⚪ NEW",IF($G743&gt;=5,"✅ DONE",IF($I743&lt;TODAY(),"🔴 OVERDUE",IF($I743=TODAY(),"🟢 TODAY",IF($I743=TODAY()+1,"🔵 TOMORROW",IF($I743&lt;=TODAY()+7,"📅 THIS WEEK","⏳ SCHEDULED"))))))</f>
        <v/>
      </c>
      <c r="K743" s="20">
        <f>IF($F743="",999,IF($G743&gt;=5,9999,IF($I743="",999,$I743-TODAY())))</f>
        <v/>
      </c>
    </row>
    <row r="744">
      <c r="A744" s="36">
        <f>ROW()-2</f>
        <v/>
      </c>
      <c r="B744" s="37" t="inlineStr">
        <is>
          <t>S6</t>
        </is>
      </c>
      <c r="C744" s="37" t="inlineStr">
        <is>
          <t>Pathologie digestive</t>
        </is>
      </c>
      <c r="D744" s="37" t="inlineStr">
        <is>
          <t>Médecine</t>
        </is>
      </c>
      <c r="E744" s="37" t="inlineStr">
        <is>
          <t>Fistules anales et suppurations</t>
        </is>
      </c>
      <c r="F744" s="18" t="n"/>
      <c r="G744" s="19" t="n"/>
      <c r="H744" s="20">
        <f>IF($G744="",1,IF($G744=0,1,IF($G744=1,3,IF($G744=2,7,IF($G744=3,14,IF($G744=4,30,60))))))</f>
        <v/>
      </c>
      <c r="I744" s="21">
        <f>IF($F744="","",$F744+$H744)</f>
        <v/>
      </c>
      <c r="J744">
        <f>IF($F744="","⚪ NEW",IF($G744&gt;=5,"✅ DONE",IF($I744&lt;TODAY(),"🔴 OVERDUE",IF($I744=TODAY(),"🟢 TODAY",IF($I744=TODAY()+1,"🔵 TOMORROW",IF($I744&lt;=TODAY()+7,"📅 THIS WEEK","⏳ SCHEDULED"))))))</f>
        <v/>
      </c>
      <c r="K744" s="20">
        <f>IF($F744="",999,IF($G744&gt;=5,9999,IF($I744="",999,$I744-TODAY())))</f>
        <v/>
      </c>
    </row>
    <row r="745">
      <c r="A745" s="36">
        <f>ROW()-2</f>
        <v/>
      </c>
      <c r="B745" s="37" t="inlineStr">
        <is>
          <t>S6</t>
        </is>
      </c>
      <c r="C745" s="37" t="inlineStr">
        <is>
          <t>Pathologie digestive</t>
        </is>
      </c>
      <c r="D745" s="37" t="inlineStr">
        <is>
          <t>Médecine</t>
        </is>
      </c>
      <c r="E745" s="37" t="inlineStr">
        <is>
          <t>Fissures anales</t>
        </is>
      </c>
      <c r="F745" s="18" t="n"/>
      <c r="G745" s="19" t="n"/>
      <c r="H745" s="20">
        <f>IF($G745="",1,IF($G745=0,1,IF($G745=1,3,IF($G745=2,7,IF($G745=3,14,IF($G745=4,30,60))))))</f>
        <v/>
      </c>
      <c r="I745" s="21">
        <f>IF($F745="","",$F745+$H745)</f>
        <v/>
      </c>
      <c r="J745">
        <f>IF($F745="","⚪ NEW",IF($G745&gt;=5,"✅ DONE",IF($I745&lt;TODAY(),"🔴 OVERDUE",IF($I745=TODAY(),"🟢 TODAY",IF($I745=TODAY()+1,"🔵 TOMORROW",IF($I745&lt;=TODAY()+7,"📅 THIS WEEK","⏳ SCHEDULED"))))))</f>
        <v/>
      </c>
      <c r="K745" s="20">
        <f>IF($F745="",999,IF($G745&gt;=5,9999,IF($I745="",999,$I745-TODAY())))</f>
        <v/>
      </c>
    </row>
    <row r="746">
      <c r="A746" s="36">
        <f>ROW()-2</f>
        <v/>
      </c>
      <c r="B746" s="37" t="inlineStr">
        <is>
          <t>S6</t>
        </is>
      </c>
      <c r="C746" s="37" t="inlineStr">
        <is>
          <t>Pathologie digestive</t>
        </is>
      </c>
      <c r="D746" s="37" t="inlineStr">
        <is>
          <t>Médecine</t>
        </is>
      </c>
      <c r="E746" s="37" t="inlineStr">
        <is>
          <t>Pathologies proctologiques fréquentes</t>
        </is>
      </c>
      <c r="F746" s="18" t="n"/>
      <c r="G746" s="19" t="n"/>
      <c r="H746" s="20">
        <f>IF($G746="",1,IF($G746=0,1,IF($G746=1,3,IF($G746=2,7,IF($G746=3,14,IF($G746=4,30,60))))))</f>
        <v/>
      </c>
      <c r="I746" s="21">
        <f>IF($F746="","",$F746+$H746)</f>
        <v/>
      </c>
      <c r="J746">
        <f>IF($F746="","⚪ NEW",IF($G746&gt;=5,"✅ DONE",IF($I746&lt;TODAY(),"🔴 OVERDUE",IF($I746=TODAY(),"🟢 TODAY",IF($I746=TODAY()+1,"🔵 TOMORROW",IF($I746&lt;=TODAY()+7,"📅 THIS WEEK","⏳ SCHEDULED"))))))</f>
        <v/>
      </c>
      <c r="K746" s="20">
        <f>IF($F746="",999,IF($G746&gt;=5,9999,IF($I746="",999,$I746-TODAY())))</f>
        <v/>
      </c>
    </row>
    <row r="747">
      <c r="A747" s="36">
        <f>ROW()-2</f>
        <v/>
      </c>
      <c r="B747" s="37" t="inlineStr">
        <is>
          <t>S6</t>
        </is>
      </c>
      <c r="C747" s="37" t="inlineStr">
        <is>
          <t>Pathologie digestive</t>
        </is>
      </c>
      <c r="D747" s="37" t="inlineStr">
        <is>
          <t>Médecine</t>
        </is>
      </c>
      <c r="E747" s="37" t="inlineStr">
        <is>
          <t>La maladie hémorroïdaire</t>
        </is>
      </c>
      <c r="F747" s="18" t="n"/>
      <c r="G747" s="19" t="n"/>
      <c r="H747" s="20">
        <f>IF($G747="",1,IF($G747=0,1,IF($G747=1,3,IF($G747=2,7,IF($G747=3,14,IF($G747=4,30,60))))))</f>
        <v/>
      </c>
      <c r="I747" s="21">
        <f>IF($F747="","",$F747+$H747)</f>
        <v/>
      </c>
      <c r="J747">
        <f>IF($F747="","⚪ NEW",IF($G747&gt;=5,"✅ DONE",IF($I747&lt;TODAY(),"🔴 OVERDUE",IF($I747=TODAY(),"🟢 TODAY",IF($I747=TODAY()+1,"🔵 TOMORROW",IF($I747&lt;=TODAY()+7,"📅 THIS WEEK","⏳ SCHEDULED"))))))</f>
        <v/>
      </c>
      <c r="K747" s="20">
        <f>IF($F747="",999,IF($G747&gt;=5,9999,IF($I747="",999,$I747-TODAY())))</f>
        <v/>
      </c>
    </row>
    <row r="748">
      <c r="A748" s="36">
        <f>ROW()-2</f>
        <v/>
      </c>
      <c r="B748" s="37" t="inlineStr">
        <is>
          <t>S6</t>
        </is>
      </c>
      <c r="C748" s="37" t="inlineStr">
        <is>
          <t>Pathologie digestive</t>
        </is>
      </c>
      <c r="D748" s="37" t="inlineStr">
        <is>
          <t>Médecine</t>
        </is>
      </c>
      <c r="E748" s="37" t="inlineStr">
        <is>
          <t>Cirrhose</t>
        </is>
      </c>
      <c r="F748" s="18" t="n"/>
      <c r="G748" s="19" t="n"/>
      <c r="H748" s="20">
        <f>IF($G748="",1,IF($G748=0,1,IF($G748=1,3,IF($G748=2,7,IF($G748=3,14,IF($G748=4,30,60))))))</f>
        <v/>
      </c>
      <c r="I748" s="21">
        <f>IF($F748="","",$F748+$H748)</f>
        <v/>
      </c>
      <c r="J748">
        <f>IF($F748="","⚪ NEW",IF($G748&gt;=5,"✅ DONE",IF($I748&lt;TODAY(),"🔴 OVERDUE",IF($I748=TODAY(),"🟢 TODAY",IF($I748=TODAY()+1,"🔵 TOMORROW",IF($I748&lt;=TODAY()+7,"📅 THIS WEEK","⏳ SCHEDULED"))))))</f>
        <v/>
      </c>
      <c r="K748" s="20">
        <f>IF($F748="",999,IF($G748&gt;=5,9999,IF($I748="",999,$I748-TODAY())))</f>
        <v/>
      </c>
    </row>
    <row r="749">
      <c r="A749" s="36">
        <f>ROW()-2</f>
        <v/>
      </c>
      <c r="B749" s="37" t="inlineStr">
        <is>
          <t>S6</t>
        </is>
      </c>
      <c r="C749" s="37" t="inlineStr">
        <is>
          <t>Pathologie digestive</t>
        </is>
      </c>
      <c r="D749" s="37" t="inlineStr">
        <is>
          <t>Médecine</t>
        </is>
      </c>
      <c r="E749" s="37" t="inlineStr">
        <is>
          <t>Hypertension portale</t>
        </is>
      </c>
      <c r="F749" s="18" t="n"/>
      <c r="G749" s="19" t="n"/>
      <c r="H749" s="20">
        <f>IF($G749="",1,IF($G749=0,1,IF($G749=1,3,IF($G749=2,7,IF($G749=3,14,IF($G749=4,30,60))))))</f>
        <v/>
      </c>
      <c r="I749" s="21">
        <f>IF($F749="","",$F749+$H749)</f>
        <v/>
      </c>
      <c r="J749">
        <f>IF($F749="","⚪ NEW",IF($G749&gt;=5,"✅ DONE",IF($I749&lt;TODAY(),"🔴 OVERDUE",IF($I749=TODAY(),"🟢 TODAY",IF($I749=TODAY()+1,"🔵 TOMORROW",IF($I749&lt;=TODAY()+7,"📅 THIS WEEK","⏳ SCHEDULED"))))))</f>
        <v/>
      </c>
      <c r="K749" s="20">
        <f>IF($F749="",999,IF($G749&gt;=5,9999,IF($I749="",999,$I749-TODAY())))</f>
        <v/>
      </c>
    </row>
    <row r="750">
      <c r="A750" s="36">
        <f>ROW()-2</f>
        <v/>
      </c>
      <c r="B750" s="37" t="inlineStr">
        <is>
          <t>S6</t>
        </is>
      </c>
      <c r="C750" s="37" t="inlineStr">
        <is>
          <t>Pathologie digestive</t>
        </is>
      </c>
      <c r="D750" s="37" t="inlineStr">
        <is>
          <t>Médecine</t>
        </is>
      </c>
      <c r="E750" s="37" t="inlineStr">
        <is>
          <t>Pancréatite chronique</t>
        </is>
      </c>
      <c r="F750" s="18" t="n"/>
      <c r="G750" s="19" t="n"/>
      <c r="H750" s="20">
        <f>IF($G750="",1,IF($G750=0,1,IF($G750=1,3,IF($G750=2,7,IF($G750=3,14,IF($G750=4,30,60))))))</f>
        <v/>
      </c>
      <c r="I750" s="21">
        <f>IF($F750="","",$F750+$H750)</f>
        <v/>
      </c>
      <c r="J750">
        <f>IF($F750="","⚪ NEW",IF($G750&gt;=5,"✅ DONE",IF($I750&lt;TODAY(),"🔴 OVERDUE",IF($I750=TODAY(),"🟢 TODAY",IF($I750=TODAY()+1,"🔵 TOMORROW",IF($I750&lt;=TODAY()+7,"📅 THIS WEEK","⏳ SCHEDULED"))))))</f>
        <v/>
      </c>
      <c r="K750" s="20">
        <f>IF($F750="",999,IF($G750&gt;=5,9999,IF($I750="",999,$I750-TODAY())))</f>
        <v/>
      </c>
    </row>
    <row r="751">
      <c r="A751" s="36">
        <f>ROW()-2</f>
        <v/>
      </c>
      <c r="B751" s="37" t="inlineStr">
        <is>
          <t>S6</t>
        </is>
      </c>
      <c r="C751" s="37" t="inlineStr">
        <is>
          <t>Pathologie digestive</t>
        </is>
      </c>
      <c r="D751" s="37" t="inlineStr">
        <is>
          <t>Médecine</t>
        </is>
      </c>
      <c r="E751" s="37" t="inlineStr">
        <is>
          <t>Hémochromatose</t>
        </is>
      </c>
      <c r="F751" s="18" t="n"/>
      <c r="G751" s="19" t="n"/>
      <c r="H751" s="20">
        <f>IF($G751="",1,IF($G751=0,1,IF($G751=1,3,IF($G751=2,7,IF($G751=3,14,IF($G751=4,30,60))))))</f>
        <v/>
      </c>
      <c r="I751" s="21">
        <f>IF($F751="","",$F751+$H751)</f>
        <v/>
      </c>
      <c r="J751">
        <f>IF($F751="","⚪ NEW",IF($G751&gt;=5,"✅ DONE",IF($I751&lt;TODAY(),"🔴 OVERDUE",IF($I751=TODAY(),"🟢 TODAY",IF($I751=TODAY()+1,"🔵 TOMORROW",IF($I751&lt;=TODAY()+7,"📅 THIS WEEK","⏳ SCHEDULED"))))))</f>
        <v/>
      </c>
      <c r="K751" s="20">
        <f>IF($F751="",999,IF($G751&gt;=5,9999,IF($I751="",999,$I751-TODAY())))</f>
        <v/>
      </c>
    </row>
    <row r="752">
      <c r="A752" s="36">
        <f>ROW()-2</f>
        <v/>
      </c>
      <c r="B752" s="37" t="inlineStr">
        <is>
          <t>S6</t>
        </is>
      </c>
      <c r="C752" s="37" t="inlineStr">
        <is>
          <t>Pathologie digestive</t>
        </is>
      </c>
      <c r="D752" s="37" t="inlineStr">
        <is>
          <t>Médecine</t>
        </is>
      </c>
      <c r="E752" s="37" t="inlineStr">
        <is>
          <t>Maladie de Wilson</t>
        </is>
      </c>
      <c r="F752" s="18" t="n"/>
      <c r="G752" s="19" t="n"/>
      <c r="H752" s="20">
        <f>IF($G752="",1,IF($G752=0,1,IF($G752=1,3,IF($G752=2,7,IF($G752=3,14,IF($G752=4,30,60))))))</f>
        <v/>
      </c>
      <c r="I752" s="21">
        <f>IF($F752="","",$F752+$H752)</f>
        <v/>
      </c>
      <c r="J752">
        <f>IF($F752="","⚪ NEW",IF($G752&gt;=5,"✅ DONE",IF($I752&lt;TODAY(),"🔴 OVERDUE",IF($I752=TODAY(),"🟢 TODAY",IF($I752=TODAY()+1,"🔵 TOMORROW",IF($I752&lt;=TODAY()+7,"📅 THIS WEEK","⏳ SCHEDULED"))))))</f>
        <v/>
      </c>
      <c r="K752" s="20">
        <f>IF($F752="",999,IF($G752&gt;=5,9999,IF($I752="",999,$I752-TODAY())))</f>
        <v/>
      </c>
    </row>
    <row r="753">
      <c r="A753" s="36">
        <f>ROW()-2</f>
        <v/>
      </c>
      <c r="B753" s="37" t="inlineStr">
        <is>
          <t>S6</t>
        </is>
      </c>
      <c r="C753" s="37" t="inlineStr">
        <is>
          <t>Pathologie digestive</t>
        </is>
      </c>
      <c r="D753" s="37" t="inlineStr">
        <is>
          <t>Chirurgie</t>
        </is>
      </c>
      <c r="E753" s="37" t="inlineStr">
        <is>
          <t>Les péritonites aiguës</t>
        </is>
      </c>
      <c r="F753" s="18" t="n"/>
      <c r="G753" s="19" t="n"/>
      <c r="H753" s="20">
        <f>IF($G753="",1,IF($G753=0,1,IF($G753=1,3,IF($G753=2,7,IF($G753=3,14,IF($G753=4,30,60))))))</f>
        <v/>
      </c>
      <c r="I753" s="21">
        <f>IF($F753="","",$F753+$H753)</f>
        <v/>
      </c>
      <c r="J753">
        <f>IF($F753="","⚪ NEW",IF($G753&gt;=5,"✅ DONE",IF($I753&lt;TODAY(),"🔴 OVERDUE",IF($I753=TODAY(),"🟢 TODAY",IF($I753=TODAY()+1,"🔵 TOMORROW",IF($I753&lt;=TODAY()+7,"📅 THIS WEEK","⏳ SCHEDULED"))))))</f>
        <v/>
      </c>
      <c r="K753" s="20">
        <f>IF($F753="",999,IF($G753&gt;=5,9999,IF($I753="",999,$I753-TODAY())))</f>
        <v/>
      </c>
    </row>
    <row r="754">
      <c r="A754" s="36">
        <f>ROW()-2</f>
        <v/>
      </c>
      <c r="B754" s="37" t="inlineStr">
        <is>
          <t>S6</t>
        </is>
      </c>
      <c r="C754" s="37" t="inlineStr">
        <is>
          <t>Pathologie digestive</t>
        </is>
      </c>
      <c r="D754" s="37" t="inlineStr">
        <is>
          <t>Chirurgie</t>
        </is>
      </c>
      <c r="E754" s="37" t="inlineStr">
        <is>
          <t>Les appendicites aiguës</t>
        </is>
      </c>
      <c r="F754" s="18" t="n"/>
      <c r="G754" s="19" t="n"/>
      <c r="H754" s="20">
        <f>IF($G754="",1,IF($G754=0,1,IF($G754=1,3,IF($G754=2,7,IF($G754=3,14,IF($G754=4,30,60))))))</f>
        <v/>
      </c>
      <c r="I754" s="21">
        <f>IF($F754="","",$F754+$H754)</f>
        <v/>
      </c>
      <c r="J754">
        <f>IF($F754="","⚪ NEW",IF($G754&gt;=5,"✅ DONE",IF($I754&lt;TODAY(),"🔴 OVERDUE",IF($I754=TODAY(),"🟢 TODAY",IF($I754=TODAY()+1,"🔵 TOMORROW",IF($I754&lt;=TODAY()+7,"📅 THIS WEEK","⏳ SCHEDULED"))))))</f>
        <v/>
      </c>
      <c r="K754" s="20">
        <f>IF($F754="",999,IF($G754&gt;=5,9999,IF($I754="",999,$I754-TODAY())))</f>
        <v/>
      </c>
    </row>
    <row r="755">
      <c r="A755" s="36">
        <f>ROW()-2</f>
        <v/>
      </c>
      <c r="B755" s="37" t="inlineStr">
        <is>
          <t>S6</t>
        </is>
      </c>
      <c r="C755" s="37" t="inlineStr">
        <is>
          <t>Pathologie digestive</t>
        </is>
      </c>
      <c r="D755" s="37" t="inlineStr">
        <is>
          <t>Chirurgie</t>
        </is>
      </c>
      <c r="E755" s="37" t="inlineStr">
        <is>
          <t>Cancer du pancréas</t>
        </is>
      </c>
      <c r="F755" s="18" t="n"/>
      <c r="G755" s="19" t="n"/>
      <c r="H755" s="20">
        <f>IF($G755="",1,IF($G755=0,1,IF($G755=1,3,IF($G755=2,7,IF($G755=3,14,IF($G755=4,30,60))))))</f>
        <v/>
      </c>
      <c r="I755" s="21">
        <f>IF($F755="","",$F755+$H755)</f>
        <v/>
      </c>
      <c r="J755">
        <f>IF($F755="","⚪ NEW",IF($G755&gt;=5,"✅ DONE",IF($I755&lt;TODAY(),"🔴 OVERDUE",IF($I755=TODAY(),"🟢 TODAY",IF($I755=TODAY()+1,"🔵 TOMORROW",IF($I755&lt;=TODAY()+7,"📅 THIS WEEK","⏳ SCHEDULED"))))))</f>
        <v/>
      </c>
      <c r="K755" s="20">
        <f>IF($F755="",999,IF($G755&gt;=5,9999,IF($I755="",999,$I755-TODAY())))</f>
        <v/>
      </c>
    </row>
    <row r="756">
      <c r="A756" s="36">
        <f>ROW()-2</f>
        <v/>
      </c>
      <c r="B756" s="37" t="inlineStr">
        <is>
          <t>S6</t>
        </is>
      </c>
      <c r="C756" s="37" t="inlineStr">
        <is>
          <t>Pathologie digestive</t>
        </is>
      </c>
      <c r="D756" s="37" t="inlineStr">
        <is>
          <t>Chirurgie</t>
        </is>
      </c>
      <c r="E756" s="37" t="inlineStr">
        <is>
          <t>Ischémie intestinale aiguë</t>
        </is>
      </c>
      <c r="F756" s="18" t="n"/>
      <c r="G756" s="19" t="n"/>
      <c r="H756" s="20">
        <f>IF($G756="",1,IF($G756=0,1,IF($G756=1,3,IF($G756=2,7,IF($G756=3,14,IF($G756=4,30,60))))))</f>
        <v/>
      </c>
      <c r="I756" s="21">
        <f>IF($F756="","",$F756+$H756)</f>
        <v/>
      </c>
      <c r="J756">
        <f>IF($F756="","⚪ NEW",IF($G756&gt;=5,"✅ DONE",IF($I756&lt;TODAY(),"🔴 OVERDUE",IF($I756=TODAY(),"🟢 TODAY",IF($I756=TODAY()+1,"🔵 TOMORROW",IF($I756&lt;=TODAY()+7,"📅 THIS WEEK","⏳ SCHEDULED"))))))</f>
        <v/>
      </c>
      <c r="K756" s="20">
        <f>IF($F756="",999,IF($G756&gt;=5,9999,IF($I756="",999,$I756-TODAY())))</f>
        <v/>
      </c>
    </row>
    <row r="757">
      <c r="A757" s="36">
        <f>ROW()-2</f>
        <v/>
      </c>
      <c r="B757" s="37" t="inlineStr">
        <is>
          <t>S6</t>
        </is>
      </c>
      <c r="C757" s="37" t="inlineStr">
        <is>
          <t>Pathologie digestive</t>
        </is>
      </c>
      <c r="D757" s="37" t="inlineStr">
        <is>
          <t>Chirurgie</t>
        </is>
      </c>
      <c r="E757" s="37" t="inlineStr">
        <is>
          <t>Le kyste hydatique du foie</t>
        </is>
      </c>
      <c r="F757" s="18" t="n"/>
      <c r="G757" s="19" t="n"/>
      <c r="H757" s="20">
        <f>IF($G757="",1,IF($G757=0,1,IF($G757=1,3,IF($G757=2,7,IF($G757=3,14,IF($G757=4,30,60))))))</f>
        <v/>
      </c>
      <c r="I757" s="21">
        <f>IF($F757="","",$F757+$H757)</f>
        <v/>
      </c>
      <c r="J757">
        <f>IF($F757="","⚪ NEW",IF($G757&gt;=5,"✅ DONE",IF($I757&lt;TODAY(),"🔴 OVERDUE",IF($I757=TODAY(),"🟢 TODAY",IF($I757=TODAY()+1,"🔵 TOMORROW",IF($I757&lt;=TODAY()+7,"📅 THIS WEEK","⏳ SCHEDULED"))))))</f>
        <v/>
      </c>
      <c r="K757" s="20">
        <f>IF($F757="",999,IF($G757&gt;=5,9999,IF($I757="",999,$I757-TODAY())))</f>
        <v/>
      </c>
    </row>
    <row r="758">
      <c r="A758" s="36">
        <f>ROW()-2</f>
        <v/>
      </c>
      <c r="B758" s="37" t="inlineStr">
        <is>
          <t>S6</t>
        </is>
      </c>
      <c r="C758" s="37" t="inlineStr">
        <is>
          <t>Pathologie digestive</t>
        </is>
      </c>
      <c r="D758" s="37" t="inlineStr">
        <is>
          <t>Chirurgie</t>
        </is>
      </c>
      <c r="E758" s="37" t="inlineStr">
        <is>
          <t>La lithiase de la vésicule biliaire et ses complications</t>
        </is>
      </c>
      <c r="F758" s="18" t="n"/>
      <c r="G758" s="19" t="n"/>
      <c r="H758" s="20">
        <f>IF($G758="",1,IF($G758=0,1,IF($G758=1,3,IF($G758=2,7,IF($G758=3,14,IF($G758=4,30,60))))))</f>
        <v/>
      </c>
      <c r="I758" s="21">
        <f>IF($F758="","",$F758+$H758)</f>
        <v/>
      </c>
      <c r="J758">
        <f>IF($F758="","⚪ NEW",IF($G758&gt;=5,"✅ DONE",IF($I758&lt;TODAY(),"🔴 OVERDUE",IF($I758=TODAY(),"🟢 TODAY",IF($I758=TODAY()+1,"🔵 TOMORROW",IF($I758&lt;=TODAY()+7,"📅 THIS WEEK","⏳ SCHEDULED"))))))</f>
        <v/>
      </c>
      <c r="K758" s="20">
        <f>IF($F758="",999,IF($G758&gt;=5,9999,IF($I758="",999,$I758-TODAY())))</f>
        <v/>
      </c>
    </row>
    <row r="759">
      <c r="A759" s="36">
        <f>ROW()-2</f>
        <v/>
      </c>
      <c r="B759" s="37" t="inlineStr">
        <is>
          <t>S6</t>
        </is>
      </c>
      <c r="C759" s="37" t="inlineStr">
        <is>
          <t>Pathologie digestive</t>
        </is>
      </c>
      <c r="D759" s="37" t="inlineStr">
        <is>
          <t>Chirurgie</t>
        </is>
      </c>
      <c r="E759" s="37" t="inlineStr">
        <is>
          <t>L'occlusion intestinale aiguë</t>
        </is>
      </c>
      <c r="F759" s="18" t="n"/>
      <c r="G759" s="19" t="n"/>
      <c r="H759" s="20">
        <f>IF($G759="",1,IF($G759=0,1,IF($G759=1,3,IF($G759=2,7,IF($G759=3,14,IF($G759=4,30,60))))))</f>
        <v/>
      </c>
      <c r="I759" s="21">
        <f>IF($F759="","",$F759+$H759)</f>
        <v/>
      </c>
      <c r="J759">
        <f>IF($F759="","⚪ NEW",IF($G759&gt;=5,"✅ DONE",IF($I759&lt;TODAY(),"🔴 OVERDUE",IF($I759=TODAY(),"🟢 TODAY",IF($I759=TODAY()+1,"🔵 TOMORROW",IF($I759&lt;=TODAY()+7,"📅 THIS WEEK","⏳ SCHEDULED"))))))</f>
        <v/>
      </c>
      <c r="K759" s="20">
        <f>IF($F759="",999,IF($G759&gt;=5,9999,IF($I759="",999,$I759-TODAY())))</f>
        <v/>
      </c>
    </row>
    <row r="760">
      <c r="A760" s="36">
        <f>ROW()-2</f>
        <v/>
      </c>
      <c r="B760" s="37" t="inlineStr">
        <is>
          <t>S6</t>
        </is>
      </c>
      <c r="C760" s="37" t="inlineStr">
        <is>
          <t>Pathologie digestive</t>
        </is>
      </c>
      <c r="D760" s="37" t="inlineStr">
        <is>
          <t>Chirurgie</t>
        </is>
      </c>
      <c r="E760" s="37" t="inlineStr">
        <is>
          <t>Le cancer du côlon</t>
        </is>
      </c>
      <c r="F760" s="18" t="n"/>
      <c r="G760" s="19" t="n"/>
      <c r="H760" s="20">
        <f>IF($G760="",1,IF($G760=0,1,IF($G760=1,3,IF($G760=2,7,IF($G760=3,14,IF($G760=4,30,60))))))</f>
        <v/>
      </c>
      <c r="I760" s="21">
        <f>IF($F760="","",$F760+$H760)</f>
        <v/>
      </c>
      <c r="J760">
        <f>IF($F760="","⚪ NEW",IF($G760&gt;=5,"✅ DONE",IF($I760&lt;TODAY(),"🔴 OVERDUE",IF($I760=TODAY(),"🟢 TODAY",IF($I760=TODAY()+1,"🔵 TOMORROW",IF($I760&lt;=TODAY()+7,"📅 THIS WEEK","⏳ SCHEDULED"))))))</f>
        <v/>
      </c>
      <c r="K760" s="20">
        <f>IF($F760="",999,IF($G760&gt;=5,9999,IF($I760="",999,$I760-TODAY())))</f>
        <v/>
      </c>
    </row>
    <row r="761">
      <c r="A761" s="36">
        <f>ROW()-2</f>
        <v/>
      </c>
      <c r="B761" s="37" t="inlineStr">
        <is>
          <t>S6</t>
        </is>
      </c>
      <c r="C761" s="37" t="inlineStr">
        <is>
          <t>Pathologie digestive</t>
        </is>
      </c>
      <c r="D761" s="37" t="inlineStr">
        <is>
          <t>Chirurgie</t>
        </is>
      </c>
      <c r="E761" s="37" t="inlineStr">
        <is>
          <t>Le cancer du rectum</t>
        </is>
      </c>
      <c r="F761" s="18" t="n"/>
      <c r="G761" s="19" t="n"/>
      <c r="H761" s="20">
        <f>IF($G761="",1,IF($G761=0,1,IF($G761=1,3,IF($G761=2,7,IF($G761=3,14,IF($G761=4,30,60))))))</f>
        <v/>
      </c>
      <c r="I761" s="21">
        <f>IF($F761="","",$F761+$H761)</f>
        <v/>
      </c>
      <c r="J761">
        <f>IF($F761="","⚪ NEW",IF($G761&gt;=5,"✅ DONE",IF($I761&lt;TODAY(),"🔴 OVERDUE",IF($I761=TODAY(),"🟢 TODAY",IF($I761=TODAY()+1,"🔵 TOMORROW",IF($I761&lt;=TODAY()+7,"📅 THIS WEEK","⏳ SCHEDULED"))))))</f>
        <v/>
      </c>
      <c r="K761" s="20">
        <f>IF($F761="",999,IF($G761&gt;=5,9999,IF($I761="",999,$I761-TODAY())))</f>
        <v/>
      </c>
    </row>
    <row r="762">
      <c r="A762" s="36">
        <f>ROW()-2</f>
        <v/>
      </c>
      <c r="B762" s="37" t="inlineStr">
        <is>
          <t>S6</t>
        </is>
      </c>
      <c r="C762" s="37" t="inlineStr">
        <is>
          <t>Pathologie digestive</t>
        </is>
      </c>
      <c r="D762" s="37" t="inlineStr">
        <is>
          <t>Chirurgie</t>
        </is>
      </c>
      <c r="E762" s="37" t="inlineStr">
        <is>
          <t>Pancréatites aiguës</t>
        </is>
      </c>
      <c r="F762" s="18" t="n"/>
      <c r="G762" s="19" t="n"/>
      <c r="H762" s="20">
        <f>IF($G762="",1,IF($G762=0,1,IF($G762=1,3,IF($G762=2,7,IF($G762=3,14,IF($G762=4,30,60))))))</f>
        <v/>
      </c>
      <c r="I762" s="21">
        <f>IF($F762="","",$F762+$H762)</f>
        <v/>
      </c>
      <c r="J762">
        <f>IF($F762="","⚪ NEW",IF($G762&gt;=5,"✅ DONE",IF($I762&lt;TODAY(),"🔴 OVERDUE",IF($I762=TODAY(),"🟢 TODAY",IF($I762=TODAY()+1,"🔵 TOMORROW",IF($I762&lt;=TODAY()+7,"📅 THIS WEEK","⏳ SCHEDULED"))))))</f>
        <v/>
      </c>
      <c r="K762" s="20">
        <f>IF($F762="",999,IF($G762&gt;=5,9999,IF($I762="",999,$I762-TODAY())))</f>
        <v/>
      </c>
    </row>
    <row r="763">
      <c r="A763" s="36">
        <f>ROW()-2</f>
        <v/>
      </c>
      <c r="B763" s="37" t="inlineStr">
        <is>
          <t>S6</t>
        </is>
      </c>
      <c r="C763" s="37" t="inlineStr">
        <is>
          <t>Pathologie digestive</t>
        </is>
      </c>
      <c r="D763" s="37" t="inlineStr">
        <is>
          <t>Chirurgie</t>
        </is>
      </c>
      <c r="E763" s="37" t="inlineStr">
        <is>
          <t>Les tumeurs du foie</t>
        </is>
      </c>
      <c r="F763" s="18" t="n"/>
      <c r="G763" s="19" t="n"/>
      <c r="H763" s="20">
        <f>IF($G763="",1,IF($G763=0,1,IF($G763=1,3,IF($G763=2,7,IF($G763=3,14,IF($G763=4,30,60))))))</f>
        <v/>
      </c>
      <c r="I763" s="21">
        <f>IF($F763="","",$F763+$H763)</f>
        <v/>
      </c>
      <c r="J763">
        <f>IF($F763="","⚪ NEW",IF($G763&gt;=5,"✅ DONE",IF($I763&lt;TODAY(),"🔴 OVERDUE",IF($I763=TODAY(),"🟢 TODAY",IF($I763=TODAY()+1,"🔵 TOMORROW",IF($I763&lt;=TODAY()+7,"📅 THIS WEEK","⏳ SCHEDULED"))))))</f>
        <v/>
      </c>
      <c r="K763" s="20">
        <f>IF($F763="",999,IF($G763&gt;=5,9999,IF($I763="",999,$I763-TODAY())))</f>
        <v/>
      </c>
    </row>
    <row r="764">
      <c r="A764" s="36">
        <f>ROW()-2</f>
        <v/>
      </c>
      <c r="B764" s="37" t="inlineStr">
        <is>
          <t>S6</t>
        </is>
      </c>
      <c r="C764" s="37" t="inlineStr">
        <is>
          <t>Pathologie digestive</t>
        </is>
      </c>
      <c r="D764" s="37" t="inlineStr">
        <is>
          <t>Chirurgie</t>
        </is>
      </c>
      <c r="E764" s="37" t="inlineStr">
        <is>
          <t>Cancers biliaires</t>
        </is>
      </c>
      <c r="F764" s="18" t="n"/>
      <c r="G764" s="19" t="n"/>
      <c r="H764" s="20">
        <f>IF($G764="",1,IF($G764=0,1,IF($G764=1,3,IF($G764=2,7,IF($G764=3,14,IF($G764=4,30,60))))))</f>
        <v/>
      </c>
      <c r="I764" s="21">
        <f>IF($F764="","",$F764+$H764)</f>
        <v/>
      </c>
      <c r="J764">
        <f>IF($F764="","⚪ NEW",IF($G764&gt;=5,"✅ DONE",IF($I764&lt;TODAY(),"🔴 OVERDUE",IF($I764=TODAY(),"🟢 TODAY",IF($I764=TODAY()+1,"🔵 TOMORROW",IF($I764&lt;=TODAY()+7,"📅 THIS WEEK","⏳ SCHEDULED"))))))</f>
        <v/>
      </c>
      <c r="K764" s="20">
        <f>IF($F764="",999,IF($G764&gt;=5,9999,IF($I764="",999,$I764-TODAY())))</f>
        <v/>
      </c>
    </row>
    <row r="765">
      <c r="A765" s="36">
        <f>ROW()-2</f>
        <v/>
      </c>
      <c r="B765" s="37" t="inlineStr">
        <is>
          <t>S6</t>
        </is>
      </c>
      <c r="C765" s="37" t="inlineStr">
        <is>
          <t>Pathologie digestive</t>
        </is>
      </c>
      <c r="D765" s="37" t="inlineStr">
        <is>
          <t>Chirurgie</t>
        </is>
      </c>
      <c r="E765" s="37" t="inlineStr">
        <is>
          <t>Pathologie herniaire de la paroi abdominale</t>
        </is>
      </c>
      <c r="F765" s="18" t="n"/>
      <c r="G765" s="19" t="n"/>
      <c r="H765" s="20">
        <f>IF($G765="",1,IF($G765=0,1,IF($G765=1,3,IF($G765=2,7,IF($G765=3,14,IF($G765=4,30,60))))))</f>
        <v/>
      </c>
      <c r="I765" s="21">
        <f>IF($F765="","",$F765+$H765)</f>
        <v/>
      </c>
      <c r="J765">
        <f>IF($F765="","⚪ NEW",IF($G765&gt;=5,"✅ DONE",IF($I765&lt;TODAY(),"🔴 OVERDUE",IF($I765=TODAY(),"🟢 TODAY",IF($I765=TODAY()+1,"🔵 TOMORROW",IF($I765&lt;=TODAY()+7,"📅 THIS WEEK","⏳ SCHEDULED"))))))</f>
        <v/>
      </c>
      <c r="K765" s="20">
        <f>IF($F765="",999,IF($G765&gt;=5,9999,IF($I765="",999,$I765-TODAY())))</f>
        <v/>
      </c>
    </row>
    <row r="766">
      <c r="A766" s="36">
        <f>ROW()-2</f>
        <v/>
      </c>
      <c r="B766" s="37" t="inlineStr">
        <is>
          <t>S6</t>
        </is>
      </c>
      <c r="C766" s="37" t="inlineStr">
        <is>
          <t>Pathologie digestive</t>
        </is>
      </c>
      <c r="D766" s="37" t="inlineStr">
        <is>
          <t>Chirurgie</t>
        </is>
      </c>
      <c r="E766" s="37" t="inlineStr">
        <is>
          <t>Cancer de l'estomac</t>
        </is>
      </c>
      <c r="F766" s="18" t="n"/>
      <c r="G766" s="19" t="n"/>
      <c r="H766" s="20">
        <f>IF($G766="",1,IF($G766=0,1,IF($G766=1,3,IF($G766=2,7,IF($G766=3,14,IF($G766=4,30,60))))))</f>
        <v/>
      </c>
      <c r="I766" s="21">
        <f>IF($F766="","",$F766+$H766)</f>
        <v/>
      </c>
      <c r="J766">
        <f>IF($F766="","⚪ NEW",IF($G766&gt;=5,"✅ DONE",IF($I766&lt;TODAY(),"🔴 OVERDUE",IF($I766=TODAY(),"🟢 TODAY",IF($I766=TODAY()+1,"🔵 TOMORROW",IF($I766&lt;=TODAY()+7,"📅 THIS WEEK","⏳ SCHEDULED"))))))</f>
        <v/>
      </c>
      <c r="K766" s="20">
        <f>IF($F766="",999,IF($G766&gt;=5,9999,IF($I766="",999,$I766-TODAY())))</f>
        <v/>
      </c>
    </row>
    <row r="767">
      <c r="A767" s="36">
        <f>ROW()-2</f>
        <v/>
      </c>
      <c r="B767" s="37" t="inlineStr">
        <is>
          <t>S6</t>
        </is>
      </c>
      <c r="C767" s="37" t="inlineStr">
        <is>
          <t>Pathologie digestive</t>
        </is>
      </c>
      <c r="D767" s="37" t="inlineStr">
        <is>
          <t>Chirurgie</t>
        </is>
      </c>
      <c r="E767" s="37" t="inlineStr">
        <is>
          <t>Cancer de l'œsophage</t>
        </is>
      </c>
      <c r="F767" s="18" t="n"/>
      <c r="G767" s="19" t="n"/>
      <c r="H767" s="20">
        <f>IF($G767="",1,IF($G767=0,1,IF($G767=1,3,IF($G767=2,7,IF($G767=3,14,IF($G767=4,30,60))))))</f>
        <v/>
      </c>
      <c r="I767" s="21">
        <f>IF($F767="","",$F767+$H767)</f>
        <v/>
      </c>
      <c r="J767">
        <f>IF($F767="","⚪ NEW",IF($G767&gt;=5,"✅ DONE",IF($I767&lt;TODAY(),"🔴 OVERDUE",IF($I767=TODAY(),"🟢 TODAY",IF($I767=TODAY()+1,"🔵 TOMORROW",IF($I767&lt;=TODAY()+7,"📅 THIS WEEK","⏳ SCHEDULED"))))))</f>
        <v/>
      </c>
      <c r="K767" s="20">
        <f>IF($F767="",999,IF($G767&gt;=5,9999,IF($I767="",999,$I767-TODAY())))</f>
        <v/>
      </c>
    </row>
    <row r="768">
      <c r="A768" s="36">
        <f>ROW()-2</f>
        <v/>
      </c>
      <c r="B768" s="37" t="inlineStr">
        <is>
          <t>S6</t>
        </is>
      </c>
      <c r="C768" s="37" t="inlineStr">
        <is>
          <t>Pathologie digestive</t>
        </is>
      </c>
      <c r="D768" s="37" t="inlineStr">
        <is>
          <t>Chirurgie</t>
        </is>
      </c>
      <c r="E768" s="37" t="inlineStr">
        <is>
          <t>Traumatismes de l'abdomen</t>
        </is>
      </c>
      <c r="F768" s="18" t="n"/>
      <c r="G768" s="19" t="n"/>
      <c r="H768" s="20">
        <f>IF($G768="",1,IF($G768=0,1,IF($G768=1,3,IF($G768=2,7,IF($G768=3,14,IF($G768=4,30,60))))))</f>
        <v/>
      </c>
      <c r="I768" s="21">
        <f>IF($F768="","",$F768+$H768)</f>
        <v/>
      </c>
      <c r="J768">
        <f>IF($F768="","⚪ NEW",IF($G768&gt;=5,"✅ DONE",IF($I768&lt;TODAY(),"🔴 OVERDUE",IF($I768=TODAY(),"🟢 TODAY",IF($I768=TODAY()+1,"🔵 TOMORROW",IF($I768&lt;=TODAY()+7,"📅 THIS WEEK","⏳ SCHEDULED"))))))</f>
        <v/>
      </c>
      <c r="K768" s="20">
        <f>IF($F768="",999,IF($G768&gt;=5,9999,IF($I768="",999,$I768-TODAY())))</f>
        <v/>
      </c>
    </row>
    <row r="769">
      <c r="A769" s="36">
        <f>ROW()-2</f>
        <v/>
      </c>
      <c r="B769" s="37" t="inlineStr">
        <is>
          <t>S6</t>
        </is>
      </c>
      <c r="C769" s="37" t="inlineStr">
        <is>
          <t>Pathologie digestive</t>
        </is>
      </c>
      <c r="D769" s="37" t="inlineStr">
        <is>
          <t>Chirurgie</t>
        </is>
      </c>
      <c r="E769" s="37" t="inlineStr">
        <is>
          <t>Ingestion caustique</t>
        </is>
      </c>
      <c r="F769" s="18" t="n"/>
      <c r="G769" s="19" t="n"/>
      <c r="H769" s="20">
        <f>IF($G769="",1,IF($G769=0,1,IF($G769=1,3,IF($G769=2,7,IF($G769=3,14,IF($G769=4,30,60))))))</f>
        <v/>
      </c>
      <c r="I769" s="21">
        <f>IF($F769="","",$F769+$H769)</f>
        <v/>
      </c>
      <c r="J769">
        <f>IF($F769="","⚪ NEW",IF($G769&gt;=5,"✅ DONE",IF($I769&lt;TODAY(),"🔴 OVERDUE",IF($I769=TODAY(),"🟢 TODAY",IF($I769=TODAY()+1,"🔵 TOMORROW",IF($I769&lt;=TODAY()+7,"📅 THIS WEEK","⏳ SCHEDULED"))))))</f>
        <v/>
      </c>
      <c r="K769" s="20">
        <f>IF($F769="",999,IF($G769&gt;=5,9999,IF($I769="",999,$I769-TODAY())))</f>
        <v/>
      </c>
    </row>
    <row r="770">
      <c r="A770" s="36">
        <f>ROW()-2</f>
        <v/>
      </c>
      <c r="B770" s="37" t="inlineStr">
        <is>
          <t>S6</t>
        </is>
      </c>
      <c r="C770" s="37" t="inlineStr">
        <is>
          <t>Pathologie digestive</t>
        </is>
      </c>
      <c r="D770" s="37" t="inlineStr">
        <is>
          <t>Chirurgie</t>
        </is>
      </c>
      <c r="E770" s="37" t="inlineStr">
        <is>
          <t>Abcès hépatique</t>
        </is>
      </c>
      <c r="F770" s="18" t="n"/>
      <c r="G770" s="19" t="n"/>
      <c r="H770" s="20">
        <f>IF($G770="",1,IF($G770=0,1,IF($G770=1,3,IF($G770=2,7,IF($G770=3,14,IF($G770=4,30,60))))))</f>
        <v/>
      </c>
      <c r="I770" s="21">
        <f>IF($F770="","",$F770+$H770)</f>
        <v/>
      </c>
      <c r="J770">
        <f>IF($F770="","⚪ NEW",IF($G770&gt;=5,"✅ DONE",IF($I770&lt;TODAY(),"🔴 OVERDUE",IF($I770=TODAY(),"🟢 TODAY",IF($I770=TODAY()+1,"🔵 TOMORROW",IF($I770&lt;=TODAY()+7,"📅 THIS WEEK","⏳ SCHEDULED"))))))</f>
        <v/>
      </c>
      <c r="K770" s="20">
        <f>IF($F770="",999,IF($G770&gt;=5,9999,IF($I770="",999,$I770-TODAY())))</f>
        <v/>
      </c>
    </row>
    <row r="771">
      <c r="A771" s="38">
        <f>ROW()-2</f>
        <v/>
      </c>
      <c r="B771" s="39" t="inlineStr">
        <is>
          <t>S7</t>
        </is>
      </c>
      <c r="C771" s="39" t="inlineStr">
        <is>
          <t>Maladies de l'enfant</t>
        </is>
      </c>
      <c r="D771" s="39" t="inlineStr">
        <is>
          <t>Pédiatrie</t>
        </is>
      </c>
      <c r="E771" s="39" t="inlineStr">
        <is>
          <t>Hématuries</t>
        </is>
      </c>
      <c r="F771" s="18" t="n"/>
      <c r="G771" s="19" t="n"/>
      <c r="H771" s="20">
        <f>IF($G771="",1,IF($G771=0,1,IF($G771=1,3,IF($G771=2,7,IF($G771=3,14,IF($G771=4,30,60))))))</f>
        <v/>
      </c>
      <c r="I771" s="21">
        <f>IF($F771="","",$F771+$H771)</f>
        <v/>
      </c>
      <c r="J771">
        <f>IF($F771="","⚪ NEW",IF($G771&gt;=5,"✅ DONE",IF($I771&lt;TODAY(),"🔴 OVERDUE",IF($I771=TODAY(),"🟢 TODAY",IF($I771=TODAY()+1,"🔵 TOMORROW",IF($I771&lt;=TODAY()+7,"📅 THIS WEEK","⏳ SCHEDULED"))))))</f>
        <v/>
      </c>
      <c r="K771" s="20">
        <f>IF($F771="",999,IF($G771&gt;=5,9999,IF($I771="",999,$I771-TODAY())))</f>
        <v/>
      </c>
    </row>
    <row r="772">
      <c r="A772" s="38">
        <f>ROW()-2</f>
        <v/>
      </c>
      <c r="B772" s="39" t="inlineStr">
        <is>
          <t>S7</t>
        </is>
      </c>
      <c r="C772" s="39" t="inlineStr">
        <is>
          <t>Maladies de l'enfant</t>
        </is>
      </c>
      <c r="D772" s="39" t="inlineStr">
        <is>
          <t>Pédiatrie</t>
        </is>
      </c>
      <c r="E772" s="39" t="inlineStr">
        <is>
          <t>Glomérulonéphrites aiguës chez l'enfant</t>
        </is>
      </c>
      <c r="F772" s="18" t="n"/>
      <c r="G772" s="19" t="n"/>
      <c r="H772" s="20">
        <f>IF($G772="",1,IF($G772=0,1,IF($G772=1,3,IF($G772=2,7,IF($G772=3,14,IF($G772=4,30,60))))))</f>
        <v/>
      </c>
      <c r="I772" s="21">
        <f>IF($F772="","",$F772+$H772)</f>
        <v/>
      </c>
      <c r="J772">
        <f>IF($F772="","⚪ NEW",IF($G772&gt;=5,"✅ DONE",IF($I772&lt;TODAY(),"🔴 OVERDUE",IF($I772=TODAY(),"🟢 TODAY",IF($I772=TODAY()+1,"🔵 TOMORROW",IF($I772&lt;=TODAY()+7,"📅 THIS WEEK","⏳ SCHEDULED"))))))</f>
        <v/>
      </c>
      <c r="K772" s="20">
        <f>IF($F772="",999,IF($G772&gt;=5,9999,IF($I772="",999,$I772-TODAY())))</f>
        <v/>
      </c>
    </row>
    <row r="773">
      <c r="A773" s="38">
        <f>ROW()-2</f>
        <v/>
      </c>
      <c r="B773" s="39" t="inlineStr">
        <is>
          <t>S7</t>
        </is>
      </c>
      <c r="C773" s="39" t="inlineStr">
        <is>
          <t>Maladies de l'enfant</t>
        </is>
      </c>
      <c r="D773" s="39" t="inlineStr">
        <is>
          <t>Pédiatrie</t>
        </is>
      </c>
      <c r="E773" s="39" t="inlineStr">
        <is>
          <t>Protéinurie</t>
        </is>
      </c>
      <c r="F773" s="18" t="n"/>
      <c r="G773" s="19" t="n"/>
      <c r="H773" s="20">
        <f>IF($G773="",1,IF($G773=0,1,IF($G773=1,3,IF($G773=2,7,IF($G773=3,14,IF($G773=4,30,60))))))</f>
        <v/>
      </c>
      <c r="I773" s="21">
        <f>IF($F773="","",$F773+$H773)</f>
        <v/>
      </c>
      <c r="J773">
        <f>IF($F773="","⚪ NEW",IF($G773&gt;=5,"✅ DONE",IF($I773&lt;TODAY(),"🔴 OVERDUE",IF($I773=TODAY(),"🟢 TODAY",IF($I773=TODAY()+1,"🔵 TOMORROW",IF($I773&lt;=TODAY()+7,"📅 THIS WEEK","⏳ SCHEDULED"))))))</f>
        <v/>
      </c>
      <c r="K773" s="20">
        <f>IF($F773="",999,IF($G773&gt;=5,9999,IF($I773="",999,$I773-TODAY())))</f>
        <v/>
      </c>
    </row>
    <row r="774">
      <c r="A774" s="38">
        <f>ROW()-2</f>
        <v/>
      </c>
      <c r="B774" s="39" t="inlineStr">
        <is>
          <t>S7</t>
        </is>
      </c>
      <c r="C774" s="39" t="inlineStr">
        <is>
          <t>Maladies de l'enfant</t>
        </is>
      </c>
      <c r="D774" s="39" t="inlineStr">
        <is>
          <t>Pédiatrie</t>
        </is>
      </c>
      <c r="E774" s="39" t="inlineStr">
        <is>
          <t>Syndrome néphrotique</t>
        </is>
      </c>
      <c r="F774" s="18" t="n"/>
      <c r="G774" s="19" t="n"/>
      <c r="H774" s="20">
        <f>IF($G774="",1,IF($G774=0,1,IF($G774=1,3,IF($G774=2,7,IF($G774=3,14,IF($G774=4,30,60))))))</f>
        <v/>
      </c>
      <c r="I774" s="21">
        <f>IF($F774="","",$F774+$H774)</f>
        <v/>
      </c>
      <c r="J774">
        <f>IF($F774="","⚪ NEW",IF($G774&gt;=5,"✅ DONE",IF($I774&lt;TODAY(),"🔴 OVERDUE",IF($I774=TODAY(),"🟢 TODAY",IF($I774=TODAY()+1,"🔵 TOMORROW",IF($I774&lt;=TODAY()+7,"📅 THIS WEEK","⏳ SCHEDULED"))))))</f>
        <v/>
      </c>
      <c r="K774" s="20">
        <f>IF($F774="",999,IF($G774&gt;=5,9999,IF($I774="",999,$I774-TODAY())))</f>
        <v/>
      </c>
    </row>
    <row r="775">
      <c r="A775" s="38">
        <f>ROW()-2</f>
        <v/>
      </c>
      <c r="B775" s="39" t="inlineStr">
        <is>
          <t>S7</t>
        </is>
      </c>
      <c r="C775" s="39" t="inlineStr">
        <is>
          <t>Maladies de l'enfant</t>
        </is>
      </c>
      <c r="D775" s="39" t="inlineStr">
        <is>
          <t>Pédiatrie</t>
        </is>
      </c>
      <c r="E775" s="39" t="inlineStr">
        <is>
          <t>Purpura rhumatoïde</t>
        </is>
      </c>
      <c r="F775" s="18" t="n"/>
      <c r="G775" s="19" t="n"/>
      <c r="H775" s="20">
        <f>IF($G775="",1,IF($G775=0,1,IF($G775=1,3,IF($G775=2,7,IF($G775=3,14,IF($G775=4,30,60))))))</f>
        <v/>
      </c>
      <c r="I775" s="21">
        <f>IF($F775="","",$F775+$H775)</f>
        <v/>
      </c>
      <c r="J775">
        <f>IF($F775="","⚪ NEW",IF($G775&gt;=5,"✅ DONE",IF($I775&lt;TODAY(),"🔴 OVERDUE",IF($I775=TODAY(),"🟢 TODAY",IF($I775=TODAY()+1,"🔵 TOMORROW",IF($I775&lt;=TODAY()+7,"📅 THIS WEEK","⏳ SCHEDULED"))))))</f>
        <v/>
      </c>
      <c r="K775" s="20">
        <f>IF($F775="",999,IF($G775&gt;=5,9999,IF($I775="",999,$I775-TODAY())))</f>
        <v/>
      </c>
    </row>
    <row r="776">
      <c r="A776" s="38">
        <f>ROW()-2</f>
        <v/>
      </c>
      <c r="B776" s="39" t="inlineStr">
        <is>
          <t>S7</t>
        </is>
      </c>
      <c r="C776" s="39" t="inlineStr">
        <is>
          <t>Maladies de l'enfant</t>
        </is>
      </c>
      <c r="D776" s="39" t="inlineStr">
        <is>
          <t>Pédiatrie</t>
        </is>
      </c>
      <c r="E776" s="39" t="inlineStr">
        <is>
          <t>Arthralgies et arthrite chez l'enfant</t>
        </is>
      </c>
      <c r="F776" s="18" t="n"/>
      <c r="G776" s="19" t="n"/>
      <c r="H776" s="20">
        <f>IF($G776="",1,IF($G776=0,1,IF($G776=1,3,IF($G776=2,7,IF($G776=3,14,IF($G776=4,30,60))))))</f>
        <v/>
      </c>
      <c r="I776" s="21">
        <f>IF($F776="","",$F776+$H776)</f>
        <v/>
      </c>
      <c r="J776">
        <f>IF($F776="","⚪ NEW",IF($G776&gt;=5,"✅ DONE",IF($I776&lt;TODAY(),"🔴 OVERDUE",IF($I776=TODAY(),"🟢 TODAY",IF($I776=TODAY()+1,"🔵 TOMORROW",IF($I776&lt;=TODAY()+7,"📅 THIS WEEK","⏳ SCHEDULED"))))))</f>
        <v/>
      </c>
      <c r="K776" s="20">
        <f>IF($F776="",999,IF($G776&gt;=5,9999,IF($I776="",999,$I776-TODAY())))</f>
        <v/>
      </c>
    </row>
    <row r="777">
      <c r="A777" s="38">
        <f>ROW()-2</f>
        <v/>
      </c>
      <c r="B777" s="39" t="inlineStr">
        <is>
          <t>S7</t>
        </is>
      </c>
      <c r="C777" s="39" t="inlineStr">
        <is>
          <t>Maladies de l'enfant</t>
        </is>
      </c>
      <c r="D777" s="39" t="inlineStr">
        <is>
          <t>Pédiatrie</t>
        </is>
      </c>
      <c r="E777" s="39" t="inlineStr">
        <is>
          <t>Infections urinaires chez l'enfant</t>
        </is>
      </c>
      <c r="F777" s="18" t="n"/>
      <c r="G777" s="19" t="n"/>
      <c r="H777" s="20">
        <f>IF($G777="",1,IF($G777=0,1,IF($G777=1,3,IF($G777=2,7,IF($G777=3,14,IF($G777=4,30,60))))))</f>
        <v/>
      </c>
      <c r="I777" s="21">
        <f>IF($F777="","",$F777+$H777)</f>
        <v/>
      </c>
      <c r="J777">
        <f>IF($F777="","⚪ NEW",IF($G777&gt;=5,"✅ DONE",IF($I777&lt;TODAY(),"🔴 OVERDUE",IF($I777=TODAY(),"🟢 TODAY",IF($I777=TODAY()+1,"🔵 TOMORROW",IF($I777&lt;=TODAY()+7,"📅 THIS WEEK","⏳ SCHEDULED"))))))</f>
        <v/>
      </c>
      <c r="K777" s="20">
        <f>IF($F777="",999,IF($G777&gt;=5,9999,IF($I777="",999,$I777-TODAY())))</f>
        <v/>
      </c>
    </row>
    <row r="778">
      <c r="A778" s="38">
        <f>ROW()-2</f>
        <v/>
      </c>
      <c r="B778" s="39" t="inlineStr">
        <is>
          <t>S7</t>
        </is>
      </c>
      <c r="C778" s="39" t="inlineStr">
        <is>
          <t>Maladies de l'enfant</t>
        </is>
      </c>
      <c r="D778" s="39" t="inlineStr">
        <is>
          <t>Pédiatrie</t>
        </is>
      </c>
      <c r="E778" s="39" t="inlineStr">
        <is>
          <t>Énurésie</t>
        </is>
      </c>
      <c r="F778" s="18" t="n"/>
      <c r="G778" s="19" t="n"/>
      <c r="H778" s="20">
        <f>IF($G778="",1,IF($G778=0,1,IF($G778=1,3,IF($G778=2,7,IF($G778=3,14,IF($G778=4,30,60))))))</f>
        <v/>
      </c>
      <c r="I778" s="21">
        <f>IF($F778="","",$F778+$H778)</f>
        <v/>
      </c>
      <c r="J778">
        <f>IF($F778="","⚪ NEW",IF($G778&gt;=5,"✅ DONE",IF($I778&lt;TODAY(),"🔴 OVERDUE",IF($I778=TODAY(),"🟢 TODAY",IF($I778=TODAY()+1,"🔵 TOMORROW",IF($I778&lt;=TODAY()+7,"📅 THIS WEEK","⏳ SCHEDULED"))))))</f>
        <v/>
      </c>
      <c r="K778" s="20">
        <f>IF($F778="",999,IF($G778&gt;=5,9999,IF($I778="",999,$I778-TODAY())))</f>
        <v/>
      </c>
    </row>
    <row r="779">
      <c r="A779" s="38">
        <f>ROW()-2</f>
        <v/>
      </c>
      <c r="B779" s="39" t="inlineStr">
        <is>
          <t>S7</t>
        </is>
      </c>
      <c r="C779" s="39" t="inlineStr">
        <is>
          <t>Maladies de l'enfant</t>
        </is>
      </c>
      <c r="D779" s="39" t="inlineStr">
        <is>
          <t>Pédiatrie</t>
        </is>
      </c>
      <c r="E779" s="39" t="inlineStr">
        <is>
          <t>Asthme de l'enfant et du nourrisson</t>
        </is>
      </c>
      <c r="F779" s="18" t="n"/>
      <c r="G779" s="19" t="n"/>
      <c r="H779" s="20">
        <f>IF($G779="",1,IF($G779=0,1,IF($G779=1,3,IF($G779=2,7,IF($G779=3,14,IF($G779=4,30,60))))))</f>
        <v/>
      </c>
      <c r="I779" s="21">
        <f>IF($F779="","",$F779+$H779)</f>
        <v/>
      </c>
      <c r="J779">
        <f>IF($F779="","⚪ NEW",IF($G779&gt;=5,"✅ DONE",IF($I779&lt;TODAY(),"🔴 OVERDUE",IF($I779=TODAY(),"🟢 TODAY",IF($I779=TODAY()+1,"🔵 TOMORROW",IF($I779&lt;=TODAY()+7,"📅 THIS WEEK","⏳ SCHEDULED"))))))</f>
        <v/>
      </c>
      <c r="K779" s="20">
        <f>IF($F779="",999,IF($G779&gt;=5,9999,IF($I779="",999,$I779-TODAY())))</f>
        <v/>
      </c>
    </row>
    <row r="780">
      <c r="A780" s="38">
        <f>ROW()-2</f>
        <v/>
      </c>
      <c r="B780" s="39" t="inlineStr">
        <is>
          <t>S7</t>
        </is>
      </c>
      <c r="C780" s="39" t="inlineStr">
        <is>
          <t>Maladies de l'enfant</t>
        </is>
      </c>
      <c r="D780" s="39" t="inlineStr">
        <is>
          <t>Pédiatrie</t>
        </is>
      </c>
      <c r="E780" s="39" t="inlineStr">
        <is>
          <t>Pleurésie de l'enfant</t>
        </is>
      </c>
      <c r="F780" s="18" t="n"/>
      <c r="G780" s="19" t="n"/>
      <c r="H780" s="20">
        <f>IF($G780="",1,IF($G780=0,1,IF($G780=1,3,IF($G780=2,7,IF($G780=3,14,IF($G780=4,30,60))))))</f>
        <v/>
      </c>
      <c r="I780" s="21">
        <f>IF($F780="","",$F780+$H780)</f>
        <v/>
      </c>
      <c r="J780">
        <f>IF($F780="","⚪ NEW",IF($G780&gt;=5,"✅ DONE",IF($I780&lt;TODAY(),"🔴 OVERDUE",IF($I780=TODAY(),"🟢 TODAY",IF($I780=TODAY()+1,"🔵 TOMORROW",IF($I780&lt;=TODAY()+7,"📅 THIS WEEK","⏳ SCHEDULED"))))))</f>
        <v/>
      </c>
      <c r="K780" s="20">
        <f>IF($F780="",999,IF($G780&gt;=5,9999,IF($I780="",999,$I780-TODAY())))</f>
        <v/>
      </c>
    </row>
    <row r="781">
      <c r="A781" s="38">
        <f>ROW()-2</f>
        <v/>
      </c>
      <c r="B781" s="39" t="inlineStr">
        <is>
          <t>S7</t>
        </is>
      </c>
      <c r="C781" s="39" t="inlineStr">
        <is>
          <t>Maladies de l'enfant</t>
        </is>
      </c>
      <c r="D781" s="39" t="inlineStr">
        <is>
          <t>Pédiatrie</t>
        </is>
      </c>
      <c r="E781" s="39" t="inlineStr">
        <is>
          <t>Infections respiratoires aiguës chez l'enfant</t>
        </is>
      </c>
      <c r="F781" s="18" t="n"/>
      <c r="G781" s="19" t="n"/>
      <c r="H781" s="20">
        <f>IF($G781="",1,IF($G781=0,1,IF($G781=1,3,IF($G781=2,7,IF($G781=3,14,IF($G781=4,30,60))))))</f>
        <v/>
      </c>
      <c r="I781" s="21">
        <f>IF($F781="","",$F781+$H781)</f>
        <v/>
      </c>
      <c r="J781">
        <f>IF($F781="","⚪ NEW",IF($G781&gt;=5,"✅ DONE",IF($I781&lt;TODAY(),"🔴 OVERDUE",IF($I781=TODAY(),"🟢 TODAY",IF($I781=TODAY()+1,"🔵 TOMORROW",IF($I781&lt;=TODAY()+7,"📅 THIS WEEK","⏳ SCHEDULED"))))))</f>
        <v/>
      </c>
      <c r="K781" s="20">
        <f>IF($F781="",999,IF($G781&gt;=5,9999,IF($I781="",999,$I781-TODAY())))</f>
        <v/>
      </c>
    </row>
    <row r="782">
      <c r="A782" s="38">
        <f>ROW()-2</f>
        <v/>
      </c>
      <c r="B782" s="39" t="inlineStr">
        <is>
          <t>S7</t>
        </is>
      </c>
      <c r="C782" s="39" t="inlineStr">
        <is>
          <t>Maladies de l'enfant</t>
        </is>
      </c>
      <c r="D782" s="39" t="inlineStr">
        <is>
          <t>Pédiatrie</t>
        </is>
      </c>
      <c r="E782" s="39" t="inlineStr">
        <is>
          <t>Coqueluche</t>
        </is>
      </c>
      <c r="F782" s="18" t="n"/>
      <c r="G782" s="19" t="n"/>
      <c r="H782" s="20">
        <f>IF($G782="",1,IF($G782=0,1,IF($G782=1,3,IF($G782=2,7,IF($G782=3,14,IF($G782=4,30,60))))))</f>
        <v/>
      </c>
      <c r="I782" s="21">
        <f>IF($F782="","",$F782+$H782)</f>
        <v/>
      </c>
      <c r="J782">
        <f>IF($F782="","⚪ NEW",IF($G782&gt;=5,"✅ DONE",IF($I782&lt;TODAY(),"🔴 OVERDUE",IF($I782=TODAY(),"🟢 TODAY",IF($I782=TODAY()+1,"🔵 TOMORROW",IF($I782&lt;=TODAY()+7,"📅 THIS WEEK","⏳ SCHEDULED"))))))</f>
        <v/>
      </c>
      <c r="K782" s="20">
        <f>IF($F782="",999,IF($G782&gt;=5,9999,IF($I782="",999,$I782-TODAY())))</f>
        <v/>
      </c>
    </row>
    <row r="783">
      <c r="A783" s="38">
        <f>ROW()-2</f>
        <v/>
      </c>
      <c r="B783" s="39" t="inlineStr">
        <is>
          <t>S7</t>
        </is>
      </c>
      <c r="C783" s="39" t="inlineStr">
        <is>
          <t>Maladies de l'enfant</t>
        </is>
      </c>
      <c r="D783" s="39" t="inlineStr">
        <is>
          <t>Pédiatrie</t>
        </is>
      </c>
      <c r="E783" s="39" t="inlineStr">
        <is>
          <t>Vomissements chez l'enfant</t>
        </is>
      </c>
      <c r="F783" s="18" t="n"/>
      <c r="G783" s="19" t="n"/>
      <c r="H783" s="20">
        <f>IF($G783="",1,IF($G783=0,1,IF($G783=1,3,IF($G783=2,7,IF($G783=3,14,IF($G783=4,30,60))))))</f>
        <v/>
      </c>
      <c r="I783" s="21">
        <f>IF($F783="","",$F783+$H783)</f>
        <v/>
      </c>
      <c r="J783">
        <f>IF($F783="","⚪ NEW",IF($G783&gt;=5,"✅ DONE",IF($I783&lt;TODAY(),"🔴 OVERDUE",IF($I783=TODAY(),"🟢 TODAY",IF($I783=TODAY()+1,"🔵 TOMORROW",IF($I783&lt;=TODAY()+7,"📅 THIS WEEK","⏳ SCHEDULED"))))))</f>
        <v/>
      </c>
      <c r="K783" s="20">
        <f>IF($F783="",999,IF($G783&gt;=5,9999,IF($I783="",999,$I783-TODAY())))</f>
        <v/>
      </c>
    </row>
    <row r="784">
      <c r="A784" s="38">
        <f>ROW()-2</f>
        <v/>
      </c>
      <c r="B784" s="39" t="inlineStr">
        <is>
          <t>S7</t>
        </is>
      </c>
      <c r="C784" s="39" t="inlineStr">
        <is>
          <t>Maladies de l'enfant</t>
        </is>
      </c>
      <c r="D784" s="39" t="inlineStr">
        <is>
          <t>Pédiatrie</t>
        </is>
      </c>
      <c r="E784" s="39" t="inlineStr">
        <is>
          <t>Diarrhée chez l'enfant</t>
        </is>
      </c>
      <c r="F784" s="18" t="n"/>
      <c r="G784" s="19" t="n"/>
      <c r="H784" s="20">
        <f>IF($G784="",1,IF($G784=0,1,IF($G784=1,3,IF($G784=2,7,IF($G784=3,14,IF($G784=4,30,60))))))</f>
        <v/>
      </c>
      <c r="I784" s="21">
        <f>IF($F784="","",$F784+$H784)</f>
        <v/>
      </c>
      <c r="J784">
        <f>IF($F784="","⚪ NEW",IF($G784&gt;=5,"✅ DONE",IF($I784&lt;TODAY(),"🔴 OVERDUE",IF($I784=TODAY(),"🟢 TODAY",IF($I784=TODAY()+1,"🔵 TOMORROW",IF($I784&lt;=TODAY()+7,"📅 THIS WEEK","⏳ SCHEDULED"))))))</f>
        <v/>
      </c>
      <c r="K784" s="20">
        <f>IF($F784="",999,IF($G784&gt;=5,9999,IF($I784="",999,$I784-TODAY())))</f>
        <v/>
      </c>
    </row>
    <row r="785">
      <c r="A785" s="38">
        <f>ROW()-2</f>
        <v/>
      </c>
      <c r="B785" s="39" t="inlineStr">
        <is>
          <t>S7</t>
        </is>
      </c>
      <c r="C785" s="39" t="inlineStr">
        <is>
          <t>Maladies de l'enfant</t>
        </is>
      </c>
      <c r="D785" s="39" t="inlineStr">
        <is>
          <t>Pédiatrie</t>
        </is>
      </c>
      <c r="E785" s="39" t="inlineStr">
        <is>
          <t>Diarrhée aiguë et déshydratation chez l'enfant</t>
        </is>
      </c>
      <c r="F785" s="18" t="n"/>
      <c r="G785" s="19" t="n"/>
      <c r="H785" s="20">
        <f>IF($G785="",1,IF($G785=0,1,IF($G785=1,3,IF($G785=2,7,IF($G785=3,14,IF($G785=4,30,60))))))</f>
        <v/>
      </c>
      <c r="I785" s="21">
        <f>IF($F785="","",$F785+$H785)</f>
        <v/>
      </c>
      <c r="J785">
        <f>IF($F785="","⚪ NEW",IF($G785&gt;=5,"✅ DONE",IF($I785&lt;TODAY(),"🔴 OVERDUE",IF($I785=TODAY(),"🟢 TODAY",IF($I785=TODAY()+1,"🔵 TOMORROW",IF($I785&lt;=TODAY()+7,"📅 THIS WEEK","⏳ SCHEDULED"))))))</f>
        <v/>
      </c>
      <c r="K785" s="20">
        <f>IF($F785="",999,IF($G785&gt;=5,9999,IF($I785="",999,$I785-TODAY())))</f>
        <v/>
      </c>
    </row>
    <row r="786">
      <c r="A786" s="38">
        <f>ROW()-2</f>
        <v/>
      </c>
      <c r="B786" s="39" t="inlineStr">
        <is>
          <t>S7</t>
        </is>
      </c>
      <c r="C786" s="39" t="inlineStr">
        <is>
          <t>Maladies de l'enfant</t>
        </is>
      </c>
      <c r="D786" s="39" t="inlineStr">
        <is>
          <t>Pédiatrie</t>
        </is>
      </c>
      <c r="E786" s="39" t="inlineStr">
        <is>
          <t>Alimentation et besoins nutritionnels chez l'enfant</t>
        </is>
      </c>
      <c r="F786" s="18" t="n"/>
      <c r="G786" s="19" t="n"/>
      <c r="H786" s="20">
        <f>IF($G786="",1,IF($G786=0,1,IF($G786=1,3,IF($G786=2,7,IF($G786=3,14,IF($G786=4,30,60))))))</f>
        <v/>
      </c>
      <c r="I786" s="21">
        <f>IF($F786="","",$F786+$H786)</f>
        <v/>
      </c>
      <c r="J786">
        <f>IF($F786="","⚪ NEW",IF($G786&gt;=5,"✅ DONE",IF($I786&lt;TODAY(),"🔴 OVERDUE",IF($I786=TODAY(),"🟢 TODAY",IF($I786=TODAY()+1,"🔵 TOMORROW",IF($I786&lt;=TODAY()+7,"📅 THIS WEEK","⏳ SCHEDULED"))))))</f>
        <v/>
      </c>
      <c r="K786" s="20">
        <f>IF($F786="",999,IF($G786&gt;=5,9999,IF($I786="",999,$I786-TODAY())))</f>
        <v/>
      </c>
    </row>
    <row r="787">
      <c r="A787" s="38">
        <f>ROW()-2</f>
        <v/>
      </c>
      <c r="B787" s="39" t="inlineStr">
        <is>
          <t>S7</t>
        </is>
      </c>
      <c r="C787" s="39" t="inlineStr">
        <is>
          <t>Maladies de l'enfant</t>
        </is>
      </c>
      <c r="D787" s="39" t="inlineStr">
        <is>
          <t>Pédiatrie</t>
        </is>
      </c>
      <c r="E787" s="39" t="inlineStr">
        <is>
          <t>Carences nutritionnelles chez l'enfant</t>
        </is>
      </c>
      <c r="F787" s="18" t="n"/>
      <c r="G787" s="19" t="n"/>
      <c r="H787" s="20">
        <f>IF($G787="",1,IF($G787=0,1,IF($G787=1,3,IF($G787=2,7,IF($G787=3,14,IF($G787=4,30,60))))))</f>
        <v/>
      </c>
      <c r="I787" s="21">
        <f>IF($F787="","",$F787+$H787)</f>
        <v/>
      </c>
      <c r="J787">
        <f>IF($F787="","⚪ NEW",IF($G787&gt;=5,"✅ DONE",IF($I787&lt;TODAY(),"🔴 OVERDUE",IF($I787=TODAY(),"🟢 TODAY",IF($I787=TODAY()+1,"🔵 TOMORROW",IF($I787&lt;=TODAY()+7,"📅 THIS WEEK","⏳ SCHEDULED"))))))</f>
        <v/>
      </c>
      <c r="K787" s="20">
        <f>IF($F787="",999,IF($G787&gt;=5,9999,IF($I787="",999,$I787-TODAY())))</f>
        <v/>
      </c>
    </row>
    <row r="788">
      <c r="A788" s="38">
        <f>ROW()-2</f>
        <v/>
      </c>
      <c r="B788" s="39" t="inlineStr">
        <is>
          <t>S7</t>
        </is>
      </c>
      <c r="C788" s="39" t="inlineStr">
        <is>
          <t>Maladies de l'enfant</t>
        </is>
      </c>
      <c r="D788" s="39" t="inlineStr">
        <is>
          <t>Pédiatrie</t>
        </is>
      </c>
      <c r="E788" s="39" t="inlineStr">
        <is>
          <t>Le diabète chez l'enfant</t>
        </is>
      </c>
      <c r="F788" s="18" t="n"/>
      <c r="G788" s="19" t="n"/>
      <c r="H788" s="20">
        <f>IF($G788="",1,IF($G788=0,1,IF($G788=1,3,IF($G788=2,7,IF($G788=3,14,IF($G788=4,30,60))))))</f>
        <v/>
      </c>
      <c r="I788" s="21">
        <f>IF($F788="","",$F788+$H788)</f>
        <v/>
      </c>
      <c r="J788">
        <f>IF($F788="","⚪ NEW",IF($G788&gt;=5,"✅ DONE",IF($I788&lt;TODAY(),"🔴 OVERDUE",IF($I788=TODAY(),"🟢 TODAY",IF($I788=TODAY()+1,"🔵 TOMORROW",IF($I788&lt;=TODAY()+7,"📅 THIS WEEK","⏳ SCHEDULED"))))))</f>
        <v/>
      </c>
      <c r="K788" s="20">
        <f>IF($F788="",999,IF($G788&gt;=5,9999,IF($I788="",999,$I788-TODAY())))</f>
        <v/>
      </c>
    </row>
    <row r="789">
      <c r="A789" s="38">
        <f>ROW()-2</f>
        <v/>
      </c>
      <c r="B789" s="39" t="inlineStr">
        <is>
          <t>S7</t>
        </is>
      </c>
      <c r="C789" s="39" t="inlineStr">
        <is>
          <t>Maladies de l'enfant</t>
        </is>
      </c>
      <c r="D789" s="39" t="inlineStr">
        <is>
          <t>Pédiatrie</t>
        </is>
      </c>
      <c r="E789" s="39" t="inlineStr">
        <is>
          <t>Retard staturo-pondéral</t>
        </is>
      </c>
      <c r="F789" s="18" t="n"/>
      <c r="G789" s="19" t="n"/>
      <c r="H789" s="20">
        <f>IF($G789="",1,IF($G789=0,1,IF($G789=1,3,IF($G789=2,7,IF($G789=3,14,IF($G789=4,30,60))))))</f>
        <v/>
      </c>
      <c r="I789" s="21">
        <f>IF($F789="","",$F789+$H789)</f>
        <v/>
      </c>
      <c r="J789">
        <f>IF($F789="","⚪ NEW",IF($G789&gt;=5,"✅ DONE",IF($I789&lt;TODAY(),"🔴 OVERDUE",IF($I789=TODAY(),"🟢 TODAY",IF($I789=TODAY()+1,"🔵 TOMORROW",IF($I789&lt;=TODAY()+7,"📅 THIS WEEK","⏳ SCHEDULED"))))))</f>
        <v/>
      </c>
      <c r="K789" s="20">
        <f>IF($F789="",999,IF($G789&gt;=5,9999,IF($I789="",999,$I789-TODAY())))</f>
        <v/>
      </c>
    </row>
    <row r="790">
      <c r="A790" s="38">
        <f>ROW()-2</f>
        <v/>
      </c>
      <c r="B790" s="39" t="inlineStr">
        <is>
          <t>S7</t>
        </is>
      </c>
      <c r="C790" s="39" t="inlineStr">
        <is>
          <t>Maladies de l'enfant</t>
        </is>
      </c>
      <c r="D790" s="39" t="inlineStr">
        <is>
          <t>Pédiatrie</t>
        </is>
      </c>
      <c r="E790" s="39" t="inlineStr">
        <is>
          <t>Anémie chez l'enfant</t>
        </is>
      </c>
      <c r="F790" s="18" t="n"/>
      <c r="G790" s="19" t="n"/>
      <c r="H790" s="20">
        <f>IF($G790="",1,IF($G790=0,1,IF($G790=1,3,IF($G790=2,7,IF($G790=3,14,IF($G790=4,30,60))))))</f>
        <v/>
      </c>
      <c r="I790" s="21">
        <f>IF($F790="","",$F790+$H790)</f>
        <v/>
      </c>
      <c r="J790">
        <f>IF($F790="","⚪ NEW",IF($G790&gt;=5,"✅ DONE",IF($I790&lt;TODAY(),"🔴 OVERDUE",IF($I790=TODAY(),"🟢 TODAY",IF($I790=TODAY()+1,"🔵 TOMORROW",IF($I790&lt;=TODAY()+7,"📅 THIS WEEK","⏳ SCHEDULED"))))))</f>
        <v/>
      </c>
      <c r="K790" s="20">
        <f>IF($F790="",999,IF($G790&gt;=5,9999,IF($I790="",999,$I790-TODAY())))</f>
        <v/>
      </c>
    </row>
    <row r="791">
      <c r="A791" s="38">
        <f>ROW()-2</f>
        <v/>
      </c>
      <c r="B791" s="39" t="inlineStr">
        <is>
          <t>S7</t>
        </is>
      </c>
      <c r="C791" s="39" t="inlineStr">
        <is>
          <t>Maladies de l'enfant</t>
        </is>
      </c>
      <c r="D791" s="39" t="inlineStr">
        <is>
          <t>Pédiatrie</t>
        </is>
      </c>
      <c r="E791" s="39" t="inlineStr">
        <is>
          <t>Cancer de l'enfant et leucémie aiguë</t>
        </is>
      </c>
      <c r="F791" s="18" t="n"/>
      <c r="G791" s="19" t="n"/>
      <c r="H791" s="20">
        <f>IF($G791="",1,IF($G791=0,1,IF($G791=1,3,IF($G791=2,7,IF($G791=3,14,IF($G791=4,30,60))))))</f>
        <v/>
      </c>
      <c r="I791" s="21">
        <f>IF($F791="","",$F791+$H791)</f>
        <v/>
      </c>
      <c r="J791">
        <f>IF($F791="","⚪ NEW",IF($G791&gt;=5,"✅ DONE",IF($I791&lt;TODAY(),"🔴 OVERDUE",IF($I791=TODAY(),"🟢 TODAY",IF($I791=TODAY()+1,"🔵 TOMORROW",IF($I791&lt;=TODAY()+7,"📅 THIS WEEK","⏳ SCHEDULED"))))))</f>
        <v/>
      </c>
      <c r="K791" s="20">
        <f>IF($F791="",999,IF($G791&gt;=5,9999,IF($I791="",999,$I791-TODAY())))</f>
        <v/>
      </c>
    </row>
    <row r="792">
      <c r="A792" s="38">
        <f>ROW()-2</f>
        <v/>
      </c>
      <c r="B792" s="39" t="inlineStr">
        <is>
          <t>S7</t>
        </is>
      </c>
      <c r="C792" s="39" t="inlineStr">
        <is>
          <t>Maladies de l'enfant</t>
        </is>
      </c>
      <c r="D792" s="39" t="inlineStr">
        <is>
          <t>Pédiatrie</t>
        </is>
      </c>
      <c r="E792" s="39" t="inlineStr">
        <is>
          <t>Syndrome hémorragique chez l'enfant (troubles de l'hémostase)</t>
        </is>
      </c>
      <c r="F792" s="18" t="n"/>
      <c r="G792" s="19" t="n"/>
      <c r="H792" s="20">
        <f>IF($G792="",1,IF($G792=0,1,IF($G792=1,3,IF($G792=2,7,IF($G792=3,14,IF($G792=4,30,60))))))</f>
        <v/>
      </c>
      <c r="I792" s="21">
        <f>IF($F792="","",$F792+$H792)</f>
        <v/>
      </c>
      <c r="J792">
        <f>IF($F792="","⚪ NEW",IF($G792&gt;=5,"✅ DONE",IF($I792&lt;TODAY(),"🔴 OVERDUE",IF($I792=TODAY(),"🟢 TODAY",IF($I792=TODAY()+1,"🔵 TOMORROW",IF($I792&lt;=TODAY()+7,"📅 THIS WEEK","⏳ SCHEDULED"))))))</f>
        <v/>
      </c>
      <c r="K792" s="20">
        <f>IF($F792="",999,IF($G792&gt;=5,9999,IF($I792="",999,$I792-TODAY())))</f>
        <v/>
      </c>
    </row>
    <row r="793">
      <c r="A793" s="38">
        <f>ROW()-2</f>
        <v/>
      </c>
      <c r="B793" s="39" t="inlineStr">
        <is>
          <t>S7</t>
        </is>
      </c>
      <c r="C793" s="39" t="inlineStr">
        <is>
          <t>Maladies de l'enfant</t>
        </is>
      </c>
      <c r="D793" s="39" t="inlineStr">
        <is>
          <t>Pédiatrie</t>
        </is>
      </c>
      <c r="E793" s="39" t="inlineStr">
        <is>
          <t>Dyspnée aiguë chez le nourrisson</t>
        </is>
      </c>
      <c r="F793" s="18" t="n"/>
      <c r="G793" s="19" t="n"/>
      <c r="H793" s="20">
        <f>IF($G793="",1,IF($G793=0,1,IF($G793=1,3,IF($G793=2,7,IF($G793=3,14,IF($G793=4,30,60))))))</f>
        <v/>
      </c>
      <c r="I793" s="21">
        <f>IF($F793="","",$F793+$H793)</f>
        <v/>
      </c>
      <c r="J793">
        <f>IF($F793="","⚪ NEW",IF($G793&gt;=5,"✅ DONE",IF($I793&lt;TODAY(),"🔴 OVERDUE",IF($I793=TODAY(),"🟢 TODAY",IF($I793=TODAY()+1,"🔵 TOMORROW",IF($I793&lt;=TODAY()+7,"📅 THIS WEEK","⏳ SCHEDULED"))))))</f>
        <v/>
      </c>
      <c r="K793" s="20">
        <f>IF($F793="",999,IF($G793&gt;=5,9999,IF($I793="",999,$I793-TODAY())))</f>
        <v/>
      </c>
    </row>
    <row r="794">
      <c r="A794" s="38">
        <f>ROW()-2</f>
        <v/>
      </c>
      <c r="B794" s="39" t="inlineStr">
        <is>
          <t>S7</t>
        </is>
      </c>
      <c r="C794" s="39" t="inlineStr">
        <is>
          <t>Maladies de l'enfant</t>
        </is>
      </c>
      <c r="D794" s="39" t="inlineStr">
        <is>
          <t>Pédiatrie</t>
        </is>
      </c>
      <c r="E794" s="39" t="inlineStr">
        <is>
          <t>Douleurs abdominales chez l'enfant</t>
        </is>
      </c>
      <c r="F794" s="18" t="n"/>
      <c r="G794" s="19" t="n"/>
      <c r="H794" s="20">
        <f>IF($G794="",1,IF($G794=0,1,IF($G794=1,3,IF($G794=2,7,IF($G794=3,14,IF($G794=4,30,60))))))</f>
        <v/>
      </c>
      <c r="I794" s="21">
        <f>IF($F794="","",$F794+$H794)</f>
        <v/>
      </c>
      <c r="J794">
        <f>IF($F794="","⚪ NEW",IF($G794&gt;=5,"✅ DONE",IF($I794&lt;TODAY(),"🔴 OVERDUE",IF($I794=TODAY(),"🟢 TODAY",IF($I794=TODAY()+1,"🔵 TOMORROW",IF($I794&lt;=TODAY()+7,"📅 THIS WEEK","⏳ SCHEDULED"))))))</f>
        <v/>
      </c>
      <c r="K794" s="20">
        <f>IF($F794="",999,IF($G794&gt;=5,9999,IF($I794="",999,$I794-TODAY())))</f>
        <v/>
      </c>
    </row>
    <row r="795">
      <c r="A795" s="38">
        <f>ROW()-2</f>
        <v/>
      </c>
      <c r="B795" s="39" t="inlineStr">
        <is>
          <t>S7</t>
        </is>
      </c>
      <c r="C795" s="39" t="inlineStr">
        <is>
          <t>Maladies de l'enfant</t>
        </is>
      </c>
      <c r="D795" s="39" t="inlineStr">
        <is>
          <t>Pédiatrie</t>
        </is>
      </c>
      <c r="E795" s="39" t="inlineStr">
        <is>
          <t>Développement psychomoteur</t>
        </is>
      </c>
      <c r="F795" s="18" t="n"/>
      <c r="G795" s="19" t="n"/>
      <c r="H795" s="20">
        <f>IF($G795="",1,IF($G795=0,1,IF($G795=1,3,IF($G795=2,7,IF($G795=3,14,IF($G795=4,30,60))))))</f>
        <v/>
      </c>
      <c r="I795" s="21">
        <f>IF($F795="","",$F795+$H795)</f>
        <v/>
      </c>
      <c r="J795">
        <f>IF($F795="","⚪ NEW",IF($G795&gt;=5,"✅ DONE",IF($I795&lt;TODAY(),"🔴 OVERDUE",IF($I795=TODAY(),"🟢 TODAY",IF($I795=TODAY()+1,"🔵 TOMORROW",IF($I795&lt;=TODAY()+7,"📅 THIS WEEK","⏳ SCHEDULED"))))))</f>
        <v/>
      </c>
      <c r="K795" s="20">
        <f>IF($F795="",999,IF($G795&gt;=5,9999,IF($I795="",999,$I795-TODAY())))</f>
        <v/>
      </c>
    </row>
    <row r="796">
      <c r="A796" s="38">
        <f>ROW()-2</f>
        <v/>
      </c>
      <c r="B796" s="39" t="inlineStr">
        <is>
          <t>S7</t>
        </is>
      </c>
      <c r="C796" s="39" t="inlineStr">
        <is>
          <t>Maladies de l'enfant</t>
        </is>
      </c>
      <c r="D796" s="39" t="inlineStr">
        <is>
          <t>Pédiatrie</t>
        </is>
      </c>
      <c r="E796" s="39" t="inlineStr">
        <is>
          <t>Tuberculose chez l'enfant</t>
        </is>
      </c>
      <c r="F796" s="18" t="n"/>
      <c r="G796" s="19" t="n"/>
      <c r="H796" s="20">
        <f>IF($G796="",1,IF($G796=0,1,IF($G796=1,3,IF($G796=2,7,IF($G796=3,14,IF($G796=4,30,60))))))</f>
        <v/>
      </c>
      <c r="I796" s="21">
        <f>IF($F796="","",$F796+$H796)</f>
        <v/>
      </c>
      <c r="J796">
        <f>IF($F796="","⚪ NEW",IF($G796&gt;=5,"✅ DONE",IF($I796&lt;TODAY(),"🔴 OVERDUE",IF($I796=TODAY(),"🟢 TODAY",IF($I796=TODAY()+1,"🔵 TOMORROW",IF($I796&lt;=TODAY()+7,"📅 THIS WEEK","⏳ SCHEDULED"))))))</f>
        <v/>
      </c>
      <c r="K796" s="20">
        <f>IF($F796="",999,IF($G796&gt;=5,9999,IF($I796="",999,$I796-TODAY())))</f>
        <v/>
      </c>
    </row>
    <row r="797">
      <c r="A797" s="38">
        <f>ROW()-2</f>
        <v/>
      </c>
      <c r="B797" s="39" t="inlineStr">
        <is>
          <t>S7</t>
        </is>
      </c>
      <c r="C797" s="39" t="inlineStr">
        <is>
          <t>Maladies de l'enfant</t>
        </is>
      </c>
      <c r="D797" s="39" t="inlineStr">
        <is>
          <t>Pédiatrie</t>
        </is>
      </c>
      <c r="E797" s="39" t="inlineStr">
        <is>
          <t>Fièvre de l'enfant</t>
        </is>
      </c>
      <c r="F797" s="18" t="n"/>
      <c r="G797" s="19" t="n"/>
      <c r="H797" s="20">
        <f>IF($G797="",1,IF($G797=0,1,IF($G797=1,3,IF($G797=2,7,IF($G797=3,14,IF($G797=4,30,60))))))</f>
        <v/>
      </c>
      <c r="I797" s="21">
        <f>IF($F797="","",$F797+$H797)</f>
        <v/>
      </c>
      <c r="J797">
        <f>IF($F797="","⚪ NEW",IF($G797&gt;=5,"✅ DONE",IF($I797&lt;TODAY(),"🔴 OVERDUE",IF($I797=TODAY(),"🟢 TODAY",IF($I797=TODAY()+1,"🔵 TOMORROW",IF($I797&lt;=TODAY()+7,"📅 THIS WEEK","⏳ SCHEDULED"))))))</f>
        <v/>
      </c>
      <c r="K797" s="20">
        <f>IF($F797="",999,IF($G797&gt;=5,9999,IF($I797="",999,$I797-TODAY())))</f>
        <v/>
      </c>
    </row>
    <row r="798">
      <c r="A798" s="38">
        <f>ROW()-2</f>
        <v/>
      </c>
      <c r="B798" s="39" t="inlineStr">
        <is>
          <t>S7</t>
        </is>
      </c>
      <c r="C798" s="39" t="inlineStr">
        <is>
          <t>Maladies de l'enfant</t>
        </is>
      </c>
      <c r="D798" s="39" t="inlineStr">
        <is>
          <t>Pédiatrie</t>
        </is>
      </c>
      <c r="E798" s="39" t="inlineStr">
        <is>
          <t>Fièvre éruptive chez l'enfant</t>
        </is>
      </c>
      <c r="F798" s="18" t="n"/>
      <c r="G798" s="19" t="n"/>
      <c r="H798" s="20">
        <f>IF($G798="",1,IF($G798=0,1,IF($G798=1,3,IF($G798=2,7,IF($G798=3,14,IF($G798=4,30,60))))))</f>
        <v/>
      </c>
      <c r="I798" s="21">
        <f>IF($F798="","",$F798+$H798)</f>
        <v/>
      </c>
      <c r="J798">
        <f>IF($F798="","⚪ NEW",IF($G798&gt;=5,"✅ DONE",IF($I798&lt;TODAY(),"🔴 OVERDUE",IF($I798=TODAY(),"🟢 TODAY",IF($I798=TODAY()+1,"🔵 TOMORROW",IF($I798&lt;=TODAY()+7,"📅 THIS WEEK","⏳ SCHEDULED"))))))</f>
        <v/>
      </c>
      <c r="K798" s="20">
        <f>IF($F798="",999,IF($G798&gt;=5,9999,IF($I798="",999,$I798-TODAY())))</f>
        <v/>
      </c>
    </row>
    <row r="799">
      <c r="A799" s="38">
        <f>ROW()-2</f>
        <v/>
      </c>
      <c r="B799" s="39" t="inlineStr">
        <is>
          <t>S7</t>
        </is>
      </c>
      <c r="C799" s="39" t="inlineStr">
        <is>
          <t>Maladies de l'enfant</t>
        </is>
      </c>
      <c r="D799" s="39" t="inlineStr">
        <is>
          <t>Pédiatrie</t>
        </is>
      </c>
      <c r="E799" s="39" t="inlineStr">
        <is>
          <t>Infections neuroméningées de l'enfant</t>
        </is>
      </c>
      <c r="F799" s="18" t="n"/>
      <c r="G799" s="19" t="n"/>
      <c r="H799" s="20">
        <f>IF($G799="",1,IF($G799=0,1,IF($G799=1,3,IF($G799=2,7,IF($G799=3,14,IF($G799=4,30,60))))))</f>
        <v/>
      </c>
      <c r="I799" s="21">
        <f>IF($F799="","",$F799+$H799)</f>
        <v/>
      </c>
      <c r="J799">
        <f>IF($F799="","⚪ NEW",IF($G799&gt;=5,"✅ DONE",IF($I799&lt;TODAY(),"🔴 OVERDUE",IF($I799=TODAY(),"🟢 TODAY",IF($I799=TODAY()+1,"🔵 TOMORROW",IF($I799&lt;=TODAY()+7,"📅 THIS WEEK","⏳ SCHEDULED"))))))</f>
        <v/>
      </c>
      <c r="K799" s="20">
        <f>IF($F799="",999,IF($G799&gt;=5,9999,IF($I799="",999,$I799-TODAY())))</f>
        <v/>
      </c>
    </row>
    <row r="800">
      <c r="A800" s="38">
        <f>ROW()-2</f>
        <v/>
      </c>
      <c r="B800" s="39" t="inlineStr">
        <is>
          <t>S7</t>
        </is>
      </c>
      <c r="C800" s="39" t="inlineStr">
        <is>
          <t>Maladies de l'enfant</t>
        </is>
      </c>
      <c r="D800" s="39" t="inlineStr">
        <is>
          <t>Pédiatrie</t>
        </is>
      </c>
      <c r="E800" s="39" t="inlineStr">
        <is>
          <t>Déficit immunitaire</t>
        </is>
      </c>
      <c r="F800" s="18" t="n"/>
      <c r="G800" s="19" t="n"/>
      <c r="H800" s="20">
        <f>IF($G800="",1,IF($G800=0,1,IF($G800=1,3,IF($G800=2,7,IF($G800=3,14,IF($G800=4,30,60))))))</f>
        <v/>
      </c>
      <c r="I800" s="21">
        <f>IF($F800="","",$F800+$H800)</f>
        <v/>
      </c>
      <c r="J800">
        <f>IF($F800="","⚪ NEW",IF($G800&gt;=5,"✅ DONE",IF($I800&lt;TODAY(),"🔴 OVERDUE",IF($I800=TODAY(),"🟢 TODAY",IF($I800=TODAY()+1,"🔵 TOMORROW",IF($I800&lt;=TODAY()+7,"📅 THIS WEEK","⏳ SCHEDULED"))))))</f>
        <v/>
      </c>
      <c r="K800" s="20">
        <f>IF($F800="",999,IF($G800&gt;=5,9999,IF($I800="",999,$I800-TODAY())))</f>
        <v/>
      </c>
    </row>
    <row r="801">
      <c r="A801" s="38">
        <f>ROW()-2</f>
        <v/>
      </c>
      <c r="B801" s="39" t="inlineStr">
        <is>
          <t>S7</t>
        </is>
      </c>
      <c r="C801" s="39" t="inlineStr">
        <is>
          <t>Maladies de l'enfant</t>
        </is>
      </c>
      <c r="D801" s="39" t="inlineStr">
        <is>
          <t>Néonatologie</t>
        </is>
      </c>
      <c r="E801" s="39" t="inlineStr">
        <is>
          <t>Réanimation du nouveau-né</t>
        </is>
      </c>
      <c r="F801" s="18" t="n"/>
      <c r="G801" s="19" t="n"/>
      <c r="H801" s="20">
        <f>IF($G801="",1,IF($G801=0,1,IF($G801=1,3,IF($G801=2,7,IF($G801=3,14,IF($G801=4,30,60))))))</f>
        <v/>
      </c>
      <c r="I801" s="21">
        <f>IF($F801="","",$F801+$H801)</f>
        <v/>
      </c>
      <c r="J801">
        <f>IF($F801="","⚪ NEW",IF($G801&gt;=5,"✅ DONE",IF($I801&lt;TODAY(),"🔴 OVERDUE",IF($I801=TODAY(),"🟢 TODAY",IF($I801=TODAY()+1,"🔵 TOMORROW",IF($I801&lt;=TODAY()+7,"📅 THIS WEEK","⏳ SCHEDULED"))))))</f>
        <v/>
      </c>
      <c r="K801" s="20">
        <f>IF($F801="",999,IF($G801&gt;=5,9999,IF($I801="",999,$I801-TODAY())))</f>
        <v/>
      </c>
    </row>
    <row r="802">
      <c r="A802" s="38">
        <f>ROW()-2</f>
        <v/>
      </c>
      <c r="B802" s="39" t="inlineStr">
        <is>
          <t>S7</t>
        </is>
      </c>
      <c r="C802" s="39" t="inlineStr">
        <is>
          <t>Maladies de l'enfant</t>
        </is>
      </c>
      <c r="D802" s="39" t="inlineStr">
        <is>
          <t>Néonatologie</t>
        </is>
      </c>
      <c r="E802" s="39" t="inlineStr">
        <is>
          <t>Asphyxie périnatale (APN)</t>
        </is>
      </c>
      <c r="F802" s="18" t="n"/>
      <c r="G802" s="19" t="n"/>
      <c r="H802" s="20">
        <f>IF($G802="",1,IF($G802=0,1,IF($G802=1,3,IF($G802=2,7,IF($G802=3,14,IF($G802=4,30,60))))))</f>
        <v/>
      </c>
      <c r="I802" s="21">
        <f>IF($F802="","",$F802+$H802)</f>
        <v/>
      </c>
      <c r="J802">
        <f>IF($F802="","⚪ NEW",IF($G802&gt;=5,"✅ DONE",IF($I802&lt;TODAY(),"🔴 OVERDUE",IF($I802=TODAY(),"🟢 TODAY",IF($I802=TODAY()+1,"🔵 TOMORROW",IF($I802&lt;=TODAY()+7,"📅 THIS WEEK","⏳ SCHEDULED"))))))</f>
        <v/>
      </c>
      <c r="K802" s="20">
        <f>IF($F802="",999,IF($G802&gt;=5,9999,IF($I802="",999,$I802-TODAY())))</f>
        <v/>
      </c>
    </row>
    <row r="803">
      <c r="A803" s="38">
        <f>ROW()-2</f>
        <v/>
      </c>
      <c r="B803" s="39" t="inlineStr">
        <is>
          <t>S7</t>
        </is>
      </c>
      <c r="C803" s="39" t="inlineStr">
        <is>
          <t>Maladies de l'enfant</t>
        </is>
      </c>
      <c r="D803" s="39" t="inlineStr">
        <is>
          <t>Néonatologie</t>
        </is>
      </c>
      <c r="E803" s="39" t="inlineStr">
        <is>
          <t>Infections néonatales</t>
        </is>
      </c>
      <c r="F803" s="18" t="n"/>
      <c r="G803" s="19" t="n"/>
      <c r="H803" s="20">
        <f>IF($G803="",1,IF($G803=0,1,IF($G803=1,3,IF($G803=2,7,IF($G803=3,14,IF($G803=4,30,60))))))</f>
        <v/>
      </c>
      <c r="I803" s="21">
        <f>IF($F803="","",$F803+$H803)</f>
        <v/>
      </c>
      <c r="J803">
        <f>IF($F803="","⚪ NEW",IF($G803&gt;=5,"✅ DONE",IF($I803&lt;TODAY(),"🔴 OVERDUE",IF($I803=TODAY(),"🟢 TODAY",IF($I803=TODAY()+1,"🔵 TOMORROW",IF($I803&lt;=TODAY()+7,"📅 THIS WEEK","⏳ SCHEDULED"))))))</f>
        <v/>
      </c>
      <c r="K803" s="20">
        <f>IF($F803="",999,IF($G803&gt;=5,9999,IF($I803="",999,$I803-TODAY())))</f>
        <v/>
      </c>
    </row>
    <row r="804">
      <c r="A804" s="38">
        <f>ROW()-2</f>
        <v/>
      </c>
      <c r="B804" s="39" t="inlineStr">
        <is>
          <t>S7</t>
        </is>
      </c>
      <c r="C804" s="39" t="inlineStr">
        <is>
          <t>Maladies de l'enfant</t>
        </is>
      </c>
      <c r="D804" s="39" t="inlineStr">
        <is>
          <t>Néonatologie</t>
        </is>
      </c>
      <c r="E804" s="39" t="inlineStr">
        <is>
          <t>Détresses respiratoires néonatales</t>
        </is>
      </c>
      <c r="F804" s="18" t="n"/>
      <c r="G804" s="19" t="n"/>
      <c r="H804" s="20">
        <f>IF($G804="",1,IF($G804=0,1,IF($G804=1,3,IF($G804=2,7,IF($G804=3,14,IF($G804=4,30,60))))))</f>
        <v/>
      </c>
      <c r="I804" s="21">
        <f>IF($F804="","",$F804+$H804)</f>
        <v/>
      </c>
      <c r="J804">
        <f>IF($F804="","⚪ NEW",IF($G804&gt;=5,"✅ DONE",IF($I804&lt;TODAY(),"🔴 OVERDUE",IF($I804=TODAY(),"🟢 TODAY",IF($I804=TODAY()+1,"🔵 TOMORROW",IF($I804&lt;=TODAY()+7,"📅 THIS WEEK","⏳ SCHEDULED"))))))</f>
        <v/>
      </c>
      <c r="K804" s="20">
        <f>IF($F804="",999,IF($G804&gt;=5,9999,IF($I804="",999,$I804-TODAY())))</f>
        <v/>
      </c>
    </row>
    <row r="805">
      <c r="A805" s="38">
        <f>ROW()-2</f>
        <v/>
      </c>
      <c r="B805" s="39" t="inlineStr">
        <is>
          <t>S7</t>
        </is>
      </c>
      <c r="C805" s="39" t="inlineStr">
        <is>
          <t>Maladies de l'enfant</t>
        </is>
      </c>
      <c r="D805" s="39" t="inlineStr">
        <is>
          <t>Néonatologie</t>
        </is>
      </c>
      <c r="E805" s="39" t="inlineStr">
        <is>
          <t>Ictères néonataux</t>
        </is>
      </c>
      <c r="F805" s="18" t="n"/>
      <c r="G805" s="19" t="n"/>
      <c r="H805" s="20">
        <f>IF($G805="",1,IF($G805=0,1,IF($G805=1,3,IF($G805=2,7,IF($G805=3,14,IF($G805=4,30,60))))))</f>
        <v/>
      </c>
      <c r="I805" s="21">
        <f>IF($F805="","",$F805+$H805)</f>
        <v/>
      </c>
      <c r="J805">
        <f>IF($F805="","⚪ NEW",IF($G805&gt;=5,"✅ DONE",IF($I805&lt;TODAY(),"🔴 OVERDUE",IF($I805=TODAY(),"🟢 TODAY",IF($I805=TODAY()+1,"🔵 TOMORROW",IF($I805&lt;=TODAY()+7,"📅 THIS WEEK","⏳ SCHEDULED"))))))</f>
        <v/>
      </c>
      <c r="K805" s="20">
        <f>IF($F805="",999,IF($G805&gt;=5,9999,IF($I805="",999,$I805-TODAY())))</f>
        <v/>
      </c>
    </row>
    <row r="806">
      <c r="A806" s="38">
        <f>ROW()-2</f>
        <v/>
      </c>
      <c r="B806" s="39" t="inlineStr">
        <is>
          <t>S7</t>
        </is>
      </c>
      <c r="C806" s="39" t="inlineStr">
        <is>
          <t>Maladies de l'enfant</t>
        </is>
      </c>
      <c r="D806" s="39" t="inlineStr">
        <is>
          <t>Néonatologie</t>
        </is>
      </c>
      <c r="E806" s="39" t="inlineStr">
        <is>
          <t>RCIU</t>
        </is>
      </c>
      <c r="F806" s="18" t="n"/>
      <c r="G806" s="19" t="n"/>
      <c r="H806" s="20">
        <f>IF($G806="",1,IF($G806=0,1,IF($G806=1,3,IF($G806=2,7,IF($G806=3,14,IF($G806=4,30,60))))))</f>
        <v/>
      </c>
      <c r="I806" s="21">
        <f>IF($F806="","",$F806+$H806)</f>
        <v/>
      </c>
      <c r="J806">
        <f>IF($F806="","⚪ NEW",IF($G806&gt;=5,"✅ DONE",IF($I806&lt;TODAY(),"🔴 OVERDUE",IF($I806=TODAY(),"🟢 TODAY",IF($I806=TODAY()+1,"🔵 TOMORROW",IF($I806&lt;=TODAY()+7,"📅 THIS WEEK","⏳ SCHEDULED"))))))</f>
        <v/>
      </c>
      <c r="K806" s="20">
        <f>IF($F806="",999,IF($G806&gt;=5,9999,IF($I806="",999,$I806-TODAY())))</f>
        <v/>
      </c>
    </row>
    <row r="807">
      <c r="A807" s="38">
        <f>ROW()-2</f>
        <v/>
      </c>
      <c r="B807" s="39" t="inlineStr">
        <is>
          <t>S7</t>
        </is>
      </c>
      <c r="C807" s="39" t="inlineStr">
        <is>
          <t>Maladies de l'enfant</t>
        </is>
      </c>
      <c r="D807" s="39" t="inlineStr">
        <is>
          <t>Néonatologie</t>
        </is>
      </c>
      <c r="E807" s="39" t="inlineStr">
        <is>
          <t>Convulsions néonatales</t>
        </is>
      </c>
      <c r="F807" s="18" t="n"/>
      <c r="G807" s="19" t="n"/>
      <c r="H807" s="20">
        <f>IF($G807="",1,IF($G807=0,1,IF($G807=1,3,IF($G807=2,7,IF($G807=3,14,IF($G807=4,30,60))))))</f>
        <v/>
      </c>
      <c r="I807" s="21">
        <f>IF($F807="","",$F807+$H807)</f>
        <v/>
      </c>
      <c r="J807">
        <f>IF($F807="","⚪ NEW",IF($G807&gt;=5,"✅ DONE",IF($I807&lt;TODAY(),"🔴 OVERDUE",IF($I807=TODAY(),"🟢 TODAY",IF($I807=TODAY()+1,"🔵 TOMORROW",IF($I807&lt;=TODAY()+7,"📅 THIS WEEK","⏳ SCHEDULED"))))))</f>
        <v/>
      </c>
      <c r="K807" s="20">
        <f>IF($F807="",999,IF($G807&gt;=5,9999,IF($I807="",999,$I807-TODAY())))</f>
        <v/>
      </c>
    </row>
    <row r="808">
      <c r="A808" s="38">
        <f>ROW()-2</f>
        <v/>
      </c>
      <c r="B808" s="39" t="inlineStr">
        <is>
          <t>S7</t>
        </is>
      </c>
      <c r="C808" s="39" t="inlineStr">
        <is>
          <t>Maladies de l'enfant</t>
        </is>
      </c>
      <c r="D808" s="39" t="inlineStr">
        <is>
          <t>Néonatologie</t>
        </is>
      </c>
      <c r="E808" s="39" t="inlineStr">
        <is>
          <t>Prématurité</t>
        </is>
      </c>
      <c r="F808" s="18" t="n"/>
      <c r="G808" s="19" t="n"/>
      <c r="H808" s="20">
        <f>IF($G808="",1,IF($G808=0,1,IF($G808=1,3,IF($G808=2,7,IF($G808=3,14,IF($G808=4,30,60))))))</f>
        <v/>
      </c>
      <c r="I808" s="21">
        <f>IF($F808="","",$F808+$H808)</f>
        <v/>
      </c>
      <c r="J808">
        <f>IF($F808="","⚪ NEW",IF($G808&gt;=5,"✅ DONE",IF($I808&lt;TODAY(),"🔴 OVERDUE",IF($I808=TODAY(),"🟢 TODAY",IF($I808=TODAY()+1,"🔵 TOMORROW",IF($I808&lt;=TODAY()+7,"📅 THIS WEEK","⏳ SCHEDULED"))))))</f>
        <v/>
      </c>
      <c r="K808" s="20">
        <f>IF($F808="",999,IF($G808&gt;=5,9999,IF($I808="",999,$I808-TODAY())))</f>
        <v/>
      </c>
    </row>
    <row r="809">
      <c r="A809" s="38">
        <f>ROW()-2</f>
        <v/>
      </c>
      <c r="B809" s="39" t="inlineStr">
        <is>
          <t>S7</t>
        </is>
      </c>
      <c r="C809" s="39" t="inlineStr">
        <is>
          <t>Maladies de l'enfant</t>
        </is>
      </c>
      <c r="D809" s="39" t="inlineStr">
        <is>
          <t>Néonatologie</t>
        </is>
      </c>
      <c r="E809" s="39" t="inlineStr">
        <is>
          <t>Cardiopathies congénitales</t>
        </is>
      </c>
      <c r="F809" s="18" t="n"/>
      <c r="G809" s="19" t="n"/>
      <c r="H809" s="20">
        <f>IF($G809="",1,IF($G809=0,1,IF($G809=1,3,IF($G809=2,7,IF($G809=3,14,IF($G809=4,30,60))))))</f>
        <v/>
      </c>
      <c r="I809" s="21">
        <f>IF($F809="","",$F809+$H809)</f>
        <v/>
      </c>
      <c r="J809">
        <f>IF($F809="","⚪ NEW",IF($G809&gt;=5,"✅ DONE",IF($I809&lt;TODAY(),"🔴 OVERDUE",IF($I809=TODAY(),"🟢 TODAY",IF($I809=TODAY()+1,"🔵 TOMORROW",IF($I809&lt;=TODAY()+7,"📅 THIS WEEK","⏳ SCHEDULED"))))))</f>
        <v/>
      </c>
      <c r="K809" s="20">
        <f>IF($F809="",999,IF($G809&gt;=5,9999,IF($I809="",999,$I809-TODAY())))</f>
        <v/>
      </c>
    </row>
    <row r="810">
      <c r="A810" s="38">
        <f>ROW()-2</f>
        <v/>
      </c>
      <c r="B810" s="39" t="inlineStr">
        <is>
          <t>S7</t>
        </is>
      </c>
      <c r="C810" s="39" t="inlineStr">
        <is>
          <t>Maladies de l'enfant</t>
        </is>
      </c>
      <c r="D810" s="39" t="inlineStr">
        <is>
          <t>Néonatologie</t>
        </is>
      </c>
      <c r="E810" s="39" t="inlineStr">
        <is>
          <t>Cyanose néonatale</t>
        </is>
      </c>
      <c r="F810" s="18" t="n"/>
      <c r="G810" s="19" t="n"/>
      <c r="H810" s="20">
        <f>IF($G810="",1,IF($G810=0,1,IF($G810=1,3,IF($G810=2,7,IF($G810=3,14,IF($G810=4,30,60))))))</f>
        <v/>
      </c>
      <c r="I810" s="21">
        <f>IF($F810="","",$F810+$H810)</f>
        <v/>
      </c>
      <c r="J810">
        <f>IF($F810="","⚪ NEW",IF($G810&gt;=5,"✅ DONE",IF($I810&lt;TODAY(),"🔴 OVERDUE",IF($I810=TODAY(),"🟢 TODAY",IF($I810=TODAY()+1,"🔵 TOMORROW",IF($I810&lt;=TODAY()+7,"📅 THIS WEEK","⏳ SCHEDULED"))))))</f>
        <v/>
      </c>
      <c r="K810" s="20">
        <f>IF($F810="",999,IF($G810&gt;=5,9999,IF($I810="",999,$I810-TODAY())))</f>
        <v/>
      </c>
    </row>
    <row r="811">
      <c r="A811" s="38">
        <f>ROW()-2</f>
        <v/>
      </c>
      <c r="B811" s="39" t="inlineStr">
        <is>
          <t>S7</t>
        </is>
      </c>
      <c r="C811" s="39" t="inlineStr">
        <is>
          <t>Maladies de l'enfant</t>
        </is>
      </c>
      <c r="D811" s="39" t="inlineStr">
        <is>
          <t>Néonatologie</t>
        </is>
      </c>
      <c r="E811" s="39" t="inlineStr">
        <is>
          <t>Insuffisance cardiaque du nourrisson</t>
        </is>
      </c>
      <c r="F811" s="18" t="n"/>
      <c r="G811" s="19" t="n"/>
      <c r="H811" s="20">
        <f>IF($G811="",1,IF($G811=0,1,IF($G811=1,3,IF($G811=2,7,IF($G811=3,14,IF($G811=4,30,60))))))</f>
        <v/>
      </c>
      <c r="I811" s="21">
        <f>IF($F811="","",$F811+$H811)</f>
        <v/>
      </c>
      <c r="J811">
        <f>IF($F811="","⚪ NEW",IF($G811&gt;=5,"✅ DONE",IF($I811&lt;TODAY(),"🔴 OVERDUE",IF($I811=TODAY(),"🟢 TODAY",IF($I811=TODAY()+1,"🔵 TOMORROW",IF($I811&lt;=TODAY()+7,"📅 THIS WEEK","⏳ SCHEDULED"))))))</f>
        <v/>
      </c>
      <c r="K811" s="20">
        <f>IF($F811="",999,IF($G811&gt;=5,9999,IF($I811="",999,$I811-TODAY())))</f>
        <v/>
      </c>
    </row>
    <row r="812">
      <c r="A812" s="38">
        <f>ROW()-2</f>
        <v/>
      </c>
      <c r="B812" s="39" t="inlineStr">
        <is>
          <t>S7</t>
        </is>
      </c>
      <c r="C812" s="39" t="inlineStr">
        <is>
          <t>Maladies de l'enfant</t>
        </is>
      </c>
      <c r="D812" s="39" t="inlineStr">
        <is>
          <t>Chirurgie pédiatrique</t>
        </is>
      </c>
      <c r="E812" s="39" t="inlineStr">
        <is>
          <t>Malformations congénitales</t>
        </is>
      </c>
      <c r="F812" s="18" t="n"/>
      <c r="G812" s="19" t="n"/>
      <c r="H812" s="20">
        <f>IF($G812="",1,IF($G812=0,1,IF($G812=1,3,IF($G812=2,7,IF($G812=3,14,IF($G812=4,30,60))))))</f>
        <v/>
      </c>
      <c r="I812" s="21">
        <f>IF($F812="","",$F812+$H812)</f>
        <v/>
      </c>
      <c r="J812">
        <f>IF($F812="","⚪ NEW",IF($G812&gt;=5,"✅ DONE",IF($I812&lt;TODAY(),"🔴 OVERDUE",IF($I812=TODAY(),"🟢 TODAY",IF($I812=TODAY()+1,"🔵 TOMORROW",IF($I812&lt;=TODAY()+7,"📅 THIS WEEK","⏳ SCHEDULED"))))))</f>
        <v/>
      </c>
      <c r="K812" s="20">
        <f>IF($F812="",999,IF($G812&gt;=5,9999,IF($I812="",999,$I812-TODAY())))</f>
        <v/>
      </c>
    </row>
    <row r="813">
      <c r="A813" s="38">
        <f>ROW()-2</f>
        <v/>
      </c>
      <c r="B813" s="39" t="inlineStr">
        <is>
          <t>S7</t>
        </is>
      </c>
      <c r="C813" s="39" t="inlineStr">
        <is>
          <t>Maladies de l'enfant</t>
        </is>
      </c>
      <c r="D813" s="39" t="inlineStr">
        <is>
          <t>Chirurgie pédiatrique</t>
        </is>
      </c>
      <c r="E813" s="39" t="inlineStr">
        <is>
          <t>Atrésie de l'œsophage</t>
        </is>
      </c>
      <c r="F813" s="18" t="n"/>
      <c r="G813" s="19" t="n"/>
      <c r="H813" s="20">
        <f>IF($G813="",1,IF($G813=0,1,IF($G813=1,3,IF($G813=2,7,IF($G813=3,14,IF($G813=4,30,60))))))</f>
        <v/>
      </c>
      <c r="I813" s="21">
        <f>IF($F813="","",$F813+$H813)</f>
        <v/>
      </c>
      <c r="J813">
        <f>IF($F813="","⚪ NEW",IF($G813&gt;=5,"✅ DONE",IF($I813&lt;TODAY(),"🔴 OVERDUE",IF($I813=TODAY(),"🟢 TODAY",IF($I813=TODAY()+1,"🔵 TOMORROW",IF($I813&lt;=TODAY()+7,"📅 THIS WEEK","⏳ SCHEDULED"))))))</f>
        <v/>
      </c>
      <c r="K813" s="20">
        <f>IF($F813="",999,IF($G813&gt;=5,9999,IF($I813="",999,$I813-TODAY())))</f>
        <v/>
      </c>
    </row>
    <row r="814">
      <c r="A814" s="38">
        <f>ROW()-2</f>
        <v/>
      </c>
      <c r="B814" s="39" t="inlineStr">
        <is>
          <t>S7</t>
        </is>
      </c>
      <c r="C814" s="39" t="inlineStr">
        <is>
          <t>Maladies de l'enfant</t>
        </is>
      </c>
      <c r="D814" s="39" t="inlineStr">
        <is>
          <t>Chirurgie pédiatrique</t>
        </is>
      </c>
      <c r="E814" s="39" t="inlineStr">
        <is>
          <t>Hernie diaphragmatique</t>
        </is>
      </c>
      <c r="F814" s="18" t="n"/>
      <c r="G814" s="19" t="n"/>
      <c r="H814" s="20">
        <f>IF($G814="",1,IF($G814=0,1,IF($G814=1,3,IF($G814=2,7,IF($G814=3,14,IF($G814=4,30,60))))))</f>
        <v/>
      </c>
      <c r="I814" s="21">
        <f>IF($F814="","",$F814+$H814)</f>
        <v/>
      </c>
      <c r="J814">
        <f>IF($F814="","⚪ NEW",IF($G814&gt;=5,"✅ DONE",IF($I814&lt;TODAY(),"🔴 OVERDUE",IF($I814=TODAY(),"🟢 TODAY",IF($I814=TODAY()+1,"🔵 TOMORROW",IF($I814&lt;=TODAY()+7,"📅 THIS WEEK","⏳ SCHEDULED"))))))</f>
        <v/>
      </c>
      <c r="K814" s="20">
        <f>IF($F814="",999,IF($G814&gt;=5,9999,IF($I814="",999,$I814-TODAY())))</f>
        <v/>
      </c>
    </row>
    <row r="815">
      <c r="A815" s="38">
        <f>ROW()-2</f>
        <v/>
      </c>
      <c r="B815" s="39" t="inlineStr">
        <is>
          <t>S7</t>
        </is>
      </c>
      <c r="C815" s="39" t="inlineStr">
        <is>
          <t>Maladies de l'enfant</t>
        </is>
      </c>
      <c r="D815" s="39" t="inlineStr">
        <is>
          <t>Chirurgie pédiatrique</t>
        </is>
      </c>
      <c r="E815" s="39" t="inlineStr">
        <is>
          <t>Occlusion néonatale</t>
        </is>
      </c>
      <c r="F815" s="18" t="n"/>
      <c r="G815" s="19" t="n"/>
      <c r="H815" s="20">
        <f>IF($G815="",1,IF($G815=0,1,IF($G815=1,3,IF($G815=2,7,IF($G815=3,14,IF($G815=4,30,60))))))</f>
        <v/>
      </c>
      <c r="I815" s="21">
        <f>IF($F815="","",$F815+$H815)</f>
        <v/>
      </c>
      <c r="J815">
        <f>IF($F815="","⚪ NEW",IF($G815&gt;=5,"✅ DONE",IF($I815&lt;TODAY(),"🔴 OVERDUE",IF($I815=TODAY(),"🟢 TODAY",IF($I815=TODAY()+1,"🔵 TOMORROW",IF($I815&lt;=TODAY()+7,"📅 THIS WEEK","⏳ SCHEDULED"))))))</f>
        <v/>
      </c>
      <c r="K815" s="20">
        <f>IF($F815="",999,IF($G815&gt;=5,9999,IF($I815="",999,$I815-TODAY())))</f>
        <v/>
      </c>
    </row>
    <row r="816">
      <c r="A816" s="38">
        <f>ROW()-2</f>
        <v/>
      </c>
      <c r="B816" s="39" t="inlineStr">
        <is>
          <t>S7</t>
        </is>
      </c>
      <c r="C816" s="39" t="inlineStr">
        <is>
          <t>Maladies de l'enfant</t>
        </is>
      </c>
      <c r="D816" s="39" t="inlineStr">
        <is>
          <t>Chirurgie pédiatrique</t>
        </is>
      </c>
      <c r="E816" s="39" t="inlineStr">
        <is>
          <t>Maladie de Hirschsprung</t>
        </is>
      </c>
      <c r="F816" s="18" t="n"/>
      <c r="G816" s="19" t="n"/>
      <c r="H816" s="20">
        <f>IF($G816="",1,IF($G816=0,1,IF($G816=1,3,IF($G816=2,7,IF($G816=3,14,IF($G816=4,30,60))))))</f>
        <v/>
      </c>
      <c r="I816" s="21">
        <f>IF($F816="","",$F816+$H816)</f>
        <v/>
      </c>
      <c r="J816">
        <f>IF($F816="","⚪ NEW",IF($G816&gt;=5,"✅ DONE",IF($I816&lt;TODAY(),"🔴 OVERDUE",IF($I816=TODAY(),"🟢 TODAY",IF($I816=TODAY()+1,"🔵 TOMORROW",IF($I816&lt;=TODAY()+7,"📅 THIS WEEK","⏳ SCHEDULED"))))))</f>
        <v/>
      </c>
      <c r="K816" s="20">
        <f>IF($F816="",999,IF($G816&gt;=5,9999,IF($I816="",999,$I816-TODAY())))</f>
        <v/>
      </c>
    </row>
    <row r="817">
      <c r="A817" s="38">
        <f>ROW()-2</f>
        <v/>
      </c>
      <c r="B817" s="39" t="inlineStr">
        <is>
          <t>S7</t>
        </is>
      </c>
      <c r="C817" s="39" t="inlineStr">
        <is>
          <t>Maladies de l'enfant</t>
        </is>
      </c>
      <c r="D817" s="39" t="inlineStr">
        <is>
          <t>Chirurgie pédiatrique</t>
        </is>
      </c>
      <c r="E817" s="39" t="inlineStr">
        <is>
          <t>Uropathies de l'enfant</t>
        </is>
      </c>
      <c r="F817" s="18" t="n"/>
      <c r="G817" s="19" t="n"/>
      <c r="H817" s="20">
        <f>IF($G817="",1,IF($G817=0,1,IF($G817=1,3,IF($G817=2,7,IF($G817=3,14,IF($G817=4,30,60))))))</f>
        <v/>
      </c>
      <c r="I817" s="21">
        <f>IF($F817="","",$F817+$H817)</f>
        <v/>
      </c>
      <c r="J817">
        <f>IF($F817="","⚪ NEW",IF($G817&gt;=5,"✅ DONE",IF($I817&lt;TODAY(),"🔴 OVERDUE",IF($I817=TODAY(),"🟢 TODAY",IF($I817=TODAY()+1,"🔵 TOMORROW",IF($I817&lt;=TODAY()+7,"📅 THIS WEEK","⏳ SCHEDULED"))))))</f>
        <v/>
      </c>
      <c r="K817" s="20">
        <f>IF($F817="",999,IF($G817&gt;=5,9999,IF($I817="",999,$I817-TODAY())))</f>
        <v/>
      </c>
    </row>
    <row r="818">
      <c r="A818" s="38">
        <f>ROW()-2</f>
        <v/>
      </c>
      <c r="B818" s="39" t="inlineStr">
        <is>
          <t>S7</t>
        </is>
      </c>
      <c r="C818" s="39" t="inlineStr">
        <is>
          <t>Maladies de l'enfant</t>
        </is>
      </c>
      <c r="D818" s="39" t="inlineStr">
        <is>
          <t>Chirurgie pédiatrique</t>
        </is>
      </c>
      <c r="E818" s="39" t="inlineStr">
        <is>
          <t>Invagination intestinale</t>
        </is>
      </c>
      <c r="F818" s="18" t="n"/>
      <c r="G818" s="19" t="n"/>
      <c r="H818" s="20">
        <f>IF($G818="",1,IF($G818=0,1,IF($G818=1,3,IF($G818=2,7,IF($G818=3,14,IF($G818=4,30,60))))))</f>
        <v/>
      </c>
      <c r="I818" s="21">
        <f>IF($F818="","",$F818+$H818)</f>
        <v/>
      </c>
      <c r="J818">
        <f>IF($F818="","⚪ NEW",IF($G818&gt;=5,"✅ DONE",IF($I818&lt;TODAY(),"🔴 OVERDUE",IF($I818=TODAY(),"🟢 TODAY",IF($I818=TODAY()+1,"🔵 TOMORROW",IF($I818&lt;=TODAY()+7,"📅 THIS WEEK","⏳ SCHEDULED"))))))</f>
        <v/>
      </c>
      <c r="K818" s="20">
        <f>IF($F818="",999,IF($G818&gt;=5,9999,IF($I818="",999,$I818-TODAY())))</f>
        <v/>
      </c>
    </row>
    <row r="819">
      <c r="A819" s="38">
        <f>ROW()-2</f>
        <v/>
      </c>
      <c r="B819" s="39" t="inlineStr">
        <is>
          <t>S7</t>
        </is>
      </c>
      <c r="C819" s="39" t="inlineStr">
        <is>
          <t>Maladies de l'enfant</t>
        </is>
      </c>
      <c r="D819" s="39" t="inlineStr">
        <is>
          <t>Chirurgie pédiatrique</t>
        </is>
      </c>
      <c r="E819" s="39" t="inlineStr">
        <is>
          <t>Malformation anorectale</t>
        </is>
      </c>
      <c r="F819" s="18" t="n"/>
      <c r="G819" s="19" t="n"/>
      <c r="H819" s="20">
        <f>IF($G819="",1,IF($G819=0,1,IF($G819=1,3,IF($G819=2,7,IF($G819=3,14,IF($G819=4,30,60))))))</f>
        <v/>
      </c>
      <c r="I819" s="21">
        <f>IF($F819="","",$F819+$H819)</f>
        <v/>
      </c>
      <c r="J819">
        <f>IF($F819="","⚪ NEW",IF($G819&gt;=5,"✅ DONE",IF($I819&lt;TODAY(),"🔴 OVERDUE",IF($I819=TODAY(),"🟢 TODAY",IF($I819=TODAY()+1,"🔵 TOMORROW",IF($I819&lt;=TODAY()+7,"📅 THIS WEEK","⏳ SCHEDULED"))))))</f>
        <v/>
      </c>
      <c r="K819" s="20">
        <f>IF($F819="",999,IF($G819&gt;=5,9999,IF($I819="",999,$I819-TODAY())))</f>
        <v/>
      </c>
    </row>
    <row r="820">
      <c r="A820" s="38">
        <f>ROW()-2</f>
        <v/>
      </c>
      <c r="B820" s="39" t="inlineStr">
        <is>
          <t>S7</t>
        </is>
      </c>
      <c r="C820" s="39" t="inlineStr">
        <is>
          <t>Maladies de l'enfant</t>
        </is>
      </c>
      <c r="D820" s="39" t="inlineStr">
        <is>
          <t>Chirurgie pédiatrique</t>
        </is>
      </c>
      <c r="E820" s="39" t="inlineStr">
        <is>
          <t>Proctologie pédiatrique</t>
        </is>
      </c>
      <c r="F820" s="18" t="n"/>
      <c r="G820" s="19" t="n"/>
      <c r="H820" s="20">
        <f>IF($G820="",1,IF($G820=0,1,IF($G820=1,3,IF($G820=2,7,IF($G820=3,14,IF($G820=4,30,60))))))</f>
        <v/>
      </c>
      <c r="I820" s="21">
        <f>IF($F820="","",$F820+$H820)</f>
        <v/>
      </c>
      <c r="J820">
        <f>IF($F820="","⚪ NEW",IF($G820&gt;=5,"✅ DONE",IF($I820&lt;TODAY(),"🔴 OVERDUE",IF($I820=TODAY(),"🟢 TODAY",IF($I820=TODAY()+1,"🔵 TOMORROW",IF($I820&lt;=TODAY()+7,"📅 THIS WEEK","⏳ SCHEDULED"))))))</f>
        <v/>
      </c>
      <c r="K820" s="20">
        <f>IF($F820="",999,IF($G820&gt;=5,9999,IF($I820="",999,$I820-TODAY())))</f>
        <v/>
      </c>
    </row>
    <row r="821">
      <c r="A821" s="38">
        <f>ROW()-2</f>
        <v/>
      </c>
      <c r="B821" s="39" t="inlineStr">
        <is>
          <t>S7</t>
        </is>
      </c>
      <c r="C821" s="39" t="inlineStr">
        <is>
          <t>Maladies de l'enfant</t>
        </is>
      </c>
      <c r="D821" s="39" t="inlineStr">
        <is>
          <t>Chirurgie pédiatrique</t>
        </is>
      </c>
      <c r="E821" s="39" t="inlineStr">
        <is>
          <t>Torsion du cordon spermatique</t>
        </is>
      </c>
      <c r="F821" s="18" t="n"/>
      <c r="G821" s="19" t="n"/>
      <c r="H821" s="20">
        <f>IF($G821="",1,IF($G821=0,1,IF($G821=1,3,IF($G821=2,7,IF($G821=3,14,IF($G821=4,30,60))))))</f>
        <v/>
      </c>
      <c r="I821" s="21">
        <f>IF($F821="","",$F821+$H821)</f>
        <v/>
      </c>
      <c r="J821">
        <f>IF($F821="","⚪ NEW",IF($G821&gt;=5,"✅ DONE",IF($I821&lt;TODAY(),"🔴 OVERDUE",IF($I821=TODAY(),"🟢 TODAY",IF($I821=TODAY()+1,"🔵 TOMORROW",IF($I821&lt;=TODAY()+7,"📅 THIS WEEK","⏳ SCHEDULED"))))))</f>
        <v/>
      </c>
      <c r="K821" s="20">
        <f>IF($F821="",999,IF($G821&gt;=5,9999,IF($I821="",999,$I821-TODAY())))</f>
        <v/>
      </c>
    </row>
    <row r="822">
      <c r="A822" s="38">
        <f>ROW()-2</f>
        <v/>
      </c>
      <c r="B822" s="39" t="inlineStr">
        <is>
          <t>S7</t>
        </is>
      </c>
      <c r="C822" s="39" t="inlineStr">
        <is>
          <t>Maladies de l'enfant</t>
        </is>
      </c>
      <c r="D822" s="39" t="inlineStr">
        <is>
          <t>Chirurgie pédiatrique</t>
        </is>
      </c>
      <c r="E822" s="39" t="inlineStr">
        <is>
          <t>Pathologie du canal péritonéo-vaginal</t>
        </is>
      </c>
      <c r="F822" s="18" t="n"/>
      <c r="G822" s="19" t="n"/>
      <c r="H822" s="20">
        <f>IF($G822="",1,IF($G822=0,1,IF($G822=1,3,IF($G822=2,7,IF($G822=3,14,IF($G822=4,30,60))))))</f>
        <v/>
      </c>
      <c r="I822" s="21">
        <f>IF($F822="","",$F822+$H822)</f>
        <v/>
      </c>
      <c r="J822">
        <f>IF($F822="","⚪ NEW",IF($G822&gt;=5,"✅ DONE",IF($I822&lt;TODAY(),"🔴 OVERDUE",IF($I822=TODAY(),"🟢 TODAY",IF($I822=TODAY()+1,"🔵 TOMORROW",IF($I822&lt;=TODAY()+7,"📅 THIS WEEK","⏳ SCHEDULED"))))))</f>
        <v/>
      </c>
      <c r="K822" s="20">
        <f>IF($F822="",999,IF($G822&gt;=5,9999,IF($I822="",999,$I822-TODAY())))</f>
        <v/>
      </c>
    </row>
    <row r="823">
      <c r="A823" s="38">
        <f>ROW()-2</f>
        <v/>
      </c>
      <c r="B823" s="39" t="inlineStr">
        <is>
          <t>S7</t>
        </is>
      </c>
      <c r="C823" s="39" t="inlineStr">
        <is>
          <t>Maladies de l'enfant</t>
        </is>
      </c>
      <c r="D823" s="39" t="inlineStr">
        <is>
          <t>Chirurgie pédiatrique</t>
        </is>
      </c>
      <c r="E823" s="39" t="inlineStr">
        <is>
          <t>Anomalie de migration et de position testiculaire</t>
        </is>
      </c>
      <c r="F823" s="18" t="n"/>
      <c r="G823" s="19" t="n"/>
      <c r="H823" s="20">
        <f>IF($G823="",1,IF($G823=0,1,IF($G823=1,3,IF($G823=2,7,IF($G823=3,14,IF($G823=4,30,60))))))</f>
        <v/>
      </c>
      <c r="I823" s="21">
        <f>IF($F823="","",$F823+$H823)</f>
        <v/>
      </c>
      <c r="J823">
        <f>IF($F823="","⚪ NEW",IF($G823&gt;=5,"✅ DONE",IF($I823&lt;TODAY(),"🔴 OVERDUE",IF($I823=TODAY(),"🟢 TODAY",IF($I823=TODAY()+1,"🔵 TOMORROW",IF($I823&lt;=TODAY()+7,"📅 THIS WEEK","⏳ SCHEDULED"))))))</f>
        <v/>
      </c>
      <c r="K823" s="20">
        <f>IF($F823="",999,IF($G823&gt;=5,9999,IF($I823="",999,$I823-TODAY())))</f>
        <v/>
      </c>
    </row>
    <row r="824">
      <c r="A824" s="38">
        <f>ROW()-2</f>
        <v/>
      </c>
      <c r="B824" s="39" t="inlineStr">
        <is>
          <t>S7</t>
        </is>
      </c>
      <c r="C824" s="39" t="inlineStr">
        <is>
          <t>Maladies de l'enfant</t>
        </is>
      </c>
      <c r="D824" s="39" t="inlineStr">
        <is>
          <t>Chirurgie pédiatrique</t>
        </is>
      </c>
      <c r="E824" s="39" t="inlineStr">
        <is>
          <t>Sténose hypertrophique du pylore</t>
        </is>
      </c>
      <c r="F824" s="18" t="n"/>
      <c r="G824" s="19" t="n"/>
      <c r="H824" s="20">
        <f>IF($G824="",1,IF($G824=0,1,IF($G824=1,3,IF($G824=2,7,IF($G824=3,14,IF($G824=4,30,60))))))</f>
        <v/>
      </c>
      <c r="I824" s="21">
        <f>IF($F824="","",$F824+$H824)</f>
        <v/>
      </c>
      <c r="J824">
        <f>IF($F824="","⚪ NEW",IF($G824&gt;=5,"✅ DONE",IF($I824&lt;TODAY(),"🔴 OVERDUE",IF($I824=TODAY(),"🟢 TODAY",IF($I824=TODAY()+1,"🔵 TOMORROW",IF($I824&lt;=TODAY()+7,"📅 THIS WEEK","⏳ SCHEDULED"))))))</f>
        <v/>
      </c>
      <c r="K824" s="20">
        <f>IF($F824="",999,IF($G824&gt;=5,9999,IF($I824="",999,$I824-TODAY())))</f>
        <v/>
      </c>
    </row>
    <row r="825">
      <c r="A825" s="38">
        <f>ROW()-2</f>
        <v/>
      </c>
      <c r="B825" s="39" t="inlineStr">
        <is>
          <t>S7</t>
        </is>
      </c>
      <c r="C825" s="39" t="inlineStr">
        <is>
          <t>Maladies de l'enfant</t>
        </is>
      </c>
      <c r="D825" s="39" t="inlineStr">
        <is>
          <t>Chirurgie pédiatrique</t>
        </is>
      </c>
      <c r="E825" s="39" t="inlineStr">
        <is>
          <t>Les particularités des fractures chez l'enfant</t>
        </is>
      </c>
      <c r="F825" s="18" t="n"/>
      <c r="G825" s="19" t="n"/>
      <c r="H825" s="20">
        <f>IF($G825="",1,IF($G825=0,1,IF($G825=1,3,IF($G825=2,7,IF($G825=3,14,IF($G825=4,30,60))))))</f>
        <v/>
      </c>
      <c r="I825" s="21">
        <f>IF($F825="","",$F825+$H825)</f>
        <v/>
      </c>
      <c r="J825">
        <f>IF($F825="","⚪ NEW",IF($G825&gt;=5,"✅ DONE",IF($I825&lt;TODAY(),"🔴 OVERDUE",IF($I825=TODAY(),"🟢 TODAY",IF($I825=TODAY()+1,"🔵 TOMORROW",IF($I825&lt;=TODAY()+7,"📅 THIS WEEK","⏳ SCHEDULED"))))))</f>
        <v/>
      </c>
      <c r="K825" s="20">
        <f>IF($F825="",999,IF($G825&gt;=5,9999,IF($I825="",999,$I825-TODAY())))</f>
        <v/>
      </c>
    </row>
    <row r="826">
      <c r="A826" s="38">
        <f>ROW()-2</f>
        <v/>
      </c>
      <c r="B826" s="39" t="inlineStr">
        <is>
          <t>S7</t>
        </is>
      </c>
      <c r="C826" s="39" t="inlineStr">
        <is>
          <t>Maladies de l'enfant</t>
        </is>
      </c>
      <c r="D826" s="39" t="inlineStr">
        <is>
          <t>Chirurgie pédiatrique</t>
        </is>
      </c>
      <c r="E826" s="39" t="inlineStr">
        <is>
          <t>Infections ostéo-articulaires de l'enfant</t>
        </is>
      </c>
      <c r="F826" s="18" t="n"/>
      <c r="G826" s="19" t="n"/>
      <c r="H826" s="20">
        <f>IF($G826="",1,IF($G826=0,1,IF($G826=1,3,IF($G826=2,7,IF($G826=3,14,IF($G826=4,30,60))))))</f>
        <v/>
      </c>
      <c r="I826" s="21">
        <f>IF($F826="","",$F826+$H826)</f>
        <v/>
      </c>
      <c r="J826">
        <f>IF($F826="","⚪ NEW",IF($G826&gt;=5,"✅ DONE",IF($I826&lt;TODAY(),"🔴 OVERDUE",IF($I826=TODAY(),"🟢 TODAY",IF($I826=TODAY()+1,"🔵 TOMORROW",IF($I826&lt;=TODAY()+7,"📅 THIS WEEK","⏳ SCHEDULED"))))))</f>
        <v/>
      </c>
      <c r="K826" s="20">
        <f>IF($F826="",999,IF($G826&gt;=5,9999,IF($I826="",999,$I826-TODAY())))</f>
        <v/>
      </c>
    </row>
    <row r="827">
      <c r="A827" s="38">
        <f>ROW()-2</f>
        <v/>
      </c>
      <c r="B827" s="39" t="inlineStr">
        <is>
          <t>S7</t>
        </is>
      </c>
      <c r="C827" s="39" t="inlineStr">
        <is>
          <t>Maladies de l'enfant</t>
        </is>
      </c>
      <c r="D827" s="39" t="inlineStr">
        <is>
          <t>Chirurgie pédiatrique</t>
        </is>
      </c>
      <c r="E827" s="39" t="inlineStr">
        <is>
          <t>Les boiteries de l'enfant</t>
        </is>
      </c>
      <c r="F827" s="18" t="n"/>
      <c r="G827" s="19" t="n"/>
      <c r="H827" s="20">
        <f>IF($G827="",1,IF($G827=0,1,IF($G827=1,3,IF($G827=2,7,IF($G827=3,14,IF($G827=4,30,60))))))</f>
        <v/>
      </c>
      <c r="I827" s="21">
        <f>IF($F827="","",$F827+$H827)</f>
        <v/>
      </c>
      <c r="J827">
        <f>IF($F827="","⚪ NEW",IF($G827&gt;=5,"✅ DONE",IF($I827&lt;TODAY(),"🔴 OVERDUE",IF($I827=TODAY(),"🟢 TODAY",IF($I827=TODAY()+1,"🔵 TOMORROW",IF($I827&lt;=TODAY()+7,"📅 THIS WEEK","⏳ SCHEDULED"))))))</f>
        <v/>
      </c>
      <c r="K827" s="20">
        <f>IF($F827="",999,IF($G827&gt;=5,9999,IF($I827="",999,$I827-TODAY())))</f>
        <v/>
      </c>
    </row>
    <row r="828">
      <c r="A828" s="38">
        <f>ROW()-2</f>
        <v/>
      </c>
      <c r="B828" s="39" t="inlineStr">
        <is>
          <t>S7</t>
        </is>
      </c>
      <c r="C828" s="39" t="inlineStr">
        <is>
          <t>Maladies de l'enfant</t>
        </is>
      </c>
      <c r="D828" s="39" t="inlineStr">
        <is>
          <t>Chirurgie pédiatrique</t>
        </is>
      </c>
      <c r="E828" s="39" t="inlineStr">
        <is>
          <t>Déformation rachidienne</t>
        </is>
      </c>
      <c r="F828" s="18" t="n"/>
      <c r="G828" s="19" t="n"/>
      <c r="H828" s="20">
        <f>IF($G828="",1,IF($G828=0,1,IF($G828=1,3,IF($G828=2,7,IF($G828=3,14,IF($G828=4,30,60))))))</f>
        <v/>
      </c>
      <c r="I828" s="21">
        <f>IF($F828="","",$F828+$H828)</f>
        <v/>
      </c>
      <c r="J828">
        <f>IF($F828="","⚪ NEW",IF($G828&gt;=5,"✅ DONE",IF($I828&lt;TODAY(),"🔴 OVERDUE",IF($I828=TODAY(),"🟢 TODAY",IF($I828=TODAY()+1,"🔵 TOMORROW",IF($I828&lt;=TODAY()+7,"📅 THIS WEEK","⏳ SCHEDULED"))))))</f>
        <v/>
      </c>
      <c r="K828" s="20">
        <f>IF($F828="",999,IF($G828&gt;=5,9999,IF($I828="",999,$I828-TODAY())))</f>
        <v/>
      </c>
    </row>
    <row r="829">
      <c r="A829" s="38">
        <f>ROW()-2</f>
        <v/>
      </c>
      <c r="B829" s="39" t="inlineStr">
        <is>
          <t>S7</t>
        </is>
      </c>
      <c r="C829" s="39" t="inlineStr">
        <is>
          <t>Maladies de l'enfant</t>
        </is>
      </c>
      <c r="D829" s="39" t="inlineStr">
        <is>
          <t>Chirurgie pédiatrique</t>
        </is>
      </c>
      <c r="E829" s="39" t="inlineStr">
        <is>
          <t>Maladie luxante de la hanche</t>
        </is>
      </c>
      <c r="F829" s="18" t="n"/>
      <c r="G829" s="19" t="n"/>
      <c r="H829" s="20">
        <f>IF($G829="",1,IF($G829=0,1,IF($G829=1,3,IF($G829=2,7,IF($G829=3,14,IF($G829=4,30,60))))))</f>
        <v/>
      </c>
      <c r="I829" s="21">
        <f>IF($F829="","",$F829+$H829)</f>
        <v/>
      </c>
      <c r="J829">
        <f>IF($F829="","⚪ NEW",IF($G829&gt;=5,"✅ DONE",IF($I829&lt;TODAY(),"🔴 OVERDUE",IF($I829=TODAY(),"🟢 TODAY",IF($I829=TODAY()+1,"🔵 TOMORROW",IF($I829&lt;=TODAY()+7,"📅 THIS WEEK","⏳ SCHEDULED"))))))</f>
        <v/>
      </c>
      <c r="K829" s="20">
        <f>IF($F829="",999,IF($G829&gt;=5,9999,IF($I829="",999,$I829-TODAY())))</f>
        <v/>
      </c>
    </row>
    <row r="830">
      <c r="A830" s="38">
        <f>ROW()-2</f>
        <v/>
      </c>
      <c r="B830" s="39" t="inlineStr">
        <is>
          <t>S7</t>
        </is>
      </c>
      <c r="C830" s="39" t="inlineStr">
        <is>
          <t>Maladies de l'enfant</t>
        </is>
      </c>
      <c r="D830" s="39" t="inlineStr">
        <is>
          <t>Chirurgie pédiatrique</t>
        </is>
      </c>
      <c r="E830" s="39" t="inlineStr">
        <is>
          <t>Pied du nouveau-né</t>
        </is>
      </c>
      <c r="F830" s="18" t="n"/>
      <c r="G830" s="19" t="n"/>
      <c r="H830" s="20">
        <f>IF($G830="",1,IF($G830=0,1,IF($G830=1,3,IF($G830=2,7,IF($G830=3,14,IF($G830=4,30,60))))))</f>
        <v/>
      </c>
      <c r="I830" s="21">
        <f>IF($F830="","",$F830+$H830)</f>
        <v/>
      </c>
      <c r="J830">
        <f>IF($F830="","⚪ NEW",IF($G830&gt;=5,"✅ DONE",IF($I830&lt;TODAY(),"🔴 OVERDUE",IF($I830=TODAY(),"🟢 TODAY",IF($I830=TODAY()+1,"🔵 TOMORROW",IF($I830&lt;=TODAY()+7,"📅 THIS WEEK","⏳ SCHEDULED"))))))</f>
        <v/>
      </c>
      <c r="K830" s="20">
        <f>IF($F830="",999,IF($G830&gt;=5,9999,IF($I830="",999,$I830-TODAY())))</f>
        <v/>
      </c>
    </row>
    <row r="831">
      <c r="A831" s="38">
        <f>ROW()-2</f>
        <v/>
      </c>
      <c r="B831" s="39" t="inlineStr">
        <is>
          <t>S7</t>
        </is>
      </c>
      <c r="C831" s="39" t="inlineStr">
        <is>
          <t>Maladies de l'enfant</t>
        </is>
      </c>
      <c r="D831" s="39" t="inlineStr">
        <is>
          <t>Chirurgie pédiatrique</t>
        </is>
      </c>
      <c r="E831" s="39" t="inlineStr">
        <is>
          <t>Tumeurs osseuses malignes de l'enfant</t>
        </is>
      </c>
      <c r="F831" s="18" t="n"/>
      <c r="G831" s="19" t="n"/>
      <c r="H831" s="20">
        <f>IF($G831="",1,IF($G831=0,1,IF($G831=1,3,IF($G831=2,7,IF($G831=3,14,IF($G831=4,30,60))))))</f>
        <v/>
      </c>
      <c r="I831" s="21">
        <f>IF($F831="","",$F831+$H831)</f>
        <v/>
      </c>
      <c r="J831">
        <f>IF($F831="","⚪ NEW",IF($G831&gt;=5,"✅ DONE",IF($I831&lt;TODAY(),"🔴 OVERDUE",IF($I831=TODAY(),"🟢 TODAY",IF($I831=TODAY()+1,"🔵 TOMORROW",IF($I831&lt;=TODAY()+7,"📅 THIS WEEK","⏳ SCHEDULED"))))))</f>
        <v/>
      </c>
      <c r="K831" s="20">
        <f>IF($F831="",999,IF($G831&gt;=5,9999,IF($I831="",999,$I831-TODAY())))</f>
        <v/>
      </c>
    </row>
    <row r="832">
      <c r="A832" s="16">
        <f>ROW()-2</f>
        <v/>
      </c>
      <c r="B832" s="17" t="inlineStr">
        <is>
          <t>S7</t>
        </is>
      </c>
      <c r="C832" s="17" t="inlineStr">
        <is>
          <t>Dermatologie - Endocrinologie</t>
        </is>
      </c>
      <c r="D832" s="17" t="inlineStr">
        <is>
          <t>Dermatologie</t>
        </is>
      </c>
      <c r="E832" s="17" t="inlineStr">
        <is>
          <t>Écoulement urétéral</t>
        </is>
      </c>
      <c r="F832" s="18" t="n"/>
      <c r="G832" s="19" t="n"/>
      <c r="H832" s="20">
        <f>IF($G832="",1,IF($G832=0,1,IF($G832=1,3,IF($G832=2,7,IF($G832=3,14,IF($G832=4,30,60))))))</f>
        <v/>
      </c>
      <c r="I832" s="21">
        <f>IF($F832="","",$F832+$H832)</f>
        <v/>
      </c>
      <c r="J832">
        <f>IF($F832="","⚪ NEW",IF($G832&gt;=5,"✅ DONE",IF($I832&lt;TODAY(),"🔴 OVERDUE",IF($I832=TODAY(),"🟢 TODAY",IF($I832=TODAY()+1,"🔵 TOMORROW",IF($I832&lt;=TODAY()+7,"📅 THIS WEEK","⏳ SCHEDULED"))))))</f>
        <v/>
      </c>
      <c r="K832" s="20">
        <f>IF($F832="",999,IF($G832&gt;=5,9999,IF($I832="",999,$I832-TODAY())))</f>
        <v/>
      </c>
    </row>
    <row r="833">
      <c r="A833" s="16">
        <f>ROW()-2</f>
        <v/>
      </c>
      <c r="B833" s="17" t="inlineStr">
        <is>
          <t>S7</t>
        </is>
      </c>
      <c r="C833" s="17" t="inlineStr">
        <is>
          <t>Dermatologie - Endocrinologie</t>
        </is>
      </c>
      <c r="D833" s="17" t="inlineStr">
        <is>
          <t>Dermatologie</t>
        </is>
      </c>
      <c r="E833" s="17" t="inlineStr">
        <is>
          <t>Ulcération génitale</t>
        </is>
      </c>
      <c r="F833" s="18" t="n"/>
      <c r="G833" s="19" t="n"/>
      <c r="H833" s="20">
        <f>IF($G833="",1,IF($G833=0,1,IF($G833=1,3,IF($G833=2,7,IF($G833=3,14,IF($G833=4,30,60))))))</f>
        <v/>
      </c>
      <c r="I833" s="21">
        <f>IF($F833="","",$F833+$H833)</f>
        <v/>
      </c>
      <c r="J833">
        <f>IF($F833="","⚪ NEW",IF($G833&gt;=5,"✅ DONE",IF($I833&lt;TODAY(),"🔴 OVERDUE",IF($I833=TODAY(),"🟢 TODAY",IF($I833=TODAY()+1,"🔵 TOMORROW",IF($I833&lt;=TODAY()+7,"📅 THIS WEEK","⏳ SCHEDULED"))))))</f>
        <v/>
      </c>
      <c r="K833" s="20">
        <f>IF($F833="",999,IF($G833&gt;=5,9999,IF($I833="",999,$I833-TODAY())))</f>
        <v/>
      </c>
    </row>
    <row r="834">
      <c r="A834" s="16">
        <f>ROW()-2</f>
        <v/>
      </c>
      <c r="B834" s="17" t="inlineStr">
        <is>
          <t>S7</t>
        </is>
      </c>
      <c r="C834" s="17" t="inlineStr">
        <is>
          <t>Dermatologie - Endocrinologie</t>
        </is>
      </c>
      <c r="D834" s="17" t="inlineStr">
        <is>
          <t>Dermatologie</t>
        </is>
      </c>
      <c r="E834" s="17" t="inlineStr">
        <is>
          <t>Syphilis</t>
        </is>
      </c>
      <c r="F834" s="18" t="n"/>
      <c r="G834" s="19" t="n"/>
      <c r="H834" s="20">
        <f>IF($G834="",1,IF($G834=0,1,IF($G834=1,3,IF($G834=2,7,IF($G834=3,14,IF($G834=4,30,60))))))</f>
        <v/>
      </c>
      <c r="I834" s="21">
        <f>IF($F834="","",$F834+$H834)</f>
        <v/>
      </c>
      <c r="J834">
        <f>IF($F834="","⚪ NEW",IF($G834&gt;=5,"✅ DONE",IF($I834&lt;TODAY(),"🔴 OVERDUE",IF($I834=TODAY(),"🟢 TODAY",IF($I834=TODAY()+1,"🔵 TOMORROW",IF($I834&lt;=TODAY()+7,"📅 THIS WEEK","⏳ SCHEDULED"))))))</f>
        <v/>
      </c>
      <c r="K834" s="20">
        <f>IF($F834="",999,IF($G834&gt;=5,9999,IF($I834="",999,$I834-TODAY())))</f>
        <v/>
      </c>
    </row>
    <row r="835">
      <c r="A835" s="16">
        <f>ROW()-2</f>
        <v/>
      </c>
      <c r="B835" s="17" t="inlineStr">
        <is>
          <t>S7</t>
        </is>
      </c>
      <c r="C835" s="17" t="inlineStr">
        <is>
          <t>Dermatologie - Endocrinologie</t>
        </is>
      </c>
      <c r="D835" s="17" t="inlineStr">
        <is>
          <t>Dermatologie</t>
        </is>
      </c>
      <c r="E835" s="17" t="inlineStr">
        <is>
          <t>Manifestations cutanées du VIH</t>
        </is>
      </c>
      <c r="F835" s="18" t="n"/>
      <c r="G835" s="19" t="n"/>
      <c r="H835" s="20">
        <f>IF($G835="",1,IF($G835=0,1,IF($G835=1,3,IF($G835=2,7,IF($G835=3,14,IF($G835=4,30,60))))))</f>
        <v/>
      </c>
      <c r="I835" s="21">
        <f>IF($F835="","",$F835+$H835)</f>
        <v/>
      </c>
      <c r="J835">
        <f>IF($F835="","⚪ NEW",IF($G835&gt;=5,"✅ DONE",IF($I835&lt;TODAY(),"🔴 OVERDUE",IF($I835=TODAY(),"🟢 TODAY",IF($I835=TODAY()+1,"🔵 TOMORROW",IF($I835&lt;=TODAY()+7,"📅 THIS WEEK","⏳ SCHEDULED"))))))</f>
        <v/>
      </c>
      <c r="K835" s="20">
        <f>IF($F835="",999,IF($G835&gt;=5,9999,IF($I835="",999,$I835-TODAY())))</f>
        <v/>
      </c>
    </row>
    <row r="836">
      <c r="A836" s="16">
        <f>ROW()-2</f>
        <v/>
      </c>
      <c r="B836" s="17" t="inlineStr">
        <is>
          <t>S7</t>
        </is>
      </c>
      <c r="C836" s="17" t="inlineStr">
        <is>
          <t>Dermatologie - Endocrinologie</t>
        </is>
      </c>
      <c r="D836" s="17" t="inlineStr">
        <is>
          <t>Dermatologie</t>
        </is>
      </c>
      <c r="E836" s="17" t="inlineStr">
        <is>
          <t>Toxidermie médicamenteuse</t>
        </is>
      </c>
      <c r="F836" s="18" t="n"/>
      <c r="G836" s="19" t="n"/>
      <c r="H836" s="20">
        <f>IF($G836="",1,IF($G836=0,1,IF($G836=1,3,IF($G836=2,7,IF($G836=3,14,IF($G836=4,30,60))))))</f>
        <v/>
      </c>
      <c r="I836" s="21">
        <f>IF($F836="","",$F836+$H836)</f>
        <v/>
      </c>
      <c r="J836">
        <f>IF($F836="","⚪ NEW",IF($G836&gt;=5,"✅ DONE",IF($I836&lt;TODAY(),"🔴 OVERDUE",IF($I836=TODAY(),"🟢 TODAY",IF($I836=TODAY()+1,"🔵 TOMORROW",IF($I836&lt;=TODAY()+7,"📅 THIS WEEK","⏳ SCHEDULED"))))))</f>
        <v/>
      </c>
      <c r="K836" s="20">
        <f>IF($F836="",999,IF($G836&gt;=5,9999,IF($I836="",999,$I836-TODAY())))</f>
        <v/>
      </c>
    </row>
    <row r="837">
      <c r="A837" s="16">
        <f>ROW()-2</f>
        <v/>
      </c>
      <c r="B837" s="17" t="inlineStr">
        <is>
          <t>S7</t>
        </is>
      </c>
      <c r="C837" s="17" t="inlineStr">
        <is>
          <t>Dermatologie - Endocrinologie</t>
        </is>
      </c>
      <c r="D837" s="17" t="inlineStr">
        <is>
          <t>Dermatologie</t>
        </is>
      </c>
      <c r="E837" s="17" t="inlineStr">
        <is>
          <t>Urticaire</t>
        </is>
      </c>
      <c r="F837" s="18" t="n"/>
      <c r="G837" s="19" t="n"/>
      <c r="H837" s="20">
        <f>IF($G837="",1,IF($G837=0,1,IF($G837=1,3,IF($G837=2,7,IF($G837=3,14,IF($G837=4,30,60))))))</f>
        <v/>
      </c>
      <c r="I837" s="21">
        <f>IF($F837="","",$F837+$H837)</f>
        <v/>
      </c>
      <c r="J837">
        <f>IF($F837="","⚪ NEW",IF($G837&gt;=5,"✅ DONE",IF($I837&lt;TODAY(),"🔴 OVERDUE",IF($I837=TODAY(),"🟢 TODAY",IF($I837=TODAY()+1,"🔵 TOMORROW",IF($I837&lt;=TODAY()+7,"📅 THIS WEEK","⏳ SCHEDULED"))))))</f>
        <v/>
      </c>
      <c r="K837" s="20">
        <f>IF($F837="",999,IF($G837&gt;=5,9999,IF($I837="",999,$I837-TODAY())))</f>
        <v/>
      </c>
    </row>
    <row r="838">
      <c r="A838" s="16">
        <f>ROW()-2</f>
        <v/>
      </c>
      <c r="B838" s="17" t="inlineStr">
        <is>
          <t>S7</t>
        </is>
      </c>
      <c r="C838" s="17" t="inlineStr">
        <is>
          <t>Dermatologie - Endocrinologie</t>
        </is>
      </c>
      <c r="D838" s="17" t="inlineStr">
        <is>
          <t>Dermatologie</t>
        </is>
      </c>
      <c r="E838" s="17" t="inlineStr">
        <is>
          <t>Acné</t>
        </is>
      </c>
      <c r="F838" s="18" t="n"/>
      <c r="G838" s="19" t="n"/>
      <c r="H838" s="20">
        <f>IF($G838="",1,IF($G838=0,1,IF($G838=1,3,IF($G838=2,7,IF($G838=3,14,IF($G838=4,30,60))))))</f>
        <v/>
      </c>
      <c r="I838" s="21">
        <f>IF($F838="","",$F838+$H838)</f>
        <v/>
      </c>
      <c r="J838">
        <f>IF($F838="","⚪ NEW",IF($G838&gt;=5,"✅ DONE",IF($I838&lt;TODAY(),"🔴 OVERDUE",IF($I838=TODAY(),"🟢 TODAY",IF($I838=TODAY()+1,"🔵 TOMORROW",IF($I838&lt;=TODAY()+7,"📅 THIS WEEK","⏳ SCHEDULED"))))))</f>
        <v/>
      </c>
      <c r="K838" s="20">
        <f>IF($F838="",999,IF($G838&gt;=5,9999,IF($I838="",999,$I838-TODAY())))</f>
        <v/>
      </c>
    </row>
    <row r="839">
      <c r="A839" s="16">
        <f>ROW()-2</f>
        <v/>
      </c>
      <c r="B839" s="17" t="inlineStr">
        <is>
          <t>S7</t>
        </is>
      </c>
      <c r="C839" s="17" t="inlineStr">
        <is>
          <t>Dermatologie - Endocrinologie</t>
        </is>
      </c>
      <c r="D839" s="17" t="inlineStr">
        <is>
          <t>Dermatologie</t>
        </is>
      </c>
      <c r="E839" s="17" t="inlineStr">
        <is>
          <t>Psoriasis</t>
        </is>
      </c>
      <c r="F839" s="18" t="n"/>
      <c r="G839" s="19" t="n"/>
      <c r="H839" s="20">
        <f>IF($G839="",1,IF($G839=0,1,IF($G839=1,3,IF($G839=2,7,IF($G839=3,14,IF($G839=4,30,60))))))</f>
        <v/>
      </c>
      <c r="I839" s="21">
        <f>IF($F839="","",$F839+$H839)</f>
        <v/>
      </c>
      <c r="J839">
        <f>IF($F839="","⚪ NEW",IF($G839&gt;=5,"✅ DONE",IF($I839&lt;TODAY(),"🔴 OVERDUE",IF($I839=TODAY(),"🟢 TODAY",IF($I839=TODAY()+1,"🔵 TOMORROW",IF($I839&lt;=TODAY()+7,"📅 THIS WEEK","⏳ SCHEDULED"))))))</f>
        <v/>
      </c>
      <c r="K839" s="20">
        <f>IF($F839="",999,IF($G839&gt;=5,9999,IF($I839="",999,$I839-TODAY())))</f>
        <v/>
      </c>
    </row>
    <row r="840">
      <c r="A840" s="16">
        <f>ROW()-2</f>
        <v/>
      </c>
      <c r="B840" s="17" t="inlineStr">
        <is>
          <t>S7</t>
        </is>
      </c>
      <c r="C840" s="17" t="inlineStr">
        <is>
          <t>Dermatologie - Endocrinologie</t>
        </is>
      </c>
      <c r="D840" s="17" t="inlineStr">
        <is>
          <t>Dermatologie</t>
        </is>
      </c>
      <c r="E840" s="17" t="inlineStr">
        <is>
          <t>Les cancers cutanés</t>
        </is>
      </c>
      <c r="F840" s="18" t="n"/>
      <c r="G840" s="19" t="n"/>
      <c r="H840" s="20">
        <f>IF($G840="",1,IF($G840=0,1,IF($G840=1,3,IF($G840=2,7,IF($G840=3,14,IF($G840=4,30,60))))))</f>
        <v/>
      </c>
      <c r="I840" s="21">
        <f>IF($F840="","",$F840+$H840)</f>
        <v/>
      </c>
      <c r="J840">
        <f>IF($F840="","⚪ NEW",IF($G840&gt;=5,"✅ DONE",IF($I840&lt;TODAY(),"🔴 OVERDUE",IF($I840=TODAY(),"🟢 TODAY",IF($I840=TODAY()+1,"🔵 TOMORROW",IF($I840&lt;=TODAY()+7,"📅 THIS WEEK","⏳ SCHEDULED"))))))</f>
        <v/>
      </c>
      <c r="K840" s="20">
        <f>IF($F840="",999,IF($G840&gt;=5,9999,IF($I840="",999,$I840-TODAY())))</f>
        <v/>
      </c>
    </row>
    <row r="841">
      <c r="A841" s="16">
        <f>ROW()-2</f>
        <v/>
      </c>
      <c r="B841" s="17" t="inlineStr">
        <is>
          <t>S7</t>
        </is>
      </c>
      <c r="C841" s="17" t="inlineStr">
        <is>
          <t>Dermatologie - Endocrinologie</t>
        </is>
      </c>
      <c r="D841" s="17" t="inlineStr">
        <is>
          <t>Dermatologie</t>
        </is>
      </c>
      <c r="E841" s="17" t="inlineStr">
        <is>
          <t>Mélanomes</t>
        </is>
      </c>
      <c r="F841" s="18" t="n"/>
      <c r="G841" s="19" t="n"/>
      <c r="H841" s="20">
        <f>IF($G841="",1,IF($G841=0,1,IF($G841=1,3,IF($G841=2,7,IF($G841=3,14,IF($G841=4,30,60))))))</f>
        <v/>
      </c>
      <c r="I841" s="21">
        <f>IF($F841="","",$F841+$H841)</f>
        <v/>
      </c>
      <c r="J841">
        <f>IF($F841="","⚪ NEW",IF($G841&gt;=5,"✅ DONE",IF($I841&lt;TODAY(),"🔴 OVERDUE",IF($I841=TODAY(),"🟢 TODAY",IF($I841=TODAY()+1,"🔵 TOMORROW",IF($I841&lt;=TODAY()+7,"📅 THIS WEEK","⏳ SCHEDULED"))))))</f>
        <v/>
      </c>
      <c r="K841" s="20">
        <f>IF($F841="",999,IF($G841&gt;=5,9999,IF($I841="",999,$I841-TODAY())))</f>
        <v/>
      </c>
    </row>
    <row r="842">
      <c r="A842" s="16">
        <f>ROW()-2</f>
        <v/>
      </c>
      <c r="B842" s="17" t="inlineStr">
        <is>
          <t>S7</t>
        </is>
      </c>
      <c r="C842" s="17" t="inlineStr">
        <is>
          <t>Dermatologie - Endocrinologie</t>
        </is>
      </c>
      <c r="D842" s="17" t="inlineStr">
        <is>
          <t>Dermatologie</t>
        </is>
      </c>
      <c r="E842" s="17" t="inlineStr">
        <is>
          <t>Dermatoses bulleuses</t>
        </is>
      </c>
      <c r="F842" s="18" t="n"/>
      <c r="G842" s="19" t="n"/>
      <c r="H842" s="20">
        <f>IF($G842="",1,IF($G842=0,1,IF($G842=1,3,IF($G842=2,7,IF($G842=3,14,IF($G842=4,30,60))))))</f>
        <v/>
      </c>
      <c r="I842" s="21">
        <f>IF($F842="","",$F842+$H842)</f>
        <v/>
      </c>
      <c r="J842">
        <f>IF($F842="","⚪ NEW",IF($G842&gt;=5,"✅ DONE",IF($I842&lt;TODAY(),"🔴 OVERDUE",IF($I842=TODAY(),"🟢 TODAY",IF($I842=TODAY()+1,"🔵 TOMORROW",IF($I842&lt;=TODAY()+7,"📅 THIS WEEK","⏳ SCHEDULED"))))))</f>
        <v/>
      </c>
      <c r="K842" s="20">
        <f>IF($F842="",999,IF($G842&gt;=5,9999,IF($I842="",999,$I842-TODAY())))</f>
        <v/>
      </c>
    </row>
    <row r="843">
      <c r="A843" s="16">
        <f>ROW()-2</f>
        <v/>
      </c>
      <c r="B843" s="17" t="inlineStr">
        <is>
          <t>S7</t>
        </is>
      </c>
      <c r="C843" s="17" t="inlineStr">
        <is>
          <t>Dermatologie - Endocrinologie</t>
        </is>
      </c>
      <c r="D843" s="17" t="inlineStr">
        <is>
          <t>Dermatologie</t>
        </is>
      </c>
      <c r="E843" s="17" t="inlineStr">
        <is>
          <t>Érythème noueux</t>
        </is>
      </c>
      <c r="F843" s="18" t="n"/>
      <c r="G843" s="19" t="n"/>
      <c r="H843" s="20">
        <f>IF($G843="",1,IF($G843=0,1,IF($G843=1,3,IF($G843=2,7,IF($G843=3,14,IF($G843=4,30,60))))))</f>
        <v/>
      </c>
      <c r="I843" s="21">
        <f>IF($F843="","",$F843+$H843)</f>
        <v/>
      </c>
      <c r="J843">
        <f>IF($F843="","⚪ NEW",IF($G843&gt;=5,"✅ DONE",IF($I843&lt;TODAY(),"🔴 OVERDUE",IF($I843=TODAY(),"🟢 TODAY",IF($I843=TODAY()+1,"🔵 TOMORROW",IF($I843&lt;=TODAY()+7,"📅 THIS WEEK","⏳ SCHEDULED"))))))</f>
        <v/>
      </c>
      <c r="K843" s="20">
        <f>IF($F843="",999,IF($G843&gt;=5,9999,IF($I843="",999,$I843-TODAY())))</f>
        <v/>
      </c>
    </row>
    <row r="844">
      <c r="A844" s="16">
        <f>ROW()-2</f>
        <v/>
      </c>
      <c r="B844" s="17" t="inlineStr">
        <is>
          <t>S7</t>
        </is>
      </c>
      <c r="C844" s="17" t="inlineStr">
        <is>
          <t>Dermatologie - Endocrinologie</t>
        </is>
      </c>
      <c r="D844" s="17" t="inlineStr">
        <is>
          <t>Dermatologie</t>
        </is>
      </c>
      <c r="E844" s="17" t="inlineStr">
        <is>
          <t>Prurit</t>
        </is>
      </c>
      <c r="F844" s="18" t="n"/>
      <c r="G844" s="19" t="n"/>
      <c r="H844" s="20">
        <f>IF($G844="",1,IF($G844=0,1,IF($G844=1,3,IF($G844=2,7,IF($G844=3,14,IF($G844=4,30,60))))))</f>
        <v/>
      </c>
      <c r="I844" s="21">
        <f>IF($F844="","",$F844+$H844)</f>
        <v/>
      </c>
      <c r="J844">
        <f>IF($F844="","⚪ NEW",IF($G844&gt;=5,"✅ DONE",IF($I844&lt;TODAY(),"🔴 OVERDUE",IF($I844=TODAY(),"🟢 TODAY",IF($I844=TODAY()+1,"🔵 TOMORROW",IF($I844&lt;=TODAY()+7,"📅 THIS WEEK","⏳ SCHEDULED"))))))</f>
        <v/>
      </c>
      <c r="K844" s="20">
        <f>IF($F844="",999,IF($G844&gt;=5,9999,IF($I844="",999,$I844-TODAY())))</f>
        <v/>
      </c>
    </row>
    <row r="845">
      <c r="A845" s="16">
        <f>ROW()-2</f>
        <v/>
      </c>
      <c r="B845" s="17" t="inlineStr">
        <is>
          <t>S7</t>
        </is>
      </c>
      <c r="C845" s="17" t="inlineStr">
        <is>
          <t>Dermatologie - Endocrinologie</t>
        </is>
      </c>
      <c r="D845" s="17" t="inlineStr">
        <is>
          <t>Dermatologie</t>
        </is>
      </c>
      <c r="E845" s="17" t="inlineStr">
        <is>
          <t>Tuberculose cutanée</t>
        </is>
      </c>
      <c r="F845" s="18" t="n"/>
      <c r="G845" s="19" t="n"/>
      <c r="H845" s="20">
        <f>IF($G845="",1,IF($G845=0,1,IF($G845=1,3,IF($G845=2,7,IF($G845=3,14,IF($G845=4,30,60))))))</f>
        <v/>
      </c>
      <c r="I845" s="21">
        <f>IF($F845="","",$F845+$H845)</f>
        <v/>
      </c>
      <c r="J845">
        <f>IF($F845="","⚪ NEW",IF($G845&gt;=5,"✅ DONE",IF($I845&lt;TODAY(),"🔴 OVERDUE",IF($I845=TODAY(),"🟢 TODAY",IF($I845=TODAY()+1,"🔵 TOMORROW",IF($I845&lt;=TODAY()+7,"📅 THIS WEEK","⏳ SCHEDULED"))))))</f>
        <v/>
      </c>
      <c r="K845" s="20">
        <f>IF($F845="",999,IF($G845&gt;=5,9999,IF($I845="",999,$I845-TODAY())))</f>
        <v/>
      </c>
    </row>
    <row r="846">
      <c r="A846" s="16">
        <f>ROW()-2</f>
        <v/>
      </c>
      <c r="B846" s="17" t="inlineStr">
        <is>
          <t>S7</t>
        </is>
      </c>
      <c r="C846" s="17" t="inlineStr">
        <is>
          <t>Dermatologie - Endocrinologie</t>
        </is>
      </c>
      <c r="D846" s="17" t="inlineStr">
        <is>
          <t>Dermatologie</t>
        </is>
      </c>
      <c r="E846" s="17" t="inlineStr">
        <is>
          <t>La lèpre</t>
        </is>
      </c>
      <c r="F846" s="18" t="n"/>
      <c r="G846" s="19" t="n"/>
      <c r="H846" s="20">
        <f>IF($G846="",1,IF($G846=0,1,IF($G846=1,3,IF($G846=2,7,IF($G846=3,14,IF($G846=4,30,60))))))</f>
        <v/>
      </c>
      <c r="I846" s="21">
        <f>IF($F846="","",$F846+$H846)</f>
        <v/>
      </c>
      <c r="J846">
        <f>IF($F846="","⚪ NEW",IF($G846&gt;=5,"✅ DONE",IF($I846&lt;TODAY(),"🔴 OVERDUE",IF($I846=TODAY(),"🟢 TODAY",IF($I846=TODAY()+1,"🔵 TOMORROW",IF($I846&lt;=TODAY()+7,"📅 THIS WEEK","⏳ SCHEDULED"))))))</f>
        <v/>
      </c>
      <c r="K846" s="20">
        <f>IF($F846="",999,IF($G846&gt;=5,9999,IF($I846="",999,$I846-TODAY())))</f>
        <v/>
      </c>
    </row>
    <row r="847">
      <c r="A847" s="16">
        <f>ROW()-2</f>
        <v/>
      </c>
      <c r="B847" s="17" t="inlineStr">
        <is>
          <t>S7</t>
        </is>
      </c>
      <c r="C847" s="17" t="inlineStr">
        <is>
          <t>Dermatologie - Endocrinologie</t>
        </is>
      </c>
      <c r="D847" s="17" t="inlineStr">
        <is>
          <t>Dermatologie</t>
        </is>
      </c>
      <c r="E847" s="17" t="inlineStr">
        <is>
          <t>Infections cutanées à HSV</t>
        </is>
      </c>
      <c r="F847" s="18" t="n"/>
      <c r="G847" s="19" t="n"/>
      <c r="H847" s="20">
        <f>IF($G847="",1,IF($G847=0,1,IF($G847=1,3,IF($G847=2,7,IF($G847=3,14,IF($G847=4,30,60))))))</f>
        <v/>
      </c>
      <c r="I847" s="21">
        <f>IF($F847="","",$F847+$H847)</f>
        <v/>
      </c>
      <c r="J847">
        <f>IF($F847="","⚪ NEW",IF($G847&gt;=5,"✅ DONE",IF($I847&lt;TODAY(),"🔴 OVERDUE",IF($I847=TODAY(),"🟢 TODAY",IF($I847=TODAY()+1,"🔵 TOMORROW",IF($I847&lt;=TODAY()+7,"📅 THIS WEEK","⏳ SCHEDULED"))))))</f>
        <v/>
      </c>
      <c r="K847" s="20">
        <f>IF($F847="",999,IF($G847&gt;=5,9999,IF($I847="",999,$I847-TODAY())))</f>
        <v/>
      </c>
    </row>
    <row r="848">
      <c r="A848" s="16">
        <f>ROW()-2</f>
        <v/>
      </c>
      <c r="B848" s="17" t="inlineStr">
        <is>
          <t>S7</t>
        </is>
      </c>
      <c r="C848" s="17" t="inlineStr">
        <is>
          <t>Dermatologie - Endocrinologie</t>
        </is>
      </c>
      <c r="D848" s="17" t="inlineStr">
        <is>
          <t>Dermatologie</t>
        </is>
      </c>
      <c r="E848" s="17" t="inlineStr">
        <is>
          <t>Infections cutanées à HPV (papillomavirus)</t>
        </is>
      </c>
      <c r="F848" s="18" t="n"/>
      <c r="G848" s="19" t="n"/>
      <c r="H848" s="20">
        <f>IF($G848="",1,IF($G848=0,1,IF($G848=1,3,IF($G848=2,7,IF($G848=3,14,IF($G848=4,30,60))))))</f>
        <v/>
      </c>
      <c r="I848" s="21">
        <f>IF($F848="","",$F848+$H848)</f>
        <v/>
      </c>
      <c r="J848">
        <f>IF($F848="","⚪ NEW",IF($G848&gt;=5,"✅ DONE",IF($I848&lt;TODAY(),"🔴 OVERDUE",IF($I848=TODAY(),"🟢 TODAY",IF($I848=TODAY()+1,"🔵 TOMORROW",IF($I848&lt;=TODAY()+7,"📅 THIS WEEK","⏳ SCHEDULED"))))))</f>
        <v/>
      </c>
      <c r="K848" s="20">
        <f>IF($F848="",999,IF($G848&gt;=5,9999,IF($I848="",999,$I848-TODAY())))</f>
        <v/>
      </c>
    </row>
    <row r="849">
      <c r="A849" s="16">
        <f>ROW()-2</f>
        <v/>
      </c>
      <c r="B849" s="17" t="inlineStr">
        <is>
          <t>S7</t>
        </is>
      </c>
      <c r="C849" s="17" t="inlineStr">
        <is>
          <t>Dermatologie - Endocrinologie</t>
        </is>
      </c>
      <c r="D849" s="17" t="inlineStr">
        <is>
          <t>Dermatologie</t>
        </is>
      </c>
      <c r="E849" s="17" t="inlineStr">
        <is>
          <t>Molluscum contagiosum</t>
        </is>
      </c>
      <c r="F849" s="18" t="n"/>
      <c r="G849" s="19" t="n"/>
      <c r="H849" s="20">
        <f>IF($G849="",1,IF($G849=0,1,IF($G849=1,3,IF($G849=2,7,IF($G849=3,14,IF($G849=4,30,60))))))</f>
        <v/>
      </c>
      <c r="I849" s="21">
        <f>IF($F849="","",$F849+$H849)</f>
        <v/>
      </c>
      <c r="J849">
        <f>IF($F849="","⚪ NEW",IF($G849&gt;=5,"✅ DONE",IF($I849&lt;TODAY(),"🔴 OVERDUE",IF($I849=TODAY(),"🟢 TODAY",IF($I849=TODAY()+1,"🔵 TOMORROW",IF($I849&lt;=TODAY()+7,"📅 THIS WEEK","⏳ SCHEDULED"))))))</f>
        <v/>
      </c>
      <c r="K849" s="20">
        <f>IF($F849="",999,IF($G849&gt;=5,9999,IF($I849="",999,$I849-TODAY())))</f>
        <v/>
      </c>
    </row>
    <row r="850">
      <c r="A850" s="16">
        <f>ROW()-2</f>
        <v/>
      </c>
      <c r="B850" s="17" t="inlineStr">
        <is>
          <t>S7</t>
        </is>
      </c>
      <c r="C850" s="17" t="inlineStr">
        <is>
          <t>Dermatologie - Endocrinologie</t>
        </is>
      </c>
      <c r="D850" s="17" t="inlineStr">
        <is>
          <t>Dermatologie</t>
        </is>
      </c>
      <c r="E850" s="17" t="inlineStr">
        <is>
          <t>Mycoses superficielles</t>
        </is>
      </c>
      <c r="F850" s="18" t="n"/>
      <c r="G850" s="19" t="n"/>
      <c r="H850" s="20">
        <f>IF($G850="",1,IF($G850=0,1,IF($G850=1,3,IF($G850=2,7,IF($G850=3,14,IF($G850=4,30,60))))))</f>
        <v/>
      </c>
      <c r="I850" s="21">
        <f>IF($F850="","",$F850+$H850)</f>
        <v/>
      </c>
      <c r="J850">
        <f>IF($F850="","⚪ NEW",IF($G850&gt;=5,"✅ DONE",IF($I850&lt;TODAY(),"🔴 OVERDUE",IF($I850=TODAY(),"🟢 TODAY",IF($I850=TODAY()+1,"🔵 TOMORROW",IF($I850&lt;=TODAY()+7,"📅 THIS WEEK","⏳ SCHEDULED"))))))</f>
        <v/>
      </c>
      <c r="K850" s="20">
        <f>IF($F850="",999,IF($G850&gt;=5,9999,IF($I850="",999,$I850-TODAY())))</f>
        <v/>
      </c>
    </row>
    <row r="851">
      <c r="A851" s="16">
        <f>ROW()-2</f>
        <v/>
      </c>
      <c r="B851" s="17" t="inlineStr">
        <is>
          <t>S7</t>
        </is>
      </c>
      <c r="C851" s="17" t="inlineStr">
        <is>
          <t>Dermatologie - Endocrinologie</t>
        </is>
      </c>
      <c r="D851" s="17" t="inlineStr">
        <is>
          <t>Dermatologie</t>
        </is>
      </c>
      <c r="E851" s="17" t="inlineStr">
        <is>
          <t>Infections cutanées à virus varicelle-zona</t>
        </is>
      </c>
      <c r="F851" s="18" t="n"/>
      <c r="G851" s="19" t="n"/>
      <c r="H851" s="20">
        <f>IF($G851="",1,IF($G851=0,1,IF($G851=1,3,IF($G851=2,7,IF($G851=3,14,IF($G851=4,30,60))))))</f>
        <v/>
      </c>
      <c r="I851" s="21">
        <f>IF($F851="","",$F851+$H851)</f>
        <v/>
      </c>
      <c r="J851">
        <f>IF($F851="","⚪ NEW",IF($G851&gt;=5,"✅ DONE",IF($I851&lt;TODAY(),"🔴 OVERDUE",IF($I851=TODAY(),"🟢 TODAY",IF($I851=TODAY()+1,"🔵 TOMORROW",IF($I851&lt;=TODAY()+7,"📅 THIS WEEK","⏳ SCHEDULED"))))))</f>
        <v/>
      </c>
      <c r="K851" s="20">
        <f>IF($F851="",999,IF($G851&gt;=5,9999,IF($I851="",999,$I851-TODAY())))</f>
        <v/>
      </c>
    </row>
    <row r="852">
      <c r="A852" s="16">
        <f>ROW()-2</f>
        <v/>
      </c>
      <c r="B852" s="17" t="inlineStr">
        <is>
          <t>S7</t>
        </is>
      </c>
      <c r="C852" s="17" t="inlineStr">
        <is>
          <t>Dermatologie - Endocrinologie</t>
        </is>
      </c>
      <c r="D852" s="17" t="inlineStr">
        <is>
          <t>Dermatologie</t>
        </is>
      </c>
      <c r="E852" s="17" t="inlineStr">
        <is>
          <t>Dermatoses bactériennes</t>
        </is>
      </c>
      <c r="F852" s="18" t="n"/>
      <c r="G852" s="19" t="n"/>
      <c r="H852" s="20">
        <f>IF($G852="",1,IF($G852=0,1,IF($G852=1,3,IF($G852=2,7,IF($G852=3,14,IF($G852=4,30,60))))))</f>
        <v/>
      </c>
      <c r="I852" s="21">
        <f>IF($F852="","",$F852+$H852)</f>
        <v/>
      </c>
      <c r="J852">
        <f>IF($F852="","⚪ NEW",IF($G852&gt;=5,"✅ DONE",IF($I852&lt;TODAY(),"🔴 OVERDUE",IF($I852=TODAY(),"🟢 TODAY",IF($I852=TODAY()+1,"🔵 TOMORROW",IF($I852&lt;=TODAY()+7,"📅 THIS WEEK","⏳ SCHEDULED"))))))</f>
        <v/>
      </c>
      <c r="K852" s="20">
        <f>IF($F852="",999,IF($G852&gt;=5,9999,IF($I852="",999,$I852-TODAY())))</f>
        <v/>
      </c>
    </row>
    <row r="853">
      <c r="A853" s="16">
        <f>ROW()-2</f>
        <v/>
      </c>
      <c r="B853" s="17" t="inlineStr">
        <is>
          <t>S7</t>
        </is>
      </c>
      <c r="C853" s="17" t="inlineStr">
        <is>
          <t>Dermatologie - Endocrinologie</t>
        </is>
      </c>
      <c r="D853" s="17" t="inlineStr">
        <is>
          <t>Dermatologie</t>
        </is>
      </c>
      <c r="E853" s="17" t="inlineStr">
        <is>
          <t>Les ectoparasitoses</t>
        </is>
      </c>
      <c r="F853" s="18" t="n"/>
      <c r="G853" s="19" t="n"/>
      <c r="H853" s="20">
        <f>IF($G853="",1,IF($G853=0,1,IF($G853=1,3,IF($G853=2,7,IF($G853=3,14,IF($G853=4,30,60))))))</f>
        <v/>
      </c>
      <c r="I853" s="21">
        <f>IF($F853="","",$F853+$H853)</f>
        <v/>
      </c>
      <c r="J853">
        <f>IF($F853="","⚪ NEW",IF($G853&gt;=5,"✅ DONE",IF($I853&lt;TODAY(),"🔴 OVERDUE",IF($I853=TODAY(),"🟢 TODAY",IF($I853=TODAY()+1,"🔵 TOMORROW",IF($I853&lt;=TODAY()+7,"📅 THIS WEEK","⏳ SCHEDULED"))))))</f>
        <v/>
      </c>
      <c r="K853" s="20">
        <f>IF($F853="",999,IF($G853&gt;=5,9999,IF($I853="",999,$I853-TODAY())))</f>
        <v/>
      </c>
    </row>
    <row r="854">
      <c r="A854" s="16">
        <f>ROW()-2</f>
        <v/>
      </c>
      <c r="B854" s="17" t="inlineStr">
        <is>
          <t>S7</t>
        </is>
      </c>
      <c r="C854" s="17" t="inlineStr">
        <is>
          <t>Dermatologie - Endocrinologie</t>
        </is>
      </c>
      <c r="D854" s="17" t="inlineStr">
        <is>
          <t>Dermatologie</t>
        </is>
      </c>
      <c r="E854" s="17" t="inlineStr">
        <is>
          <t>Eczémas</t>
        </is>
      </c>
      <c r="F854" s="18" t="n"/>
      <c r="G854" s="19" t="n"/>
      <c r="H854" s="20">
        <f>IF($G854="",1,IF($G854=0,1,IF($G854=1,3,IF($G854=2,7,IF($G854=3,14,IF($G854=4,30,60))))))</f>
        <v/>
      </c>
      <c r="I854" s="21">
        <f>IF($F854="","",$F854+$H854)</f>
        <v/>
      </c>
      <c r="J854">
        <f>IF($F854="","⚪ NEW",IF($G854&gt;=5,"✅ DONE",IF($I854&lt;TODAY(),"🔴 OVERDUE",IF($I854=TODAY(),"🟢 TODAY",IF($I854=TODAY()+1,"🔵 TOMORROW",IF($I854&lt;=TODAY()+7,"📅 THIS WEEK","⏳ SCHEDULED"))))))</f>
        <v/>
      </c>
      <c r="K854" s="20">
        <f>IF($F854="",999,IF($G854&gt;=5,9999,IF($I854="",999,$I854-TODAY())))</f>
        <v/>
      </c>
    </row>
    <row r="855">
      <c r="A855" s="16">
        <f>ROW()-2</f>
        <v/>
      </c>
      <c r="B855" s="17" t="inlineStr">
        <is>
          <t>S7</t>
        </is>
      </c>
      <c r="C855" s="17" t="inlineStr">
        <is>
          <t>Dermatologie - Endocrinologie</t>
        </is>
      </c>
      <c r="D855" s="17" t="inlineStr">
        <is>
          <t>Endocrinologie</t>
        </is>
      </c>
      <c r="E855" s="17" t="inlineStr">
        <is>
          <t>Pathologie thyroïdienne</t>
        </is>
      </c>
      <c r="F855" s="18" t="n"/>
      <c r="G855" s="19" t="n"/>
      <c r="H855" s="20">
        <f>IF($G855="",1,IF($G855=0,1,IF($G855=1,3,IF($G855=2,7,IF($G855=3,14,IF($G855=4,30,60))))))</f>
        <v/>
      </c>
      <c r="I855" s="21">
        <f>IF($F855="","",$F855+$H855)</f>
        <v/>
      </c>
      <c r="J855">
        <f>IF($F855="","⚪ NEW",IF($G855&gt;=5,"✅ DONE",IF($I855&lt;TODAY(),"🔴 OVERDUE",IF($I855=TODAY(),"🟢 TODAY",IF($I855=TODAY()+1,"🔵 TOMORROW",IF($I855&lt;=TODAY()+7,"📅 THIS WEEK","⏳ SCHEDULED"))))))</f>
        <v/>
      </c>
      <c r="K855" s="20">
        <f>IF($F855="",999,IF($G855&gt;=5,9999,IF($I855="",999,$I855-TODAY())))</f>
        <v/>
      </c>
    </row>
    <row r="856">
      <c r="A856" s="16">
        <f>ROW()-2</f>
        <v/>
      </c>
      <c r="B856" s="17" t="inlineStr">
        <is>
          <t>S7</t>
        </is>
      </c>
      <c r="C856" s="17" t="inlineStr">
        <is>
          <t>Dermatologie - Endocrinologie</t>
        </is>
      </c>
      <c r="D856" s="17" t="inlineStr">
        <is>
          <t>Endocrinologie</t>
        </is>
      </c>
      <c r="E856" s="17" t="inlineStr">
        <is>
          <t>Nodule thyroïdien</t>
        </is>
      </c>
      <c r="F856" s="18" t="n"/>
      <c r="G856" s="19" t="n"/>
      <c r="H856" s="20">
        <f>IF($G856="",1,IF($G856=0,1,IF($G856=1,3,IF($G856=2,7,IF($G856=3,14,IF($G856=4,30,60))))))</f>
        <v/>
      </c>
      <c r="I856" s="21">
        <f>IF($F856="","",$F856+$H856)</f>
        <v/>
      </c>
      <c r="J856">
        <f>IF($F856="","⚪ NEW",IF($G856&gt;=5,"✅ DONE",IF($I856&lt;TODAY(),"🔴 OVERDUE",IF($I856=TODAY(),"🟢 TODAY",IF($I856=TODAY()+1,"🔵 TOMORROW",IF($I856&lt;=TODAY()+7,"📅 THIS WEEK","⏳ SCHEDULED"))))))</f>
        <v/>
      </c>
      <c r="K856" s="20">
        <f>IF($F856="",999,IF($G856&gt;=5,9999,IF($I856="",999,$I856-TODAY())))</f>
        <v/>
      </c>
    </row>
    <row r="857">
      <c r="A857" s="16">
        <f>ROW()-2</f>
        <v/>
      </c>
      <c r="B857" s="17" t="inlineStr">
        <is>
          <t>S7</t>
        </is>
      </c>
      <c r="C857" s="17" t="inlineStr">
        <is>
          <t>Dermatologie - Endocrinologie</t>
        </is>
      </c>
      <c r="D857" s="17" t="inlineStr">
        <is>
          <t>Endocrinologie</t>
        </is>
      </c>
      <c r="E857" s="17" t="inlineStr">
        <is>
          <t>Nutrition clinique</t>
        </is>
      </c>
      <c r="F857" s="18" t="n"/>
      <c r="G857" s="19" t="n"/>
      <c r="H857" s="20">
        <f>IF($G857="",1,IF($G857=0,1,IF($G857=1,3,IF($G857=2,7,IF($G857=3,14,IF($G857=4,30,60))))))</f>
        <v/>
      </c>
      <c r="I857" s="21">
        <f>IF($F857="","",$F857+$H857)</f>
        <v/>
      </c>
      <c r="J857">
        <f>IF($F857="","⚪ NEW",IF($G857&gt;=5,"✅ DONE",IF($I857&lt;TODAY(),"🔴 OVERDUE",IF($I857=TODAY(),"🟢 TODAY",IF($I857=TODAY()+1,"🔵 TOMORROW",IF($I857&lt;=TODAY()+7,"📅 THIS WEEK","⏳ SCHEDULED"))))))</f>
        <v/>
      </c>
      <c r="K857" s="20">
        <f>IF($F857="",999,IF($G857&gt;=5,9999,IF($I857="",999,$I857-TODAY())))</f>
        <v/>
      </c>
    </row>
    <row r="858">
      <c r="A858" s="16">
        <f>ROW()-2</f>
        <v/>
      </c>
      <c r="B858" s="17" t="inlineStr">
        <is>
          <t>S7</t>
        </is>
      </c>
      <c r="C858" s="17" t="inlineStr">
        <is>
          <t>Dermatologie - Endocrinologie</t>
        </is>
      </c>
      <c r="D858" s="17" t="inlineStr">
        <is>
          <t>Endocrinologie</t>
        </is>
      </c>
      <c r="E858" s="17" t="inlineStr">
        <is>
          <t>Adénome hypophysaire</t>
        </is>
      </c>
      <c r="F858" s="18" t="n"/>
      <c r="G858" s="19" t="n"/>
      <c r="H858" s="20">
        <f>IF($G858="",1,IF($G858=0,1,IF($G858=1,3,IF($G858=2,7,IF($G858=3,14,IF($G858=4,30,60))))))</f>
        <v/>
      </c>
      <c r="I858" s="21">
        <f>IF($F858="","",$F858+$H858)</f>
        <v/>
      </c>
      <c r="J858">
        <f>IF($F858="","⚪ NEW",IF($G858&gt;=5,"✅ DONE",IF($I858&lt;TODAY(),"🔴 OVERDUE",IF($I858=TODAY(),"🟢 TODAY",IF($I858=TODAY()+1,"🔵 TOMORROW",IF($I858&lt;=TODAY()+7,"📅 THIS WEEK","⏳ SCHEDULED"))))))</f>
        <v/>
      </c>
      <c r="K858" s="20">
        <f>IF($F858="",999,IF($G858&gt;=5,9999,IF($I858="",999,$I858-TODAY())))</f>
        <v/>
      </c>
    </row>
    <row r="859">
      <c r="A859" s="16">
        <f>ROW()-2</f>
        <v/>
      </c>
      <c r="B859" s="17" t="inlineStr">
        <is>
          <t>S7</t>
        </is>
      </c>
      <c r="C859" s="17" t="inlineStr">
        <is>
          <t>Dermatologie - Endocrinologie</t>
        </is>
      </c>
      <c r="D859" s="17" t="inlineStr">
        <is>
          <t>Endocrinologie</t>
        </is>
      </c>
      <c r="E859" s="17" t="inlineStr">
        <is>
          <t>Syndrome de Cushing</t>
        </is>
      </c>
      <c r="F859" s="18" t="n"/>
      <c r="G859" s="19" t="n"/>
      <c r="H859" s="20">
        <f>IF($G859="",1,IF($G859=0,1,IF($G859=1,3,IF($G859=2,7,IF($G859=3,14,IF($G859=4,30,60))))))</f>
        <v/>
      </c>
      <c r="I859" s="21">
        <f>IF($F859="","",$F859+$H859)</f>
        <v/>
      </c>
      <c r="J859">
        <f>IF($F859="","⚪ NEW",IF($G859&gt;=5,"✅ DONE",IF($I859&lt;TODAY(),"🔴 OVERDUE",IF($I859=TODAY(),"🟢 TODAY",IF($I859=TODAY()+1,"🔵 TOMORROW",IF($I859&lt;=TODAY()+7,"📅 THIS WEEK","⏳ SCHEDULED"))))))</f>
        <v/>
      </c>
      <c r="K859" s="20">
        <f>IF($F859="",999,IF($G859&gt;=5,9999,IF($I859="",999,$I859-TODAY())))</f>
        <v/>
      </c>
    </row>
    <row r="860">
      <c r="A860" s="16">
        <f>ROW()-2</f>
        <v/>
      </c>
      <c r="B860" s="17" t="inlineStr">
        <is>
          <t>S7</t>
        </is>
      </c>
      <c r="C860" s="17" t="inlineStr">
        <is>
          <t>Dermatologie - Endocrinologie</t>
        </is>
      </c>
      <c r="D860" s="17" t="inlineStr">
        <is>
          <t>Endocrinologie</t>
        </is>
      </c>
      <c r="E860" s="17" t="inlineStr">
        <is>
          <t>L'obésité chez l'adulte</t>
        </is>
      </c>
      <c r="F860" s="18" t="n"/>
      <c r="G860" s="19" t="n"/>
      <c r="H860" s="20">
        <f>IF($G860="",1,IF($G860=0,1,IF($G860=1,3,IF($G860=2,7,IF($G860=3,14,IF($G860=4,30,60))))))</f>
        <v/>
      </c>
      <c r="I860" s="21">
        <f>IF($F860="","",$F860+$H860)</f>
        <v/>
      </c>
      <c r="J860">
        <f>IF($F860="","⚪ NEW",IF($G860&gt;=5,"✅ DONE",IF($I860&lt;TODAY(),"🔴 OVERDUE",IF($I860=TODAY(),"🟢 TODAY",IF($I860=TODAY()+1,"🔵 TOMORROW",IF($I860&lt;=TODAY()+7,"📅 THIS WEEK","⏳ SCHEDULED"))))))</f>
        <v/>
      </c>
      <c r="K860" s="20">
        <f>IF($F860="",999,IF($G860&gt;=5,9999,IF($I860="",999,$I860-TODAY())))</f>
        <v/>
      </c>
    </row>
    <row r="861">
      <c r="A861" s="16">
        <f>ROW()-2</f>
        <v/>
      </c>
      <c r="B861" s="17" t="inlineStr">
        <is>
          <t>S7</t>
        </is>
      </c>
      <c r="C861" s="17" t="inlineStr">
        <is>
          <t>Dermatologie - Endocrinologie</t>
        </is>
      </c>
      <c r="D861" s="17" t="inlineStr">
        <is>
          <t>Endocrinologie</t>
        </is>
      </c>
      <c r="E861" s="17" t="inlineStr">
        <is>
          <t>Insuffisance surrénalienne</t>
        </is>
      </c>
      <c r="F861" s="18" t="n"/>
      <c r="G861" s="19" t="n"/>
      <c r="H861" s="20">
        <f>IF($G861="",1,IF($G861=0,1,IF($G861=1,3,IF($G861=2,7,IF($G861=3,14,IF($G861=4,30,60))))))</f>
        <v/>
      </c>
      <c r="I861" s="21">
        <f>IF($F861="","",$F861+$H861)</f>
        <v/>
      </c>
      <c r="J861">
        <f>IF($F861="","⚪ NEW",IF($G861&gt;=5,"✅ DONE",IF($I861&lt;TODAY(),"🔴 OVERDUE",IF($I861=TODAY(),"🟢 TODAY",IF($I861=TODAY()+1,"🔵 TOMORROW",IF($I861&lt;=TODAY()+7,"📅 THIS WEEK","⏳ SCHEDULED"))))))</f>
        <v/>
      </c>
      <c r="K861" s="20">
        <f>IF($F861="",999,IF($G861&gt;=5,9999,IF($I861="",999,$I861-TODAY())))</f>
        <v/>
      </c>
    </row>
    <row r="862">
      <c r="A862" s="16">
        <f>ROW()-2</f>
        <v/>
      </c>
      <c r="B862" s="17" t="inlineStr">
        <is>
          <t>S7</t>
        </is>
      </c>
      <c r="C862" s="17" t="inlineStr">
        <is>
          <t>Dermatologie - Endocrinologie</t>
        </is>
      </c>
      <c r="D862" s="17" t="inlineStr">
        <is>
          <t>Endocrinologie</t>
        </is>
      </c>
      <c r="E862" s="17" t="inlineStr">
        <is>
          <t>Diabète : définition et classification</t>
        </is>
      </c>
      <c r="F862" s="18" t="n"/>
      <c r="G862" s="19" t="n"/>
      <c r="H862" s="20">
        <f>IF($G862="",1,IF($G862=0,1,IF($G862=1,3,IF($G862=2,7,IF($G862=3,14,IF($G862=4,30,60))))))</f>
        <v/>
      </c>
      <c r="I862" s="21">
        <f>IF($F862="","",$F862+$H862)</f>
        <v/>
      </c>
      <c r="J862">
        <f>IF($F862="","⚪ NEW",IF($G862&gt;=5,"✅ DONE",IF($I862&lt;TODAY(),"🔴 OVERDUE",IF($I862=TODAY(),"🟢 TODAY",IF($I862=TODAY()+1,"🔵 TOMORROW",IF($I862&lt;=TODAY()+7,"📅 THIS WEEK","⏳ SCHEDULED"))))))</f>
        <v/>
      </c>
      <c r="K862" s="20">
        <f>IF($F862="",999,IF($G862&gt;=5,9999,IF($I862="",999,$I862-TODAY())))</f>
        <v/>
      </c>
    </row>
    <row r="863">
      <c r="A863" s="16">
        <f>ROW()-2</f>
        <v/>
      </c>
      <c r="B863" s="17" t="inlineStr">
        <is>
          <t>S7</t>
        </is>
      </c>
      <c r="C863" s="17" t="inlineStr">
        <is>
          <t>Dermatologie - Endocrinologie</t>
        </is>
      </c>
      <c r="D863" s="17" t="inlineStr">
        <is>
          <t>Endocrinologie</t>
        </is>
      </c>
      <c r="E863" s="17" t="inlineStr">
        <is>
          <t>Diabète type 1</t>
        </is>
      </c>
      <c r="F863" s="18" t="n"/>
      <c r="G863" s="19" t="n"/>
      <c r="H863" s="20">
        <f>IF($G863="",1,IF($G863=0,1,IF($G863=1,3,IF($G863=2,7,IF($G863=3,14,IF($G863=4,30,60))))))</f>
        <v/>
      </c>
      <c r="I863" s="21">
        <f>IF($F863="","",$F863+$H863)</f>
        <v/>
      </c>
      <c r="J863">
        <f>IF($F863="","⚪ NEW",IF($G863&gt;=5,"✅ DONE",IF($I863&lt;TODAY(),"🔴 OVERDUE",IF($I863=TODAY(),"🟢 TODAY",IF($I863=TODAY()+1,"🔵 TOMORROW",IF($I863&lt;=TODAY()+7,"📅 THIS WEEK","⏳ SCHEDULED"))))))</f>
        <v/>
      </c>
      <c r="K863" s="20">
        <f>IF($F863="",999,IF($G863&gt;=5,9999,IF($I863="",999,$I863-TODAY())))</f>
        <v/>
      </c>
    </row>
    <row r="864">
      <c r="A864" s="16">
        <f>ROW()-2</f>
        <v/>
      </c>
      <c r="B864" s="17" t="inlineStr">
        <is>
          <t>S7</t>
        </is>
      </c>
      <c r="C864" s="17" t="inlineStr">
        <is>
          <t>Dermatologie - Endocrinologie</t>
        </is>
      </c>
      <c r="D864" s="17" t="inlineStr">
        <is>
          <t>Endocrinologie</t>
        </is>
      </c>
      <c r="E864" s="17" t="inlineStr">
        <is>
          <t>Diabète type 2</t>
        </is>
      </c>
      <c r="F864" s="18" t="n"/>
      <c r="G864" s="19" t="n"/>
      <c r="H864" s="20">
        <f>IF($G864="",1,IF($G864=0,1,IF($G864=1,3,IF($G864=2,7,IF($G864=3,14,IF($G864=4,30,60))))))</f>
        <v/>
      </c>
      <c r="I864" s="21">
        <f>IF($F864="","",$F864+$H864)</f>
        <v/>
      </c>
      <c r="J864">
        <f>IF($F864="","⚪ NEW",IF($G864&gt;=5,"✅ DONE",IF($I864&lt;TODAY(),"🔴 OVERDUE",IF($I864=TODAY(),"🟢 TODAY",IF($I864=TODAY()+1,"🔵 TOMORROW",IF($I864&lt;=TODAY()+7,"📅 THIS WEEK","⏳ SCHEDULED"))))))</f>
        <v/>
      </c>
      <c r="K864" s="20">
        <f>IF($F864="",999,IF($G864&gt;=5,9999,IF($I864="",999,$I864-TODAY())))</f>
        <v/>
      </c>
    </row>
    <row r="865">
      <c r="A865" s="16">
        <f>ROW()-2</f>
        <v/>
      </c>
      <c r="B865" s="17" t="inlineStr">
        <is>
          <t>S7</t>
        </is>
      </c>
      <c r="C865" s="17" t="inlineStr">
        <is>
          <t>Dermatologie - Endocrinologie</t>
        </is>
      </c>
      <c r="D865" s="17" t="inlineStr">
        <is>
          <t>Endocrinologie</t>
        </is>
      </c>
      <c r="E865" s="17" t="inlineStr">
        <is>
          <t>Diabète cortico-induit</t>
        </is>
      </c>
      <c r="F865" s="18" t="n"/>
      <c r="G865" s="19" t="n"/>
      <c r="H865" s="20">
        <f>IF($G865="",1,IF($G865=0,1,IF($G865=1,3,IF($G865=2,7,IF($G865=3,14,IF($G865=4,30,60))))))</f>
        <v/>
      </c>
      <c r="I865" s="21">
        <f>IF($F865="","",$F865+$H865)</f>
        <v/>
      </c>
      <c r="J865">
        <f>IF($F865="","⚪ NEW",IF($G865&gt;=5,"✅ DONE",IF($I865&lt;TODAY(),"🔴 OVERDUE",IF($I865=TODAY(),"🟢 TODAY",IF($I865=TODAY()+1,"🔵 TOMORROW",IF($I865&lt;=TODAY()+7,"📅 THIS WEEK","⏳ SCHEDULED"))))))</f>
        <v/>
      </c>
      <c r="K865" s="20">
        <f>IF($F865="",999,IF($G865&gt;=5,9999,IF($I865="",999,$I865-TODAY())))</f>
        <v/>
      </c>
    </row>
    <row r="866">
      <c r="A866" s="22">
        <f>ROW()-2</f>
        <v/>
      </c>
      <c r="B866" s="23" t="inlineStr">
        <is>
          <t>S7</t>
        </is>
      </c>
      <c r="C866" s="23" t="inlineStr">
        <is>
          <t>Neurologie - Neurochirurgie</t>
        </is>
      </c>
      <c r="D866" s="23" t="inlineStr">
        <is>
          <t>Neurologie</t>
        </is>
      </c>
      <c r="E866" s="23" t="inlineStr">
        <is>
          <t>Cours introductif de neurologie</t>
        </is>
      </c>
      <c r="F866" s="18" t="n"/>
      <c r="G866" s="19" t="n"/>
      <c r="H866" s="20">
        <f>IF($G866="",1,IF($G866=0,1,IF($G866=1,3,IF($G866=2,7,IF($G866=3,14,IF($G866=4,30,60))))))</f>
        <v/>
      </c>
      <c r="I866" s="21">
        <f>IF($F866="","",$F866+$H866)</f>
        <v/>
      </c>
      <c r="J866">
        <f>IF($F866="","⚪ NEW",IF($G866&gt;=5,"✅ DONE",IF($I866&lt;TODAY(),"🔴 OVERDUE",IF($I866=TODAY(),"🟢 TODAY",IF($I866=TODAY()+1,"🔵 TOMORROW",IF($I866&lt;=TODAY()+7,"📅 THIS WEEK","⏳ SCHEDULED"))))))</f>
        <v/>
      </c>
      <c r="K866" s="20">
        <f>IF($F866="",999,IF($G866&gt;=5,9999,IF($I866="",999,$I866-TODAY())))</f>
        <v/>
      </c>
    </row>
    <row r="867">
      <c r="A867" s="22">
        <f>ROW()-2</f>
        <v/>
      </c>
      <c r="B867" s="23" t="inlineStr">
        <is>
          <t>S7</t>
        </is>
      </c>
      <c r="C867" s="23" t="inlineStr">
        <is>
          <t>Neurologie - Neurochirurgie</t>
        </is>
      </c>
      <c r="D867" s="23" t="inlineStr">
        <is>
          <t>Neurologie</t>
        </is>
      </c>
      <c r="E867" s="23" t="inlineStr">
        <is>
          <t>Sclérose latérale amyotrophique</t>
        </is>
      </c>
      <c r="F867" s="18" t="n"/>
      <c r="G867" s="19" t="n"/>
      <c r="H867" s="20">
        <f>IF($G867="",1,IF($G867=0,1,IF($G867=1,3,IF($G867=2,7,IF($G867=3,14,IF($G867=4,30,60))))))</f>
        <v/>
      </c>
      <c r="I867" s="21">
        <f>IF($F867="","",$F867+$H867)</f>
        <v/>
      </c>
      <c r="J867">
        <f>IF($F867="","⚪ NEW",IF($G867&gt;=5,"✅ DONE",IF($I867&lt;TODAY(),"🔴 OVERDUE",IF($I867=TODAY(),"🟢 TODAY",IF($I867=TODAY()+1,"🔵 TOMORROW",IF($I867&lt;=TODAY()+7,"📅 THIS WEEK","⏳ SCHEDULED"))))))</f>
        <v/>
      </c>
      <c r="K867" s="20">
        <f>IF($F867="",999,IF($G867&gt;=5,9999,IF($I867="",999,$I867-TODAY())))</f>
        <v/>
      </c>
    </row>
    <row r="868">
      <c r="A868" s="22">
        <f>ROW()-2</f>
        <v/>
      </c>
      <c r="B868" s="23" t="inlineStr">
        <is>
          <t>S7</t>
        </is>
      </c>
      <c r="C868" s="23" t="inlineStr">
        <is>
          <t>Neurologie - Neurochirurgie</t>
        </is>
      </c>
      <c r="D868" s="23" t="inlineStr">
        <is>
          <t>Neurologie</t>
        </is>
      </c>
      <c r="E868" s="23" t="inlineStr">
        <is>
          <t>Neuropathies périphériques</t>
        </is>
      </c>
      <c r="F868" s="18" t="n"/>
      <c r="G868" s="19" t="n"/>
      <c r="H868" s="20">
        <f>IF($G868="",1,IF($G868=0,1,IF($G868=1,3,IF($G868=2,7,IF($G868=3,14,IF($G868=4,30,60))))))</f>
        <v/>
      </c>
      <c r="I868" s="21">
        <f>IF($F868="","",$F868+$H868)</f>
        <v/>
      </c>
      <c r="J868">
        <f>IF($F868="","⚪ NEW",IF($G868&gt;=5,"✅ DONE",IF($I868&lt;TODAY(),"🔴 OVERDUE",IF($I868=TODAY(),"🟢 TODAY",IF($I868=TODAY()+1,"🔵 TOMORROW",IF($I868&lt;=TODAY()+7,"📅 THIS WEEK","⏳ SCHEDULED"))))))</f>
        <v/>
      </c>
      <c r="K868" s="20">
        <f>IF($F868="",999,IF($G868&gt;=5,9999,IF($I868="",999,$I868-TODAY())))</f>
        <v/>
      </c>
    </row>
    <row r="869">
      <c r="A869" s="22">
        <f>ROW()-2</f>
        <v/>
      </c>
      <c r="B869" s="23" t="inlineStr">
        <is>
          <t>S7</t>
        </is>
      </c>
      <c r="C869" s="23" t="inlineStr">
        <is>
          <t>Neurologie - Neurochirurgie</t>
        </is>
      </c>
      <c r="D869" s="23" t="inlineStr">
        <is>
          <t>Neurologie</t>
        </is>
      </c>
      <c r="E869" s="23" t="inlineStr">
        <is>
          <t>Syndrome myasthénique</t>
        </is>
      </c>
      <c r="F869" s="18" t="n"/>
      <c r="G869" s="19" t="n"/>
      <c r="H869" s="20">
        <f>IF($G869="",1,IF($G869=0,1,IF($G869=1,3,IF($G869=2,7,IF($G869=3,14,IF($G869=4,30,60))))))</f>
        <v/>
      </c>
      <c r="I869" s="21">
        <f>IF($F869="","",$F869+$H869)</f>
        <v/>
      </c>
      <c r="J869">
        <f>IF($F869="","⚪ NEW",IF($G869&gt;=5,"✅ DONE",IF($I869&lt;TODAY(),"🔴 OVERDUE",IF($I869=TODAY(),"🟢 TODAY",IF($I869=TODAY()+1,"🔵 TOMORROW",IF($I869&lt;=TODAY()+7,"📅 THIS WEEK","⏳ SCHEDULED"))))))</f>
        <v/>
      </c>
      <c r="K869" s="20">
        <f>IF($F869="",999,IF($G869&gt;=5,9999,IF($I869="",999,$I869-TODAY())))</f>
        <v/>
      </c>
    </row>
    <row r="870">
      <c r="A870" s="22">
        <f>ROW()-2</f>
        <v/>
      </c>
      <c r="B870" s="23" t="inlineStr">
        <is>
          <t>S7</t>
        </is>
      </c>
      <c r="C870" s="23" t="inlineStr">
        <is>
          <t>Neurologie - Neurochirurgie</t>
        </is>
      </c>
      <c r="D870" s="23" t="inlineStr">
        <is>
          <t>Neurologie</t>
        </is>
      </c>
      <c r="E870" s="23" t="inlineStr">
        <is>
          <t>Myopathies</t>
        </is>
      </c>
      <c r="F870" s="18" t="n"/>
      <c r="G870" s="19" t="n"/>
      <c r="H870" s="20">
        <f>IF($G870="",1,IF($G870=0,1,IF($G870=1,3,IF($G870=2,7,IF($G870=3,14,IF($G870=4,30,60))))))</f>
        <v/>
      </c>
      <c r="I870" s="21">
        <f>IF($F870="","",$F870+$H870)</f>
        <v/>
      </c>
      <c r="J870">
        <f>IF($F870="","⚪ NEW",IF($G870&gt;=5,"✅ DONE",IF($I870&lt;TODAY(),"🔴 OVERDUE",IF($I870=TODAY(),"🟢 TODAY",IF($I870=TODAY()+1,"🔵 TOMORROW",IF($I870&lt;=TODAY()+7,"📅 THIS WEEK","⏳ SCHEDULED"))))))</f>
        <v/>
      </c>
      <c r="K870" s="20">
        <f>IF($F870="",999,IF($G870&gt;=5,9999,IF($I870="",999,$I870-TODAY())))</f>
        <v/>
      </c>
    </row>
    <row r="871">
      <c r="A871" s="22">
        <f>ROW()-2</f>
        <v/>
      </c>
      <c r="B871" s="23" t="inlineStr">
        <is>
          <t>S7</t>
        </is>
      </c>
      <c r="C871" s="23" t="inlineStr">
        <is>
          <t>Neurologie - Neurochirurgie</t>
        </is>
      </c>
      <c r="D871" s="23" t="inlineStr">
        <is>
          <t>Neurologie</t>
        </is>
      </c>
      <c r="E871" s="23" t="inlineStr">
        <is>
          <t>Neurosyphilis</t>
        </is>
      </c>
      <c r="F871" s="18" t="n"/>
      <c r="G871" s="19" t="n"/>
      <c r="H871" s="20">
        <f>IF($G871="",1,IF($G871=0,1,IF($G871=1,3,IF($G871=2,7,IF($G871=3,14,IF($G871=4,30,60))))))</f>
        <v/>
      </c>
      <c r="I871" s="21">
        <f>IF($F871="","",$F871+$H871)</f>
        <v/>
      </c>
      <c r="J871">
        <f>IF($F871="","⚪ NEW",IF($G871&gt;=5,"✅ DONE",IF($I871&lt;TODAY(),"🔴 OVERDUE",IF($I871=TODAY(),"🟢 TODAY",IF($I871=TODAY()+1,"🔵 TOMORROW",IF($I871&lt;=TODAY()+7,"📅 THIS WEEK","⏳ SCHEDULED"))))))</f>
        <v/>
      </c>
      <c r="K871" s="20">
        <f>IF($F871="",999,IF($G871&gt;=5,9999,IF($I871="",999,$I871-TODAY())))</f>
        <v/>
      </c>
    </row>
    <row r="872">
      <c r="A872" s="22">
        <f>ROW()-2</f>
        <v/>
      </c>
      <c r="B872" s="23" t="inlineStr">
        <is>
          <t>S7</t>
        </is>
      </c>
      <c r="C872" s="23" t="inlineStr">
        <is>
          <t>Neurologie - Neurochirurgie</t>
        </is>
      </c>
      <c r="D872" s="23" t="inlineStr">
        <is>
          <t>Neurologie</t>
        </is>
      </c>
      <c r="E872" s="23" t="inlineStr">
        <is>
          <t>Ataxie cérébelleuse</t>
        </is>
      </c>
      <c r="F872" s="18" t="n"/>
      <c r="G872" s="19" t="n"/>
      <c r="H872" s="20">
        <f>IF($G872="",1,IF($G872=0,1,IF($G872=1,3,IF($G872=2,7,IF($G872=3,14,IF($G872=4,30,60))))))</f>
        <v/>
      </c>
      <c r="I872" s="21">
        <f>IF($F872="","",$F872+$H872)</f>
        <v/>
      </c>
      <c r="J872">
        <f>IF($F872="","⚪ NEW",IF($G872&gt;=5,"✅ DONE",IF($I872&lt;TODAY(),"🔴 OVERDUE",IF($I872=TODAY(),"🟢 TODAY",IF($I872=TODAY()+1,"🔵 TOMORROW",IF($I872&lt;=TODAY()+7,"📅 THIS WEEK","⏳ SCHEDULED"))))))</f>
        <v/>
      </c>
      <c r="K872" s="20">
        <f>IF($F872="",999,IF($G872&gt;=5,9999,IF($I872="",999,$I872-TODAY())))</f>
        <v/>
      </c>
    </row>
    <row r="873">
      <c r="A873" s="22">
        <f>ROW()-2</f>
        <v/>
      </c>
      <c r="B873" s="23" t="inlineStr">
        <is>
          <t>S7</t>
        </is>
      </c>
      <c r="C873" s="23" t="inlineStr">
        <is>
          <t>Neurologie - Neurochirurgie</t>
        </is>
      </c>
      <c r="D873" s="23" t="inlineStr">
        <is>
          <t>Neurologie</t>
        </is>
      </c>
      <c r="E873" s="23" t="inlineStr">
        <is>
          <t>Les AVC ischémiques</t>
        </is>
      </c>
      <c r="F873" s="18" t="n"/>
      <c r="G873" s="19" t="n"/>
      <c r="H873" s="20">
        <f>IF($G873="",1,IF($G873=0,1,IF($G873=1,3,IF($G873=2,7,IF($G873=3,14,IF($G873=4,30,60))))))</f>
        <v/>
      </c>
      <c r="I873" s="21">
        <f>IF($F873="","",$F873+$H873)</f>
        <v/>
      </c>
      <c r="J873">
        <f>IF($F873="","⚪ NEW",IF($G873&gt;=5,"✅ DONE",IF($I873&lt;TODAY(),"🔴 OVERDUE",IF($I873=TODAY(),"🟢 TODAY",IF($I873=TODAY()+1,"🔵 TOMORROW",IF($I873&lt;=TODAY()+7,"📅 THIS WEEK","⏳ SCHEDULED"))))))</f>
        <v/>
      </c>
      <c r="K873" s="20">
        <f>IF($F873="",999,IF($G873&gt;=5,9999,IF($I873="",999,$I873-TODAY())))</f>
        <v/>
      </c>
    </row>
    <row r="874">
      <c r="A874" s="22">
        <f>ROW()-2</f>
        <v/>
      </c>
      <c r="B874" s="23" t="inlineStr">
        <is>
          <t>S7</t>
        </is>
      </c>
      <c r="C874" s="23" t="inlineStr">
        <is>
          <t>Neurologie - Neurochirurgie</t>
        </is>
      </c>
      <c r="D874" s="23" t="inlineStr">
        <is>
          <t>Neurologie</t>
        </is>
      </c>
      <c r="E874" s="23" t="inlineStr">
        <is>
          <t>Thrombophlébite cérébrale</t>
        </is>
      </c>
      <c r="F874" s="18" t="n"/>
      <c r="G874" s="19" t="n"/>
      <c r="H874" s="20">
        <f>IF($G874="",1,IF($G874=0,1,IF($G874=1,3,IF($G874=2,7,IF($G874=3,14,IF($G874=4,30,60))))))</f>
        <v/>
      </c>
      <c r="I874" s="21">
        <f>IF($F874="","",$F874+$H874)</f>
        <v/>
      </c>
      <c r="J874">
        <f>IF($F874="","⚪ NEW",IF($G874&gt;=5,"✅ DONE",IF($I874&lt;TODAY(),"🔴 OVERDUE",IF($I874=TODAY(),"🟢 TODAY",IF($I874=TODAY()+1,"🔵 TOMORROW",IF($I874&lt;=TODAY()+7,"📅 THIS WEEK","⏳ SCHEDULED"))))))</f>
        <v/>
      </c>
      <c r="K874" s="20">
        <f>IF($F874="",999,IF($G874&gt;=5,9999,IF($I874="",999,$I874-TODAY())))</f>
        <v/>
      </c>
    </row>
    <row r="875">
      <c r="A875" s="22">
        <f>ROW()-2</f>
        <v/>
      </c>
      <c r="B875" s="23" t="inlineStr">
        <is>
          <t>S7</t>
        </is>
      </c>
      <c r="C875" s="23" t="inlineStr">
        <is>
          <t>Neurologie - Neurochirurgie</t>
        </is>
      </c>
      <c r="D875" s="23" t="inlineStr">
        <is>
          <t>Neurologie</t>
        </is>
      </c>
      <c r="E875" s="23" t="inlineStr">
        <is>
          <t>Maladie de Parkinson</t>
        </is>
      </c>
      <c r="F875" s="18" t="n"/>
      <c r="G875" s="19" t="n"/>
      <c r="H875" s="20">
        <f>IF($G875="",1,IF($G875=0,1,IF($G875=1,3,IF($G875=2,7,IF($G875=3,14,IF($G875=4,30,60))))))</f>
        <v/>
      </c>
      <c r="I875" s="21">
        <f>IF($F875="","",$F875+$H875)</f>
        <v/>
      </c>
      <c r="J875">
        <f>IF($F875="","⚪ NEW",IF($G875&gt;=5,"✅ DONE",IF($I875&lt;TODAY(),"🔴 OVERDUE",IF($I875=TODAY(),"🟢 TODAY",IF($I875=TODAY()+1,"🔵 TOMORROW",IF($I875&lt;=TODAY()+7,"📅 THIS WEEK","⏳ SCHEDULED"))))))</f>
        <v/>
      </c>
      <c r="K875" s="20">
        <f>IF($F875="",999,IF($G875&gt;=5,9999,IF($I875="",999,$I875-TODAY())))</f>
        <v/>
      </c>
    </row>
    <row r="876">
      <c r="A876" s="22">
        <f>ROW()-2</f>
        <v/>
      </c>
      <c r="B876" s="23" t="inlineStr">
        <is>
          <t>S7</t>
        </is>
      </c>
      <c r="C876" s="23" t="inlineStr">
        <is>
          <t>Neurologie - Neurochirurgie</t>
        </is>
      </c>
      <c r="D876" s="23" t="inlineStr">
        <is>
          <t>Neurologie</t>
        </is>
      </c>
      <c r="E876" s="23" t="inlineStr">
        <is>
          <t>Sclérose en plaques (SEP)</t>
        </is>
      </c>
      <c r="F876" s="18" t="n"/>
      <c r="G876" s="19" t="n"/>
      <c r="H876" s="20">
        <f>IF($G876="",1,IF($G876=0,1,IF($G876=1,3,IF($G876=2,7,IF($G876=3,14,IF($G876=4,30,60))))))</f>
        <v/>
      </c>
      <c r="I876" s="21">
        <f>IF($F876="","",$F876+$H876)</f>
        <v/>
      </c>
      <c r="J876">
        <f>IF($F876="","⚪ NEW",IF($G876&gt;=5,"✅ DONE",IF($I876&lt;TODAY(),"🔴 OVERDUE",IF($I876=TODAY(),"🟢 TODAY",IF($I876=TODAY()+1,"🔵 TOMORROW",IF($I876&lt;=TODAY()+7,"📅 THIS WEEK","⏳ SCHEDULED"))))))</f>
        <v/>
      </c>
      <c r="K876" s="20">
        <f>IF($F876="",999,IF($G876&gt;=5,9999,IF($I876="",999,$I876-TODAY())))</f>
        <v/>
      </c>
    </row>
    <row r="877">
      <c r="A877" s="22">
        <f>ROW()-2</f>
        <v/>
      </c>
      <c r="B877" s="23" t="inlineStr">
        <is>
          <t>S7</t>
        </is>
      </c>
      <c r="C877" s="23" t="inlineStr">
        <is>
          <t>Neurologie - Neurochirurgie</t>
        </is>
      </c>
      <c r="D877" s="23" t="inlineStr">
        <is>
          <t>Neurologie</t>
        </is>
      </c>
      <c r="E877" s="23" t="inlineStr">
        <is>
          <t>Neuro-Behçet</t>
        </is>
      </c>
      <c r="F877" s="18" t="n"/>
      <c r="G877" s="19" t="n"/>
      <c r="H877" s="20">
        <f>IF($G877="",1,IF($G877=0,1,IF($G877=1,3,IF($G877=2,7,IF($G877=3,14,IF($G877=4,30,60))))))</f>
        <v/>
      </c>
      <c r="I877" s="21">
        <f>IF($F877="","",$F877+$H877)</f>
        <v/>
      </c>
      <c r="J877">
        <f>IF($F877="","⚪ NEW",IF($G877&gt;=5,"✅ DONE",IF($I877&lt;TODAY(),"🔴 OVERDUE",IF($I877=TODAY(),"🟢 TODAY",IF($I877=TODAY()+1,"🔵 TOMORROW",IF($I877&lt;=TODAY()+7,"📅 THIS WEEK","⏳ SCHEDULED"))))))</f>
        <v/>
      </c>
      <c r="K877" s="20">
        <f>IF($F877="",999,IF($G877&gt;=5,9999,IF($I877="",999,$I877-TODAY())))</f>
        <v/>
      </c>
    </row>
    <row r="878">
      <c r="A878" s="22">
        <f>ROW()-2</f>
        <v/>
      </c>
      <c r="B878" s="23" t="inlineStr">
        <is>
          <t>S7</t>
        </is>
      </c>
      <c r="C878" s="23" t="inlineStr">
        <is>
          <t>Neurologie - Neurochirurgie</t>
        </is>
      </c>
      <c r="D878" s="23" t="inlineStr">
        <is>
          <t>Neurologie</t>
        </is>
      </c>
      <c r="E878" s="23" t="inlineStr">
        <is>
          <t>Épilepsie</t>
        </is>
      </c>
      <c r="F878" s="18" t="n"/>
      <c r="G878" s="19" t="n"/>
      <c r="H878" s="20">
        <f>IF($G878="",1,IF($G878=0,1,IF($G878=1,3,IF($G878=2,7,IF($G878=3,14,IF($G878=4,30,60))))))</f>
        <v/>
      </c>
      <c r="I878" s="21">
        <f>IF($F878="","",$F878+$H878)</f>
        <v/>
      </c>
      <c r="J878">
        <f>IF($F878="","⚪ NEW",IF($G878&gt;=5,"✅ DONE",IF($I878&lt;TODAY(),"🔴 OVERDUE",IF($I878=TODAY(),"🟢 TODAY",IF($I878=TODAY()+1,"🔵 TOMORROW",IF($I878&lt;=TODAY()+7,"📅 THIS WEEK","⏳ SCHEDULED"))))))</f>
        <v/>
      </c>
      <c r="K878" s="20">
        <f>IF($F878="",999,IF($G878&gt;=5,9999,IF($I878="",999,$I878-TODAY())))</f>
        <v/>
      </c>
    </row>
    <row r="879">
      <c r="A879" s="22">
        <f>ROW()-2</f>
        <v/>
      </c>
      <c r="B879" s="23" t="inlineStr">
        <is>
          <t>S7</t>
        </is>
      </c>
      <c r="C879" s="23" t="inlineStr">
        <is>
          <t>Neurologie - Neurochirurgie</t>
        </is>
      </c>
      <c r="D879" s="23" t="inlineStr">
        <is>
          <t>Neurologie</t>
        </is>
      </c>
      <c r="E879" s="23" t="inlineStr">
        <is>
          <t>Démences</t>
        </is>
      </c>
      <c r="F879" s="18" t="n"/>
      <c r="G879" s="19" t="n"/>
      <c r="H879" s="20">
        <f>IF($G879="",1,IF($G879=0,1,IF($G879=1,3,IF($G879=2,7,IF($G879=3,14,IF($G879=4,30,60))))))</f>
        <v/>
      </c>
      <c r="I879" s="21">
        <f>IF($F879="","",$F879+$H879)</f>
        <v/>
      </c>
      <c r="J879">
        <f>IF($F879="","⚪ NEW",IF($G879&gt;=5,"✅ DONE",IF($I879&lt;TODAY(),"🔴 OVERDUE",IF($I879=TODAY(),"🟢 TODAY",IF($I879=TODAY()+1,"🔵 TOMORROW",IF($I879&lt;=TODAY()+7,"📅 THIS WEEK","⏳ SCHEDULED"))))))</f>
        <v/>
      </c>
      <c r="K879" s="20">
        <f>IF($F879="",999,IF($G879&gt;=5,9999,IF($I879="",999,$I879-TODAY())))</f>
        <v/>
      </c>
    </row>
    <row r="880">
      <c r="A880" s="22">
        <f>ROW()-2</f>
        <v/>
      </c>
      <c r="B880" s="23" t="inlineStr">
        <is>
          <t>S7</t>
        </is>
      </c>
      <c r="C880" s="23" t="inlineStr">
        <is>
          <t>Neurologie - Neurochirurgie</t>
        </is>
      </c>
      <c r="D880" s="23" t="inlineStr">
        <is>
          <t>Neurologie</t>
        </is>
      </c>
      <c r="E880" s="23" t="inlineStr">
        <is>
          <t>Troubles du sommeil</t>
        </is>
      </c>
      <c r="F880" s="18" t="n"/>
      <c r="G880" s="19" t="n"/>
      <c r="H880" s="20">
        <f>IF($G880="",1,IF($G880=0,1,IF($G880=1,3,IF($G880=2,7,IF($G880=3,14,IF($G880=4,30,60))))))</f>
        <v/>
      </c>
      <c r="I880" s="21">
        <f>IF($F880="","",$F880+$H880)</f>
        <v/>
      </c>
      <c r="J880">
        <f>IF($F880="","⚪ NEW",IF($G880&gt;=5,"✅ DONE",IF($I880&lt;TODAY(),"🔴 OVERDUE",IF($I880=TODAY(),"🟢 TODAY",IF($I880=TODAY()+1,"🔵 TOMORROW",IF($I880&lt;=TODAY()+7,"📅 THIS WEEK","⏳ SCHEDULED"))))))</f>
        <v/>
      </c>
      <c r="K880" s="20">
        <f>IF($F880="",999,IF($G880&gt;=5,9999,IF($I880="",999,$I880-TODAY())))</f>
        <v/>
      </c>
    </row>
    <row r="881">
      <c r="A881" s="22">
        <f>ROW()-2</f>
        <v/>
      </c>
      <c r="B881" s="23" t="inlineStr">
        <is>
          <t>S7</t>
        </is>
      </c>
      <c r="C881" s="23" t="inlineStr">
        <is>
          <t>Neurologie - Neurochirurgie</t>
        </is>
      </c>
      <c r="D881" s="23" t="inlineStr">
        <is>
          <t>Neurologie</t>
        </is>
      </c>
      <c r="E881" s="23" t="inlineStr">
        <is>
          <t>Céphalées</t>
        </is>
      </c>
      <c r="F881" s="18" t="n"/>
      <c r="G881" s="19" t="n"/>
      <c r="H881" s="20">
        <f>IF($G881="",1,IF($G881=0,1,IF($G881=1,3,IF($G881=2,7,IF($G881=3,14,IF($G881=4,30,60))))))</f>
        <v/>
      </c>
      <c r="I881" s="21">
        <f>IF($F881="","",$F881+$H881)</f>
        <v/>
      </c>
      <c r="J881">
        <f>IF($F881="","⚪ NEW",IF($G881&gt;=5,"✅ DONE",IF($I881&lt;TODAY(),"🔴 OVERDUE",IF($I881=TODAY(),"🟢 TODAY",IF($I881=TODAY()+1,"🔵 TOMORROW",IF($I881&lt;=TODAY()+7,"📅 THIS WEEK","⏳ SCHEDULED"))))))</f>
        <v/>
      </c>
      <c r="K881" s="20">
        <f>IF($F881="",999,IF($G881&gt;=5,9999,IF($I881="",999,$I881-TODAY())))</f>
        <v/>
      </c>
    </row>
    <row r="882">
      <c r="A882" s="22">
        <f>ROW()-2</f>
        <v/>
      </c>
      <c r="B882" s="23" t="inlineStr">
        <is>
          <t>S7</t>
        </is>
      </c>
      <c r="C882" s="23" t="inlineStr">
        <is>
          <t>Neurologie - Neurochirurgie</t>
        </is>
      </c>
      <c r="D882" s="23" t="inlineStr">
        <is>
          <t>Neurochirurgie</t>
        </is>
      </c>
      <c r="E882" s="23" t="inlineStr">
        <is>
          <t>Spina bifida</t>
        </is>
      </c>
      <c r="F882" s="18" t="n"/>
      <c r="G882" s="19" t="n"/>
      <c r="H882" s="20">
        <f>IF($G882="",1,IF($G882=0,1,IF($G882=1,3,IF($G882=2,7,IF($G882=3,14,IF($G882=4,30,60))))))</f>
        <v/>
      </c>
      <c r="I882" s="21">
        <f>IF($F882="","",$F882+$H882)</f>
        <v/>
      </c>
      <c r="J882">
        <f>IF($F882="","⚪ NEW",IF($G882&gt;=5,"✅ DONE",IF($I882&lt;TODAY(),"🔴 OVERDUE",IF($I882=TODAY(),"🟢 TODAY",IF($I882=TODAY()+1,"🔵 TOMORROW",IF($I882&lt;=TODAY()+7,"📅 THIS WEEK","⏳ SCHEDULED"))))))</f>
        <v/>
      </c>
      <c r="K882" s="20">
        <f>IF($F882="",999,IF($G882&gt;=5,9999,IF($I882="",999,$I882-TODAY())))</f>
        <v/>
      </c>
    </row>
    <row r="883">
      <c r="A883" s="22">
        <f>ROW()-2</f>
        <v/>
      </c>
      <c r="B883" s="23" t="inlineStr">
        <is>
          <t>S7</t>
        </is>
      </c>
      <c r="C883" s="23" t="inlineStr">
        <is>
          <t>Neurologie - Neurochirurgie</t>
        </is>
      </c>
      <c r="D883" s="23" t="inlineStr">
        <is>
          <t>Neurochirurgie</t>
        </is>
      </c>
      <c r="E883" s="23" t="inlineStr">
        <is>
          <t>Hydrocéphalie</t>
        </is>
      </c>
      <c r="F883" s="18" t="n"/>
      <c r="G883" s="19" t="n"/>
      <c r="H883" s="20">
        <f>IF($G883="",1,IF($G883=0,1,IF($G883=1,3,IF($G883=2,7,IF($G883=3,14,IF($G883=4,30,60))))))</f>
        <v/>
      </c>
      <c r="I883" s="21">
        <f>IF($F883="","",$F883+$H883)</f>
        <v/>
      </c>
      <c r="J883">
        <f>IF($F883="","⚪ NEW",IF($G883&gt;=5,"✅ DONE",IF($I883&lt;TODAY(),"🔴 OVERDUE",IF($I883=TODAY(),"🟢 TODAY",IF($I883=TODAY()+1,"🔵 TOMORROW",IF($I883&lt;=TODAY()+7,"📅 THIS WEEK","⏳ SCHEDULED"))))))</f>
        <v/>
      </c>
      <c r="K883" s="20">
        <f>IF($F883="",999,IF($G883&gt;=5,9999,IF($I883="",999,$I883-TODAY())))</f>
        <v/>
      </c>
    </row>
    <row r="884">
      <c r="A884" s="22">
        <f>ROW()-2</f>
        <v/>
      </c>
      <c r="B884" s="23" t="inlineStr">
        <is>
          <t>S7</t>
        </is>
      </c>
      <c r="C884" s="23" t="inlineStr">
        <is>
          <t>Neurologie - Neurochirurgie</t>
        </is>
      </c>
      <c r="D884" s="23" t="inlineStr">
        <is>
          <t>Neurochirurgie</t>
        </is>
      </c>
      <c r="E884" s="23" t="inlineStr">
        <is>
          <t>Malformation de la charnière cranio-cervicale</t>
        </is>
      </c>
      <c r="F884" s="18" t="n"/>
      <c r="G884" s="19" t="n"/>
      <c r="H884" s="20">
        <f>IF($G884="",1,IF($G884=0,1,IF($G884=1,3,IF($G884=2,7,IF($G884=3,14,IF($G884=4,30,60))))))</f>
        <v/>
      </c>
      <c r="I884" s="21">
        <f>IF($F884="","",$F884+$H884)</f>
        <v/>
      </c>
      <c r="J884">
        <f>IF($F884="","⚪ NEW",IF($G884&gt;=5,"✅ DONE",IF($I884&lt;TODAY(),"🔴 OVERDUE",IF($I884=TODAY(),"🟢 TODAY",IF($I884=TODAY()+1,"🔵 TOMORROW",IF($I884&lt;=TODAY()+7,"📅 THIS WEEK","⏳ SCHEDULED"))))))</f>
        <v/>
      </c>
      <c r="K884" s="20">
        <f>IF($F884="",999,IF($G884&gt;=5,9999,IF($I884="",999,$I884-TODAY())))</f>
        <v/>
      </c>
    </row>
    <row r="885">
      <c r="A885" s="22">
        <f>ROW()-2</f>
        <v/>
      </c>
      <c r="B885" s="23" t="inlineStr">
        <is>
          <t>S7</t>
        </is>
      </c>
      <c r="C885" s="23" t="inlineStr">
        <is>
          <t>Neurologie - Neurochirurgie</t>
        </is>
      </c>
      <c r="D885" s="23" t="inlineStr">
        <is>
          <t>Neurochirurgie</t>
        </is>
      </c>
      <c r="E885" s="23" t="inlineStr">
        <is>
          <t>Syndrome de compression médullaire</t>
        </is>
      </c>
      <c r="F885" s="18" t="n"/>
      <c r="G885" s="19" t="n"/>
      <c r="H885" s="20">
        <f>IF($G885="",1,IF($G885=0,1,IF($G885=1,3,IF($G885=2,7,IF($G885=3,14,IF($G885=4,30,60))))))</f>
        <v/>
      </c>
      <c r="I885" s="21">
        <f>IF($F885="","",$F885+$H885)</f>
        <v/>
      </c>
      <c r="J885">
        <f>IF($F885="","⚪ NEW",IF($G885&gt;=5,"✅ DONE",IF($I885&lt;TODAY(),"🔴 OVERDUE",IF($I885=TODAY(),"🟢 TODAY",IF($I885=TODAY()+1,"🔵 TOMORROW",IF($I885&lt;=TODAY()+7,"📅 THIS WEEK","⏳ SCHEDULED"))))))</f>
        <v/>
      </c>
      <c r="K885" s="20">
        <f>IF($F885="",999,IF($G885&gt;=5,9999,IF($I885="",999,$I885-TODAY())))</f>
        <v/>
      </c>
    </row>
    <row r="886">
      <c r="A886" s="22">
        <f>ROW()-2</f>
        <v/>
      </c>
      <c r="B886" s="23" t="inlineStr">
        <is>
          <t>S7</t>
        </is>
      </c>
      <c r="C886" s="23" t="inlineStr">
        <is>
          <t>Neurologie - Neurochirurgie</t>
        </is>
      </c>
      <c r="D886" s="23" t="inlineStr">
        <is>
          <t>Neurochirurgie</t>
        </is>
      </c>
      <c r="E886" s="23" t="inlineStr">
        <is>
          <t>Syndrome de la queue de cheval</t>
        </is>
      </c>
      <c r="F886" s="18" t="n"/>
      <c r="G886" s="19" t="n"/>
      <c r="H886" s="20">
        <f>IF($G886="",1,IF($G886=0,1,IF($G886=1,3,IF($G886=2,7,IF($G886=3,14,IF($G886=4,30,60))))))</f>
        <v/>
      </c>
      <c r="I886" s="21">
        <f>IF($F886="","",$F886+$H886)</f>
        <v/>
      </c>
      <c r="J886">
        <f>IF($F886="","⚪ NEW",IF($G886&gt;=5,"✅ DONE",IF($I886&lt;TODAY(),"🔴 OVERDUE",IF($I886=TODAY(),"🟢 TODAY",IF($I886=TODAY()+1,"🔵 TOMORROW",IF($I886&lt;=TODAY()+7,"📅 THIS WEEK","⏳ SCHEDULED"))))))</f>
        <v/>
      </c>
      <c r="K886" s="20">
        <f>IF($F886="",999,IF($G886&gt;=5,9999,IF($I886="",999,$I886-TODAY())))</f>
        <v/>
      </c>
    </row>
    <row r="887">
      <c r="A887" s="22">
        <f>ROW()-2</f>
        <v/>
      </c>
      <c r="B887" s="23" t="inlineStr">
        <is>
          <t>S7</t>
        </is>
      </c>
      <c r="C887" s="23" t="inlineStr">
        <is>
          <t>Neurologie - Neurochirurgie</t>
        </is>
      </c>
      <c r="D887" s="23" t="inlineStr">
        <is>
          <t>Neurochirurgie</t>
        </is>
      </c>
      <c r="E887" s="23" t="inlineStr">
        <is>
          <t>Sciatique par hernie discale</t>
        </is>
      </c>
      <c r="F887" s="18" t="n"/>
      <c r="G887" s="19" t="n"/>
      <c r="H887" s="20">
        <f>IF($G887="",1,IF($G887=0,1,IF($G887=1,3,IF($G887=2,7,IF($G887=3,14,IF($G887=4,30,60))))))</f>
        <v/>
      </c>
      <c r="I887" s="21">
        <f>IF($F887="","",$F887+$H887)</f>
        <v/>
      </c>
      <c r="J887">
        <f>IF($F887="","⚪ NEW",IF($G887&gt;=5,"✅ DONE",IF($I887&lt;TODAY(),"🔴 OVERDUE",IF($I887=TODAY(),"🟢 TODAY",IF($I887=TODAY()+1,"🔵 TOMORROW",IF($I887&lt;=TODAY()+7,"📅 THIS WEEK","⏳ SCHEDULED"))))))</f>
        <v/>
      </c>
      <c r="K887" s="20">
        <f>IF($F887="",999,IF($G887&gt;=5,9999,IF($I887="",999,$I887-TODAY())))</f>
        <v/>
      </c>
    </row>
    <row r="888">
      <c r="A888" s="22">
        <f>ROW()-2</f>
        <v/>
      </c>
      <c r="B888" s="23" t="inlineStr">
        <is>
          <t>S7</t>
        </is>
      </c>
      <c r="C888" s="23" t="inlineStr">
        <is>
          <t>Neurologie - Neurochirurgie</t>
        </is>
      </c>
      <c r="D888" s="23" t="inlineStr">
        <is>
          <t>Neurochirurgie</t>
        </is>
      </c>
      <c r="E888" s="23" t="inlineStr">
        <is>
          <t>Hématomes intracérébraux</t>
        </is>
      </c>
      <c r="F888" s="18" t="n"/>
      <c r="G888" s="19" t="n"/>
      <c r="H888" s="20">
        <f>IF($G888="",1,IF($G888=0,1,IF($G888=1,3,IF($G888=2,7,IF($G888=3,14,IF($G888=4,30,60))))))</f>
        <v/>
      </c>
      <c r="I888" s="21">
        <f>IF($F888="","",$F888+$H888)</f>
        <v/>
      </c>
      <c r="J888">
        <f>IF($F888="","⚪ NEW",IF($G888&gt;=5,"✅ DONE",IF($I888&lt;TODAY(),"🔴 OVERDUE",IF($I888=TODAY(),"🟢 TODAY",IF($I888=TODAY()+1,"🔵 TOMORROW",IF($I888&lt;=TODAY()+7,"📅 THIS WEEK","⏳ SCHEDULED"))))))</f>
        <v/>
      </c>
      <c r="K888" s="20">
        <f>IF($F888="",999,IF($G888&gt;=5,9999,IF($I888="",999,$I888-TODAY())))</f>
        <v/>
      </c>
    </row>
    <row r="889">
      <c r="A889" s="22">
        <f>ROW()-2</f>
        <v/>
      </c>
      <c r="B889" s="23" t="inlineStr">
        <is>
          <t>S7</t>
        </is>
      </c>
      <c r="C889" s="23" t="inlineStr">
        <is>
          <t>Neurologie - Neurochirurgie</t>
        </is>
      </c>
      <c r="D889" s="23" t="inlineStr">
        <is>
          <t>Neurochirurgie</t>
        </is>
      </c>
      <c r="E889" s="23" t="inlineStr">
        <is>
          <t>L'hémorragie spontanée des méninges</t>
        </is>
      </c>
      <c r="F889" s="18" t="n"/>
      <c r="G889" s="19" t="n"/>
      <c r="H889" s="20">
        <f>IF($G889="",1,IF($G889=0,1,IF($G889=1,3,IF($G889=2,7,IF($G889=3,14,IF($G889=4,30,60))))))</f>
        <v/>
      </c>
      <c r="I889" s="21">
        <f>IF($F889="","",$F889+$H889)</f>
        <v/>
      </c>
      <c r="J889">
        <f>IF($F889="","⚪ NEW",IF($G889&gt;=5,"✅ DONE",IF($I889&lt;TODAY(),"🔴 OVERDUE",IF($I889=TODAY(),"🟢 TODAY",IF($I889=TODAY()+1,"🔵 TOMORROW",IF($I889&lt;=TODAY()+7,"📅 THIS WEEK","⏳ SCHEDULED"))))))</f>
        <v/>
      </c>
      <c r="K889" s="20">
        <f>IF($F889="",999,IF($G889&gt;=5,9999,IF($I889="",999,$I889-TODAY())))</f>
        <v/>
      </c>
    </row>
    <row r="890">
      <c r="A890" s="22">
        <f>ROW()-2</f>
        <v/>
      </c>
      <c r="B890" s="23" t="inlineStr">
        <is>
          <t>S7</t>
        </is>
      </c>
      <c r="C890" s="23" t="inlineStr">
        <is>
          <t>Neurologie - Neurochirurgie</t>
        </is>
      </c>
      <c r="D890" s="23" t="inlineStr">
        <is>
          <t>Neurochirurgie</t>
        </is>
      </c>
      <c r="E890" s="23" t="inlineStr">
        <is>
          <t>Suppuration intracrânienne</t>
        </is>
      </c>
      <c r="F890" s="18" t="n"/>
      <c r="G890" s="19" t="n"/>
      <c r="H890" s="20">
        <f>IF($G890="",1,IF($G890=0,1,IF($G890=1,3,IF($G890=2,7,IF($G890=3,14,IF($G890=4,30,60))))))</f>
        <v/>
      </c>
      <c r="I890" s="21">
        <f>IF($F890="","",$F890+$H890)</f>
        <v/>
      </c>
      <c r="J890">
        <f>IF($F890="","⚪ NEW",IF($G890&gt;=5,"✅ DONE",IF($I890&lt;TODAY(),"🔴 OVERDUE",IF($I890=TODAY(),"🟢 TODAY",IF($I890=TODAY()+1,"🔵 TOMORROW",IF($I890&lt;=TODAY()+7,"📅 THIS WEEK","⏳ SCHEDULED"))))))</f>
        <v/>
      </c>
      <c r="K890" s="20">
        <f>IF($F890="",999,IF($G890&gt;=5,9999,IF($I890="",999,$I890-TODAY())))</f>
        <v/>
      </c>
    </row>
    <row r="891">
      <c r="A891" s="22">
        <f>ROW()-2</f>
        <v/>
      </c>
      <c r="B891" s="23" t="inlineStr">
        <is>
          <t>S7</t>
        </is>
      </c>
      <c r="C891" s="23" t="inlineStr">
        <is>
          <t>Neurologie - Neurochirurgie</t>
        </is>
      </c>
      <c r="D891" s="23" t="inlineStr">
        <is>
          <t>Neurochirurgie</t>
        </is>
      </c>
      <c r="E891" s="23" t="inlineStr">
        <is>
          <t>Hydatidose cérébrale et vertébro-médullaire</t>
        </is>
      </c>
      <c r="F891" s="18" t="n"/>
      <c r="G891" s="19" t="n"/>
      <c r="H891" s="20">
        <f>IF($G891="",1,IF($G891=0,1,IF($G891=1,3,IF($G891=2,7,IF($G891=3,14,IF($G891=4,30,60))))))</f>
        <v/>
      </c>
      <c r="I891" s="21">
        <f>IF($F891="","",$F891+$H891)</f>
        <v/>
      </c>
      <c r="J891">
        <f>IF($F891="","⚪ NEW",IF($G891&gt;=5,"✅ DONE",IF($I891&lt;TODAY(),"🔴 OVERDUE",IF($I891=TODAY(),"🟢 TODAY",IF($I891=TODAY()+1,"🔵 TOMORROW",IF($I891&lt;=TODAY()+7,"📅 THIS WEEK","⏳ SCHEDULED"))))))</f>
        <v/>
      </c>
      <c r="K891" s="20">
        <f>IF($F891="",999,IF($G891&gt;=5,9999,IF($I891="",999,$I891-TODAY())))</f>
        <v/>
      </c>
    </row>
    <row r="892">
      <c r="A892" s="22">
        <f>ROW()-2</f>
        <v/>
      </c>
      <c r="B892" s="23" t="inlineStr">
        <is>
          <t>S7</t>
        </is>
      </c>
      <c r="C892" s="23" t="inlineStr">
        <is>
          <t>Neurologie - Neurochirurgie</t>
        </is>
      </c>
      <c r="D892" s="23" t="inlineStr">
        <is>
          <t>Neurochirurgie</t>
        </is>
      </c>
      <c r="E892" s="23" t="inlineStr">
        <is>
          <t>Tuberculose du système nerveux</t>
        </is>
      </c>
      <c r="F892" s="18" t="n"/>
      <c r="G892" s="19" t="n"/>
      <c r="H892" s="20">
        <f>IF($G892="",1,IF($G892=0,1,IF($G892=1,3,IF($G892=2,7,IF($G892=3,14,IF($G892=4,30,60))))))</f>
        <v/>
      </c>
      <c r="I892" s="21">
        <f>IF($F892="","",$F892+$H892)</f>
        <v/>
      </c>
      <c r="J892">
        <f>IF($F892="","⚪ NEW",IF($G892&gt;=5,"✅ DONE",IF($I892&lt;TODAY(),"🔴 OVERDUE",IF($I892=TODAY(),"🟢 TODAY",IF($I892=TODAY()+1,"🔵 TOMORROW",IF($I892&lt;=TODAY()+7,"📅 THIS WEEK","⏳ SCHEDULED"))))))</f>
        <v/>
      </c>
      <c r="K892" s="20">
        <f>IF($F892="",999,IF($G892&gt;=5,9999,IF($I892="",999,$I892-TODAY())))</f>
        <v/>
      </c>
    </row>
    <row r="893">
      <c r="A893" s="22">
        <f>ROW()-2</f>
        <v/>
      </c>
      <c r="B893" s="23" t="inlineStr">
        <is>
          <t>S7</t>
        </is>
      </c>
      <c r="C893" s="23" t="inlineStr">
        <is>
          <t>Neurologie - Neurochirurgie</t>
        </is>
      </c>
      <c r="D893" s="23" t="inlineStr">
        <is>
          <t>Neurochirurgie</t>
        </is>
      </c>
      <c r="E893" s="23" t="inlineStr">
        <is>
          <t>Les lésions sellaires et supra-sellaires</t>
        </is>
      </c>
      <c r="F893" s="18" t="n"/>
      <c r="G893" s="19" t="n"/>
      <c r="H893" s="20">
        <f>IF($G893="",1,IF($G893=0,1,IF($G893=1,3,IF($G893=2,7,IF($G893=3,14,IF($G893=4,30,60))))))</f>
        <v/>
      </c>
      <c r="I893" s="21">
        <f>IF($F893="","",$F893+$H893)</f>
        <v/>
      </c>
      <c r="J893">
        <f>IF($F893="","⚪ NEW",IF($G893&gt;=5,"✅ DONE",IF($I893&lt;TODAY(),"🔴 OVERDUE",IF($I893=TODAY(),"🟢 TODAY",IF($I893=TODAY()+1,"🔵 TOMORROW",IF($I893&lt;=TODAY()+7,"📅 THIS WEEK","⏳ SCHEDULED"))))))</f>
        <v/>
      </c>
      <c r="K893" s="20">
        <f>IF($F893="",999,IF($G893&gt;=5,9999,IF($I893="",999,$I893-TODAY())))</f>
        <v/>
      </c>
    </row>
    <row r="894">
      <c r="A894" s="22">
        <f>ROW()-2</f>
        <v/>
      </c>
      <c r="B894" s="23" t="inlineStr">
        <is>
          <t>S7</t>
        </is>
      </c>
      <c r="C894" s="23" t="inlineStr">
        <is>
          <t>Neurologie - Neurochirurgie</t>
        </is>
      </c>
      <c r="D894" s="23" t="inlineStr">
        <is>
          <t>Neurochirurgie</t>
        </is>
      </c>
      <c r="E894" s="23" t="inlineStr">
        <is>
          <t>Craniosténoses</t>
        </is>
      </c>
      <c r="F894" s="18" t="n"/>
      <c r="G894" s="19" t="n"/>
      <c r="H894" s="20">
        <f>IF($G894="",1,IF($G894=0,1,IF($G894=1,3,IF($G894=2,7,IF($G894=3,14,IF($G894=4,30,60))))))</f>
        <v/>
      </c>
      <c r="I894" s="21">
        <f>IF($F894="","",$F894+$H894)</f>
        <v/>
      </c>
      <c r="J894">
        <f>IF($F894="","⚪ NEW",IF($G894&gt;=5,"✅ DONE",IF($I894&lt;TODAY(),"🔴 OVERDUE",IF($I894=TODAY(),"🟢 TODAY",IF($I894=TODAY()+1,"🔵 TOMORROW",IF($I894&lt;=TODAY()+7,"📅 THIS WEEK","⏳ SCHEDULED"))))))</f>
        <v/>
      </c>
      <c r="K894" s="20">
        <f>IF($F894="",999,IF($G894&gt;=5,9999,IF($I894="",999,$I894-TODAY())))</f>
        <v/>
      </c>
    </row>
    <row r="895">
      <c r="A895" s="22">
        <f>ROW()-2</f>
        <v/>
      </c>
      <c r="B895" s="23" t="inlineStr">
        <is>
          <t>S7</t>
        </is>
      </c>
      <c r="C895" s="23" t="inlineStr">
        <is>
          <t>Neurologie - Neurochirurgie</t>
        </is>
      </c>
      <c r="D895" s="23" t="inlineStr">
        <is>
          <t>Neurochirurgie</t>
        </is>
      </c>
      <c r="E895" s="23" t="inlineStr">
        <is>
          <t>Traumatismes du rachis dorso-lombaire</t>
        </is>
      </c>
      <c r="F895" s="18" t="n"/>
      <c r="G895" s="19" t="n"/>
      <c r="H895" s="20">
        <f>IF($G895="",1,IF($G895=0,1,IF($G895=1,3,IF($G895=2,7,IF($G895=3,14,IF($G895=4,30,60))))))</f>
        <v/>
      </c>
      <c r="I895" s="21">
        <f>IF($F895="","",$F895+$H895)</f>
        <v/>
      </c>
      <c r="J895">
        <f>IF($F895="","⚪ NEW",IF($G895&gt;=5,"✅ DONE",IF($I895&lt;TODAY(),"🔴 OVERDUE",IF($I895=TODAY(),"🟢 TODAY",IF($I895=TODAY()+1,"🔵 TOMORROW",IF($I895&lt;=TODAY()+7,"📅 THIS WEEK","⏳ SCHEDULED"))))))</f>
        <v/>
      </c>
      <c r="K895" s="20">
        <f>IF($F895="",999,IF($G895&gt;=5,9999,IF($I895="",999,$I895-TODAY())))</f>
        <v/>
      </c>
    </row>
    <row r="896">
      <c r="A896" s="22">
        <f>ROW()-2</f>
        <v/>
      </c>
      <c r="B896" s="23" t="inlineStr">
        <is>
          <t>S7</t>
        </is>
      </c>
      <c r="C896" s="23" t="inlineStr">
        <is>
          <t>Neurologie - Neurochirurgie</t>
        </is>
      </c>
      <c r="D896" s="23" t="inlineStr">
        <is>
          <t>Neurochirurgie</t>
        </is>
      </c>
      <c r="E896" s="23" t="inlineStr">
        <is>
          <t>Traumatismes crânio-encéphaliques</t>
        </is>
      </c>
      <c r="F896" s="18" t="n"/>
      <c r="G896" s="19" t="n"/>
      <c r="H896" s="20">
        <f>IF($G896="",1,IF($G896=0,1,IF($G896=1,3,IF($G896=2,7,IF($G896=3,14,IF($G896=4,30,60))))))</f>
        <v/>
      </c>
      <c r="I896" s="21">
        <f>IF($F896="","",$F896+$H896)</f>
        <v/>
      </c>
      <c r="J896">
        <f>IF($F896="","⚪ NEW",IF($G896&gt;=5,"✅ DONE",IF($I896&lt;TODAY(),"🔴 OVERDUE",IF($I896=TODAY(),"🟢 TODAY",IF($I896=TODAY()+1,"🔵 TOMORROW",IF($I896&lt;=TODAY()+7,"📅 THIS WEEK","⏳ SCHEDULED"))))))</f>
        <v/>
      </c>
      <c r="K896" s="20">
        <f>IF($F896="",999,IF($G896&gt;=5,9999,IF($I896="",999,$I896-TODAY())))</f>
        <v/>
      </c>
    </row>
    <row r="897">
      <c r="A897" s="22">
        <f>ROW()-2</f>
        <v/>
      </c>
      <c r="B897" s="23" t="inlineStr">
        <is>
          <t>S7</t>
        </is>
      </c>
      <c r="C897" s="23" t="inlineStr">
        <is>
          <t>Neurologie - Neurochirurgie</t>
        </is>
      </c>
      <c r="D897" s="23" t="inlineStr">
        <is>
          <t>Neurochirurgie</t>
        </is>
      </c>
      <c r="E897" s="23" t="inlineStr">
        <is>
          <t>Traumatismes du rachis cervical</t>
        </is>
      </c>
      <c r="F897" s="18" t="n"/>
      <c r="G897" s="19" t="n"/>
      <c r="H897" s="20">
        <f>IF($G897="",1,IF($G897=0,1,IF($G897=1,3,IF($G897=2,7,IF($G897=3,14,IF($G897=4,30,60))))))</f>
        <v/>
      </c>
      <c r="I897" s="21">
        <f>IF($F897="","",$F897+$H897)</f>
        <v/>
      </c>
      <c r="J897">
        <f>IF($F897="","⚪ NEW",IF($G897&gt;=5,"✅ DONE",IF($I897&lt;TODAY(),"🔴 OVERDUE",IF($I897=TODAY(),"🟢 TODAY",IF($I897=TODAY()+1,"🔵 TOMORROW",IF($I897&lt;=TODAY()+7,"📅 THIS WEEK","⏳ SCHEDULED"))))))</f>
        <v/>
      </c>
      <c r="K897" s="20">
        <f>IF($F897="",999,IF($G897&gt;=5,9999,IF($I897="",999,$I897-TODAY())))</f>
        <v/>
      </c>
    </row>
    <row r="898">
      <c r="A898" s="22">
        <f>ROW()-2</f>
        <v/>
      </c>
      <c r="B898" s="23" t="inlineStr">
        <is>
          <t>S7</t>
        </is>
      </c>
      <c r="C898" s="23" t="inlineStr">
        <is>
          <t>Neurologie - Neurochirurgie</t>
        </is>
      </c>
      <c r="D898" s="23" t="inlineStr">
        <is>
          <t>Neurochirurgie</t>
        </is>
      </c>
      <c r="E898" s="23" t="inlineStr">
        <is>
          <t>Gliomes hémisphériques</t>
        </is>
      </c>
      <c r="F898" s="18" t="n"/>
      <c r="G898" s="19" t="n"/>
      <c r="H898" s="20">
        <f>IF($G898="",1,IF($G898=0,1,IF($G898=1,3,IF($G898=2,7,IF($G898=3,14,IF($G898=4,30,60))))))</f>
        <v/>
      </c>
      <c r="I898" s="21">
        <f>IF($F898="","",$F898+$H898)</f>
        <v/>
      </c>
      <c r="J898">
        <f>IF($F898="","⚪ NEW",IF($G898&gt;=5,"✅ DONE",IF($I898&lt;TODAY(),"🔴 OVERDUE",IF($I898=TODAY(),"🟢 TODAY",IF($I898=TODAY()+1,"🔵 TOMORROW",IF($I898&lt;=TODAY()+7,"📅 THIS WEEK","⏳ SCHEDULED"))))))</f>
        <v/>
      </c>
      <c r="K898" s="20">
        <f>IF($F898="",999,IF($G898&gt;=5,9999,IF($I898="",999,$I898-TODAY())))</f>
        <v/>
      </c>
    </row>
    <row r="899">
      <c r="A899" s="22">
        <f>ROW()-2</f>
        <v/>
      </c>
      <c r="B899" s="23" t="inlineStr">
        <is>
          <t>S7</t>
        </is>
      </c>
      <c r="C899" s="23" t="inlineStr">
        <is>
          <t>Neurologie - Neurochirurgie</t>
        </is>
      </c>
      <c r="D899" s="23" t="inlineStr">
        <is>
          <t>Neurochirurgie</t>
        </is>
      </c>
      <c r="E899" s="23" t="inlineStr">
        <is>
          <t>Méningiomes intracrâniens</t>
        </is>
      </c>
      <c r="F899" s="18" t="n"/>
      <c r="G899" s="19" t="n"/>
      <c r="H899" s="20">
        <f>IF($G899="",1,IF($G899=0,1,IF($G899=1,3,IF($G899=2,7,IF($G899=3,14,IF($G899=4,30,60))))))</f>
        <v/>
      </c>
      <c r="I899" s="21">
        <f>IF($F899="","",$F899+$H899)</f>
        <v/>
      </c>
      <c r="J899">
        <f>IF($F899="","⚪ NEW",IF($G899&gt;=5,"✅ DONE",IF($I899&lt;TODAY(),"🔴 OVERDUE",IF($I899=TODAY(),"🟢 TODAY",IF($I899=TODAY()+1,"🔵 TOMORROW",IF($I899&lt;=TODAY()+7,"📅 THIS WEEK","⏳ SCHEDULED"))))))</f>
        <v/>
      </c>
      <c r="K899" s="20">
        <f>IF($F899="",999,IF($G899&gt;=5,9999,IF($I899="",999,$I899-TODAY())))</f>
        <v/>
      </c>
    </row>
    <row r="900">
      <c r="A900" s="22">
        <f>ROW()-2</f>
        <v/>
      </c>
      <c r="B900" s="23" t="inlineStr">
        <is>
          <t>S7</t>
        </is>
      </c>
      <c r="C900" s="23" t="inlineStr">
        <is>
          <t>Neurologie - Neurochirurgie</t>
        </is>
      </c>
      <c r="D900" s="23" t="inlineStr">
        <is>
          <t>Neurochirurgie</t>
        </is>
      </c>
      <c r="E900" s="23" t="inlineStr">
        <is>
          <t>Métastases cérébrales</t>
        </is>
      </c>
      <c r="F900" s="18" t="n"/>
      <c r="G900" s="19" t="n"/>
      <c r="H900" s="20">
        <f>IF($G900="",1,IF($G900=0,1,IF($G900=1,3,IF($G900=2,7,IF($G900=3,14,IF($G900=4,30,60))))))</f>
        <v/>
      </c>
      <c r="I900" s="21">
        <f>IF($F900="","",$F900+$H900)</f>
        <v/>
      </c>
      <c r="J900">
        <f>IF($F900="","⚪ NEW",IF($G900&gt;=5,"✅ DONE",IF($I900&lt;TODAY(),"🔴 OVERDUE",IF($I900=TODAY(),"🟢 TODAY",IF($I900=TODAY()+1,"🔵 TOMORROW",IF($I900&lt;=TODAY()+7,"📅 THIS WEEK","⏳ SCHEDULED"))))))</f>
        <v/>
      </c>
      <c r="K900" s="20">
        <f>IF($F900="",999,IF($G900&gt;=5,9999,IF($I900="",999,$I900-TODAY())))</f>
        <v/>
      </c>
    </row>
    <row r="901">
      <c r="A901" s="22">
        <f>ROW()-2</f>
        <v/>
      </c>
      <c r="B901" s="23" t="inlineStr">
        <is>
          <t>S7</t>
        </is>
      </c>
      <c r="C901" s="23" t="inlineStr">
        <is>
          <t>Neurologie - Neurochirurgie</t>
        </is>
      </c>
      <c r="D901" s="23" t="inlineStr">
        <is>
          <t>Neurochirurgie</t>
        </is>
      </c>
      <c r="E901" s="23" t="inlineStr">
        <is>
          <t>Tumeurs de la fosse cérébrale postérieure (FCP)</t>
        </is>
      </c>
      <c r="F901" s="18" t="n"/>
      <c r="G901" s="19" t="n"/>
      <c r="H901" s="20">
        <f>IF($G901="",1,IF($G901=0,1,IF($G901=1,3,IF($G901=2,7,IF($G901=3,14,IF($G901=4,30,60))))))</f>
        <v/>
      </c>
      <c r="I901" s="21">
        <f>IF($F901="","",$F901+$H901)</f>
        <v/>
      </c>
      <c r="J901">
        <f>IF($F901="","⚪ NEW",IF($G901&gt;=5,"✅ DONE",IF($I901&lt;TODAY(),"🔴 OVERDUE",IF($I901=TODAY(),"🟢 TODAY",IF($I901=TODAY()+1,"🔵 TOMORROW",IF($I901&lt;=TODAY()+7,"📅 THIS WEEK","⏳ SCHEDULED"))))))</f>
        <v/>
      </c>
      <c r="K901" s="20">
        <f>IF($F901="",999,IF($G901&gt;=5,9999,IF($I901="",999,$I901-TODAY())))</f>
        <v/>
      </c>
    </row>
    <row r="902">
      <c r="A902" s="24">
        <f>ROW()-2</f>
        <v/>
      </c>
      <c r="B902" s="25" t="inlineStr">
        <is>
          <t>S7</t>
        </is>
      </c>
      <c r="C902" s="25" t="inlineStr">
        <is>
          <t>Hématologie - Oncologie</t>
        </is>
      </c>
      <c r="D902" s="25" t="inlineStr">
        <is>
          <t>Hématologie</t>
        </is>
      </c>
      <c r="E902" s="25" t="inlineStr">
        <is>
          <t>Anémie par carence en fer</t>
        </is>
      </c>
      <c r="F902" s="18" t="n"/>
      <c r="G902" s="19" t="n"/>
      <c r="H902" s="20">
        <f>IF($G902="",1,IF($G902=0,1,IF($G902=1,3,IF($G902=2,7,IF($G902=3,14,IF($G902=4,30,60))))))</f>
        <v/>
      </c>
      <c r="I902" s="21">
        <f>IF($F902="","",$F902+$H902)</f>
        <v/>
      </c>
      <c r="J902">
        <f>IF($F902="","⚪ NEW",IF($G902&gt;=5,"✅ DONE",IF($I902&lt;TODAY(),"🔴 OVERDUE",IF($I902=TODAY(),"🟢 TODAY",IF($I902=TODAY()+1,"🔵 TOMORROW",IF($I902&lt;=TODAY()+7,"📅 THIS WEEK","⏳ SCHEDULED"))))))</f>
        <v/>
      </c>
      <c r="K902" s="20">
        <f>IF($F902="",999,IF($G902&gt;=5,9999,IF($I902="",999,$I902-TODAY())))</f>
        <v/>
      </c>
    </row>
    <row r="903">
      <c r="A903" s="24">
        <f>ROW()-2</f>
        <v/>
      </c>
      <c r="B903" s="25" t="inlineStr">
        <is>
          <t>S7</t>
        </is>
      </c>
      <c r="C903" s="25" t="inlineStr">
        <is>
          <t>Hématologie - Oncologie</t>
        </is>
      </c>
      <c r="D903" s="25" t="inlineStr">
        <is>
          <t>Hématologie</t>
        </is>
      </c>
      <c r="E903" s="25" t="inlineStr">
        <is>
          <t>Anémie mégaloblastique</t>
        </is>
      </c>
      <c r="F903" s="18" t="n"/>
      <c r="G903" s="19" t="n"/>
      <c r="H903" s="20">
        <f>IF($G903="",1,IF($G903=0,1,IF($G903=1,3,IF($G903=2,7,IF($G903=3,14,IF($G903=4,30,60))))))</f>
        <v/>
      </c>
      <c r="I903" s="21">
        <f>IF($F903="","",$F903+$H903)</f>
        <v/>
      </c>
      <c r="J903">
        <f>IF($F903="","⚪ NEW",IF($G903&gt;=5,"✅ DONE",IF($I903&lt;TODAY(),"🔴 OVERDUE",IF($I903=TODAY(),"🟢 TODAY",IF($I903=TODAY()+1,"🔵 TOMORROW",IF($I903&lt;=TODAY()+7,"📅 THIS WEEK","⏳ SCHEDULED"))))))</f>
        <v/>
      </c>
      <c r="K903" s="20">
        <f>IF($F903="",999,IF($G903&gt;=5,9999,IF($I903="",999,$I903-TODAY())))</f>
        <v/>
      </c>
    </row>
    <row r="904">
      <c r="A904" s="24">
        <f>ROW()-2</f>
        <v/>
      </c>
      <c r="B904" s="25" t="inlineStr">
        <is>
          <t>S7</t>
        </is>
      </c>
      <c r="C904" s="25" t="inlineStr">
        <is>
          <t>Hématologie - Oncologie</t>
        </is>
      </c>
      <c r="D904" s="25" t="inlineStr">
        <is>
          <t>Hématologie</t>
        </is>
      </c>
      <c r="E904" s="25" t="inlineStr">
        <is>
          <t>Aplasie médullaire</t>
        </is>
      </c>
      <c r="F904" s="18" t="n"/>
      <c r="G904" s="19" t="n"/>
      <c r="H904" s="20">
        <f>IF($G904="",1,IF($G904=0,1,IF($G904=1,3,IF($G904=2,7,IF($G904=3,14,IF($G904=4,30,60))))))</f>
        <v/>
      </c>
      <c r="I904" s="21">
        <f>IF($F904="","",$F904+$H904)</f>
        <v/>
      </c>
      <c r="J904">
        <f>IF($F904="","⚪ NEW",IF($G904&gt;=5,"✅ DONE",IF($I904&lt;TODAY(),"🔴 OVERDUE",IF($I904=TODAY(),"🟢 TODAY",IF($I904=TODAY()+1,"🔵 TOMORROW",IF($I904&lt;=TODAY()+7,"📅 THIS WEEK","⏳ SCHEDULED"))))))</f>
        <v/>
      </c>
      <c r="K904" s="20">
        <f>IF($F904="",999,IF($G904&gt;=5,9999,IF($I904="",999,$I904-TODAY())))</f>
        <v/>
      </c>
    </row>
    <row r="905">
      <c r="A905" s="24">
        <f>ROW()-2</f>
        <v/>
      </c>
      <c r="B905" s="25" t="inlineStr">
        <is>
          <t>S7</t>
        </is>
      </c>
      <c r="C905" s="25" t="inlineStr">
        <is>
          <t>Hématologie - Oncologie</t>
        </is>
      </c>
      <c r="D905" s="25" t="inlineStr">
        <is>
          <t>Hématologie</t>
        </is>
      </c>
      <c r="E905" s="25" t="inlineStr">
        <is>
          <t>Anémie par déficit en G6PD</t>
        </is>
      </c>
      <c r="F905" s="18" t="n"/>
      <c r="G905" s="19" t="n"/>
      <c r="H905" s="20">
        <f>IF($G905="",1,IF($G905=0,1,IF($G905=1,3,IF($G905=2,7,IF($G905=3,14,IF($G905=4,30,60))))))</f>
        <v/>
      </c>
      <c r="I905" s="21">
        <f>IF($F905="","",$F905+$H905)</f>
        <v/>
      </c>
      <c r="J905">
        <f>IF($F905="","⚪ NEW",IF($G905&gt;=5,"✅ DONE",IF($I905&lt;TODAY(),"🔴 OVERDUE",IF($I905=TODAY(),"🟢 TODAY",IF($I905=TODAY()+1,"🔵 TOMORROW",IF($I905&lt;=TODAY()+7,"📅 THIS WEEK","⏳ SCHEDULED"))))))</f>
        <v/>
      </c>
      <c r="K905" s="20">
        <f>IF($F905="",999,IF($G905&gt;=5,9999,IF($I905="",999,$I905-TODAY())))</f>
        <v/>
      </c>
    </row>
    <row r="906">
      <c r="A906" s="24">
        <f>ROW()-2</f>
        <v/>
      </c>
      <c r="B906" s="25" t="inlineStr">
        <is>
          <t>S7</t>
        </is>
      </c>
      <c r="C906" s="25" t="inlineStr">
        <is>
          <t>Hématologie - Oncologie</t>
        </is>
      </c>
      <c r="D906" s="25" t="inlineStr">
        <is>
          <t>Hématologie</t>
        </is>
      </c>
      <c r="E906" s="25" t="inlineStr">
        <is>
          <t>Sphérocytose héréditaire</t>
        </is>
      </c>
      <c r="F906" s="18" t="n"/>
      <c r="G906" s="19" t="n"/>
      <c r="H906" s="20">
        <f>IF($G906="",1,IF($G906=0,1,IF($G906=1,3,IF($G906=2,7,IF($G906=3,14,IF($G906=4,30,60))))))</f>
        <v/>
      </c>
      <c r="I906" s="21">
        <f>IF($F906="","",$F906+$H906)</f>
        <v/>
      </c>
      <c r="J906">
        <f>IF($F906="","⚪ NEW",IF($G906&gt;=5,"✅ DONE",IF($I906&lt;TODAY(),"🔴 OVERDUE",IF($I906=TODAY(),"🟢 TODAY",IF($I906=TODAY()+1,"🔵 TOMORROW",IF($I906&lt;=TODAY()+7,"📅 THIS WEEK","⏳ SCHEDULED"))))))</f>
        <v/>
      </c>
      <c r="K906" s="20">
        <f>IF($F906="",999,IF($G906&gt;=5,9999,IF($I906="",999,$I906-TODAY())))</f>
        <v/>
      </c>
    </row>
    <row r="907">
      <c r="A907" s="24">
        <f>ROW()-2</f>
        <v/>
      </c>
      <c r="B907" s="25" t="inlineStr">
        <is>
          <t>S7</t>
        </is>
      </c>
      <c r="C907" s="25" t="inlineStr">
        <is>
          <t>Hématologie - Oncologie</t>
        </is>
      </c>
      <c r="D907" s="25" t="inlineStr">
        <is>
          <t>Hématologie</t>
        </is>
      </c>
      <c r="E907" s="25" t="inlineStr">
        <is>
          <t>Drépanocytose</t>
        </is>
      </c>
      <c r="F907" s="18" t="n"/>
      <c r="G907" s="19" t="n"/>
      <c r="H907" s="20">
        <f>IF($G907="",1,IF($G907=0,1,IF($G907=1,3,IF($G907=2,7,IF($G907=3,14,IF($G907=4,30,60))))))</f>
        <v/>
      </c>
      <c r="I907" s="21">
        <f>IF($F907="","",$F907+$H907)</f>
        <v/>
      </c>
      <c r="J907">
        <f>IF($F907="","⚪ NEW",IF($G907&gt;=5,"✅ DONE",IF($I907&lt;TODAY(),"🔴 OVERDUE",IF($I907=TODAY(),"🟢 TODAY",IF($I907=TODAY()+1,"🔵 TOMORROW",IF($I907&lt;=TODAY()+7,"📅 THIS WEEK","⏳ SCHEDULED"))))))</f>
        <v/>
      </c>
      <c r="K907" s="20">
        <f>IF($F907="",999,IF($G907&gt;=5,9999,IF($I907="",999,$I907-TODAY())))</f>
        <v/>
      </c>
    </row>
    <row r="908">
      <c r="A908" s="24">
        <f>ROW()-2</f>
        <v/>
      </c>
      <c r="B908" s="25" t="inlineStr">
        <is>
          <t>S7</t>
        </is>
      </c>
      <c r="C908" s="25" t="inlineStr">
        <is>
          <t>Hématologie - Oncologie</t>
        </is>
      </c>
      <c r="D908" s="25" t="inlineStr">
        <is>
          <t>Hématologie</t>
        </is>
      </c>
      <c r="E908" s="25" t="inlineStr">
        <is>
          <t>Thalassémie</t>
        </is>
      </c>
      <c r="F908" s="18" t="n"/>
      <c r="G908" s="19" t="n"/>
      <c r="H908" s="20">
        <f>IF($G908="",1,IF($G908=0,1,IF($G908=1,3,IF($G908=2,7,IF($G908=3,14,IF($G908=4,30,60))))))</f>
        <v/>
      </c>
      <c r="I908" s="21">
        <f>IF($F908="","",$F908+$H908)</f>
        <v/>
      </c>
      <c r="J908">
        <f>IF($F908="","⚪ NEW",IF($G908&gt;=5,"✅ DONE",IF($I908&lt;TODAY(),"🔴 OVERDUE",IF($I908=TODAY(),"🟢 TODAY",IF($I908=TODAY()+1,"🔵 TOMORROW",IF($I908&lt;=TODAY()+7,"📅 THIS WEEK","⏳ SCHEDULED"))))))</f>
        <v/>
      </c>
      <c r="K908" s="20">
        <f>IF($F908="",999,IF($G908&gt;=5,9999,IF($I908="",999,$I908-TODAY())))</f>
        <v/>
      </c>
    </row>
    <row r="909">
      <c r="A909" s="24">
        <f>ROW()-2</f>
        <v/>
      </c>
      <c r="B909" s="25" t="inlineStr">
        <is>
          <t>S7</t>
        </is>
      </c>
      <c r="C909" s="25" t="inlineStr">
        <is>
          <t>Hématologie - Oncologie</t>
        </is>
      </c>
      <c r="D909" s="25" t="inlineStr">
        <is>
          <t>Hématologie</t>
        </is>
      </c>
      <c r="E909" s="25" t="inlineStr">
        <is>
          <t>Leucémie aiguë</t>
        </is>
      </c>
      <c r="F909" s="18" t="n"/>
      <c r="G909" s="19" t="n"/>
      <c r="H909" s="20">
        <f>IF($G909="",1,IF($G909=0,1,IF($G909=1,3,IF($G909=2,7,IF($G909=3,14,IF($G909=4,30,60))))))</f>
        <v/>
      </c>
      <c r="I909" s="21">
        <f>IF($F909="","",$F909+$H909)</f>
        <v/>
      </c>
      <c r="J909">
        <f>IF($F909="","⚪ NEW",IF($G909&gt;=5,"✅ DONE",IF($I909&lt;TODAY(),"🔴 OVERDUE",IF($I909=TODAY(),"🟢 TODAY",IF($I909=TODAY()+1,"🔵 TOMORROW",IF($I909&lt;=TODAY()+7,"📅 THIS WEEK","⏳ SCHEDULED"))))))</f>
        <v/>
      </c>
      <c r="K909" s="20">
        <f>IF($F909="",999,IF($G909&gt;=5,9999,IF($I909="",999,$I909-TODAY())))</f>
        <v/>
      </c>
    </row>
    <row r="910">
      <c r="A910" s="24">
        <f>ROW()-2</f>
        <v/>
      </c>
      <c r="B910" s="25" t="inlineStr">
        <is>
          <t>S7</t>
        </is>
      </c>
      <c r="C910" s="25" t="inlineStr">
        <is>
          <t>Hématologie - Oncologie</t>
        </is>
      </c>
      <c r="D910" s="25" t="inlineStr">
        <is>
          <t>Hématologie</t>
        </is>
      </c>
      <c r="E910" s="25" t="inlineStr">
        <is>
          <t>Leucémie myéloïde chronique</t>
        </is>
      </c>
      <c r="F910" s="18" t="n"/>
      <c r="G910" s="19" t="n"/>
      <c r="H910" s="20">
        <f>IF($G910="",1,IF($G910=0,1,IF($G910=1,3,IF($G910=2,7,IF($G910=3,14,IF($G910=4,30,60))))))</f>
        <v/>
      </c>
      <c r="I910" s="21">
        <f>IF($F910="","",$F910+$H910)</f>
        <v/>
      </c>
      <c r="J910">
        <f>IF($F910="","⚪ NEW",IF($G910&gt;=5,"✅ DONE",IF($I910&lt;TODAY(),"🔴 OVERDUE",IF($I910=TODAY(),"🟢 TODAY",IF($I910=TODAY()+1,"🔵 TOMORROW",IF($I910&lt;=TODAY()+7,"📅 THIS WEEK","⏳ SCHEDULED"))))))</f>
        <v/>
      </c>
      <c r="K910" s="20">
        <f>IF($F910="",999,IF($G910&gt;=5,9999,IF($I910="",999,$I910-TODAY())))</f>
        <v/>
      </c>
    </row>
    <row r="911">
      <c r="A911" s="24">
        <f>ROW()-2</f>
        <v/>
      </c>
      <c r="B911" s="25" t="inlineStr">
        <is>
          <t>S7</t>
        </is>
      </c>
      <c r="C911" s="25" t="inlineStr">
        <is>
          <t>Hématologie - Oncologie</t>
        </is>
      </c>
      <c r="D911" s="25" t="inlineStr">
        <is>
          <t>Hématologie</t>
        </is>
      </c>
      <c r="E911" s="25" t="inlineStr">
        <is>
          <t>Leucémie lymphoïde chronique (LLC)</t>
        </is>
      </c>
      <c r="F911" s="18" t="n"/>
      <c r="G911" s="19" t="n"/>
      <c r="H911" s="20">
        <f>IF($G911="",1,IF($G911=0,1,IF($G911=1,3,IF($G911=2,7,IF($G911=3,14,IF($G911=4,30,60))))))</f>
        <v/>
      </c>
      <c r="I911" s="21">
        <f>IF($F911="","",$F911+$H911)</f>
        <v/>
      </c>
      <c r="J911">
        <f>IF($F911="","⚪ NEW",IF($G911&gt;=5,"✅ DONE",IF($I911&lt;TODAY(),"🔴 OVERDUE",IF($I911=TODAY(),"🟢 TODAY",IF($I911=TODAY()+1,"🔵 TOMORROW",IF($I911&lt;=TODAY()+7,"📅 THIS WEEK","⏳ SCHEDULED"))))))</f>
        <v/>
      </c>
      <c r="K911" s="20">
        <f>IF($F911="",999,IF($G911&gt;=5,9999,IF($I911="",999,$I911-TODAY())))</f>
        <v/>
      </c>
    </row>
    <row r="912">
      <c r="A912" s="24">
        <f>ROW()-2</f>
        <v/>
      </c>
      <c r="B912" s="25" t="inlineStr">
        <is>
          <t>S7</t>
        </is>
      </c>
      <c r="C912" s="25" t="inlineStr">
        <is>
          <t>Hématologie - Oncologie</t>
        </is>
      </c>
      <c r="D912" s="25" t="inlineStr">
        <is>
          <t>Hématologie</t>
        </is>
      </c>
      <c r="E912" s="25" t="inlineStr">
        <is>
          <t>Syndromes myéloprolifératifs Philadelphie négatifs</t>
        </is>
      </c>
      <c r="F912" s="18" t="n"/>
      <c r="G912" s="19" t="n"/>
      <c r="H912" s="20">
        <f>IF($G912="",1,IF($G912=0,1,IF($G912=1,3,IF($G912=2,7,IF($G912=3,14,IF($G912=4,30,60))))))</f>
        <v/>
      </c>
      <c r="I912" s="21">
        <f>IF($F912="","",$F912+$H912)</f>
        <v/>
      </c>
      <c r="J912">
        <f>IF($F912="","⚪ NEW",IF($G912&gt;=5,"✅ DONE",IF($I912&lt;TODAY(),"🔴 OVERDUE",IF($I912=TODAY(),"🟢 TODAY",IF($I912=TODAY()+1,"🔵 TOMORROW",IF($I912&lt;=TODAY()+7,"📅 THIS WEEK","⏳ SCHEDULED"))))))</f>
        <v/>
      </c>
      <c r="K912" s="20">
        <f>IF($F912="",999,IF($G912&gt;=5,9999,IF($I912="",999,$I912-TODAY())))</f>
        <v/>
      </c>
    </row>
    <row r="913">
      <c r="A913" s="24">
        <f>ROW()-2</f>
        <v/>
      </c>
      <c r="B913" s="25" t="inlineStr">
        <is>
          <t>S7</t>
        </is>
      </c>
      <c r="C913" s="25" t="inlineStr">
        <is>
          <t>Hématologie - Oncologie</t>
        </is>
      </c>
      <c r="D913" s="25" t="inlineStr">
        <is>
          <t>Hématologie</t>
        </is>
      </c>
      <c r="E913" s="25" t="inlineStr">
        <is>
          <t>Lymphome malin non hodgkinien (LMNH)</t>
        </is>
      </c>
      <c r="F913" s="18" t="n"/>
      <c r="G913" s="19" t="n"/>
      <c r="H913" s="20">
        <f>IF($G913="",1,IF($G913=0,1,IF($G913=1,3,IF($G913=2,7,IF($G913=3,14,IF($G913=4,30,60))))))</f>
        <v/>
      </c>
      <c r="I913" s="21">
        <f>IF($F913="","",$F913+$H913)</f>
        <v/>
      </c>
      <c r="J913">
        <f>IF($F913="","⚪ NEW",IF($G913&gt;=5,"✅ DONE",IF($I913&lt;TODAY(),"🔴 OVERDUE",IF($I913=TODAY(),"🟢 TODAY",IF($I913=TODAY()+1,"🔵 TOMORROW",IF($I913&lt;=TODAY()+7,"📅 THIS WEEK","⏳ SCHEDULED"))))))</f>
        <v/>
      </c>
      <c r="K913" s="20">
        <f>IF($F913="",999,IF($G913&gt;=5,9999,IF($I913="",999,$I913-TODAY())))</f>
        <v/>
      </c>
    </row>
    <row r="914">
      <c r="A914" s="24">
        <f>ROW()-2</f>
        <v/>
      </c>
      <c r="B914" s="25" t="inlineStr">
        <is>
          <t>S7</t>
        </is>
      </c>
      <c r="C914" s="25" t="inlineStr">
        <is>
          <t>Hématologie - Oncologie</t>
        </is>
      </c>
      <c r="D914" s="25" t="inlineStr">
        <is>
          <t>Hématologie</t>
        </is>
      </c>
      <c r="E914" s="25" t="inlineStr">
        <is>
          <t>Maladie de Hodgkin</t>
        </is>
      </c>
      <c r="F914" s="18" t="n"/>
      <c r="G914" s="19" t="n"/>
      <c r="H914" s="20">
        <f>IF($G914="",1,IF($G914=0,1,IF($G914=1,3,IF($G914=2,7,IF($G914=3,14,IF($G914=4,30,60))))))</f>
        <v/>
      </c>
      <c r="I914" s="21">
        <f>IF($F914="","",$F914+$H914)</f>
        <v/>
      </c>
      <c r="J914">
        <f>IF($F914="","⚪ NEW",IF($G914&gt;=5,"✅ DONE",IF($I914&lt;TODAY(),"🔴 OVERDUE",IF($I914=TODAY(),"🟢 TODAY",IF($I914=TODAY()+1,"🔵 TOMORROW",IF($I914&lt;=TODAY()+7,"📅 THIS WEEK","⏳ SCHEDULED"))))))</f>
        <v/>
      </c>
      <c r="K914" s="20">
        <f>IF($F914="",999,IF($G914&gt;=5,9999,IF($I914="",999,$I914-TODAY())))</f>
        <v/>
      </c>
    </row>
    <row r="915">
      <c r="A915" s="24">
        <f>ROW()-2</f>
        <v/>
      </c>
      <c r="B915" s="25" t="inlineStr">
        <is>
          <t>S7</t>
        </is>
      </c>
      <c r="C915" s="25" t="inlineStr">
        <is>
          <t>Hématologie - Oncologie</t>
        </is>
      </c>
      <c r="D915" s="25" t="inlineStr">
        <is>
          <t>Hématologie</t>
        </is>
      </c>
      <c r="E915" s="25" t="inlineStr">
        <is>
          <t>Myélome multiple</t>
        </is>
      </c>
      <c r="F915" s="18" t="n"/>
      <c r="G915" s="19" t="n"/>
      <c r="H915" s="20">
        <f>IF($G915="",1,IF($G915=0,1,IF($G915=1,3,IF($G915=2,7,IF($G915=3,14,IF($G915=4,30,60))))))</f>
        <v/>
      </c>
      <c r="I915" s="21">
        <f>IF($F915="","",$F915+$H915)</f>
        <v/>
      </c>
      <c r="J915">
        <f>IF($F915="","⚪ NEW",IF($G915&gt;=5,"✅ DONE",IF($I915&lt;TODAY(),"🔴 OVERDUE",IF($I915=TODAY(),"🟢 TODAY",IF($I915=TODAY()+1,"🔵 TOMORROW",IF($I915&lt;=TODAY()+7,"📅 THIS WEEK","⏳ SCHEDULED"))))))</f>
        <v/>
      </c>
      <c r="K915" s="20">
        <f>IF($F915="",999,IF($G915&gt;=5,9999,IF($I915="",999,$I915-TODAY())))</f>
        <v/>
      </c>
    </row>
    <row r="916">
      <c r="A916" s="24">
        <f>ROW()-2</f>
        <v/>
      </c>
      <c r="B916" s="25" t="inlineStr">
        <is>
          <t>S7</t>
        </is>
      </c>
      <c r="C916" s="25" t="inlineStr">
        <is>
          <t>Hématologie - Oncologie</t>
        </is>
      </c>
      <c r="D916" s="25" t="inlineStr">
        <is>
          <t>Hématologie</t>
        </is>
      </c>
      <c r="E916" s="25" t="inlineStr">
        <is>
          <t>Purpura thrombopénique immunologique (PTI)</t>
        </is>
      </c>
      <c r="F916" s="18" t="n"/>
      <c r="G916" s="19" t="n"/>
      <c r="H916" s="20">
        <f>IF($G916="",1,IF($G916=0,1,IF($G916=1,3,IF($G916=2,7,IF($G916=3,14,IF($G916=4,30,60))))))</f>
        <v/>
      </c>
      <c r="I916" s="21">
        <f>IF($F916="","",$F916+$H916)</f>
        <v/>
      </c>
      <c r="J916">
        <f>IF($F916="","⚪ NEW",IF($G916&gt;=5,"✅ DONE",IF($I916&lt;TODAY(),"🔴 OVERDUE",IF($I916=TODAY(),"🟢 TODAY",IF($I916=TODAY()+1,"🔵 TOMORROW",IF($I916&lt;=TODAY()+7,"📅 THIS WEEK","⏳ SCHEDULED"))))))</f>
        <v/>
      </c>
      <c r="K916" s="20">
        <f>IF($F916="",999,IF($G916&gt;=5,9999,IF($I916="",999,$I916-TODAY())))</f>
        <v/>
      </c>
    </row>
    <row r="917">
      <c r="A917" s="24">
        <f>ROW()-2</f>
        <v/>
      </c>
      <c r="B917" s="25" t="inlineStr">
        <is>
          <t>S7</t>
        </is>
      </c>
      <c r="C917" s="25" t="inlineStr">
        <is>
          <t>Hématologie - Oncologie</t>
        </is>
      </c>
      <c r="D917" s="25" t="inlineStr">
        <is>
          <t>Hématologie</t>
        </is>
      </c>
      <c r="E917" s="25" t="inlineStr">
        <is>
          <t>Hémophilie</t>
        </is>
      </c>
      <c r="F917" s="18" t="n"/>
      <c r="G917" s="19" t="n"/>
      <c r="H917" s="20">
        <f>IF($G917="",1,IF($G917=0,1,IF($G917=1,3,IF($G917=2,7,IF($G917=3,14,IF($G917=4,30,60))))))</f>
        <v/>
      </c>
      <c r="I917" s="21">
        <f>IF($F917="","",$F917+$H917)</f>
        <v/>
      </c>
      <c r="J917">
        <f>IF($F917="","⚪ NEW",IF($G917&gt;=5,"✅ DONE",IF($I917&lt;TODAY(),"🔴 OVERDUE",IF($I917=TODAY(),"🟢 TODAY",IF($I917=TODAY()+1,"🔵 TOMORROW",IF($I917&lt;=TODAY()+7,"📅 THIS WEEK","⏳ SCHEDULED"))))))</f>
        <v/>
      </c>
      <c r="K917" s="20">
        <f>IF($F917="",999,IF($G917&gt;=5,9999,IF($I917="",999,$I917-TODAY())))</f>
        <v/>
      </c>
    </row>
    <row r="918">
      <c r="A918" s="24">
        <f>ROW()-2</f>
        <v/>
      </c>
      <c r="B918" s="25" t="inlineStr">
        <is>
          <t>S7</t>
        </is>
      </c>
      <c r="C918" s="25" t="inlineStr">
        <is>
          <t>Hématologie - Oncologie</t>
        </is>
      </c>
      <c r="D918" s="25" t="inlineStr">
        <is>
          <t>Hématologie</t>
        </is>
      </c>
      <c r="E918" s="25" t="inlineStr">
        <is>
          <t>Transfusion sanguine</t>
        </is>
      </c>
      <c r="F918" s="18" t="n"/>
      <c r="G918" s="19" t="n"/>
      <c r="H918" s="20">
        <f>IF($G918="",1,IF($G918=0,1,IF($G918=1,3,IF($G918=2,7,IF($G918=3,14,IF($G918=4,30,60))))))</f>
        <v/>
      </c>
      <c r="I918" s="21">
        <f>IF($F918="","",$F918+$H918)</f>
        <v/>
      </c>
      <c r="J918">
        <f>IF($F918="","⚪ NEW",IF($G918&gt;=5,"✅ DONE",IF($I918&lt;TODAY(),"🔴 OVERDUE",IF($I918=TODAY(),"🟢 TODAY",IF($I918=TODAY()+1,"🔵 TOMORROW",IF($I918&lt;=TODAY()+7,"📅 THIS WEEK","⏳ SCHEDULED"))))))</f>
        <v/>
      </c>
      <c r="K918" s="20">
        <f>IF($F918="",999,IF($G918&gt;=5,9999,IF($I918="",999,$I918-TODAY())))</f>
        <v/>
      </c>
    </row>
    <row r="919">
      <c r="A919" s="24">
        <f>ROW()-2</f>
        <v/>
      </c>
      <c r="B919" s="25" t="inlineStr">
        <is>
          <t>S7</t>
        </is>
      </c>
      <c r="C919" s="25" t="inlineStr">
        <is>
          <t>Hématologie - Oncologie</t>
        </is>
      </c>
      <c r="D919" s="25" t="inlineStr">
        <is>
          <t>Hématologie</t>
        </is>
      </c>
      <c r="E919" s="25" t="inlineStr">
        <is>
          <t>Urgences hématologiques 1 : syndrome de leucostase et CIVD</t>
        </is>
      </c>
      <c r="F919" s="18" t="n"/>
      <c r="G919" s="19" t="n"/>
      <c r="H919" s="20">
        <f>IF($G919="",1,IF($G919=0,1,IF($G919=1,3,IF($G919=2,7,IF($G919=3,14,IF($G919=4,30,60))))))</f>
        <v/>
      </c>
      <c r="I919" s="21">
        <f>IF($F919="","",$F919+$H919)</f>
        <v/>
      </c>
      <c r="J919">
        <f>IF($F919="","⚪ NEW",IF($G919&gt;=5,"✅ DONE",IF($I919&lt;TODAY(),"🔴 OVERDUE",IF($I919=TODAY(),"🟢 TODAY",IF($I919=TODAY()+1,"🔵 TOMORROW",IF($I919&lt;=TODAY()+7,"📅 THIS WEEK","⏳ SCHEDULED"))))))</f>
        <v/>
      </c>
      <c r="K919" s="20">
        <f>IF($F919="",999,IF($G919&gt;=5,9999,IF($I919="",999,$I919-TODAY())))</f>
        <v/>
      </c>
    </row>
    <row r="920">
      <c r="A920" s="24">
        <f>ROW()-2</f>
        <v/>
      </c>
      <c r="B920" s="25" t="inlineStr">
        <is>
          <t>S7</t>
        </is>
      </c>
      <c r="C920" s="25" t="inlineStr">
        <is>
          <t>Hématologie - Oncologie</t>
        </is>
      </c>
      <c r="D920" s="25" t="inlineStr">
        <is>
          <t>Hématologie</t>
        </is>
      </c>
      <c r="E920" s="25" t="inlineStr">
        <is>
          <t>Urgences hématologiques 2 : syndrome de lyse tumorale et neutropénie fébrile</t>
        </is>
      </c>
      <c r="F920" s="18" t="n"/>
      <c r="G920" s="19" t="n"/>
      <c r="H920" s="20">
        <f>IF($G920="",1,IF($G920=0,1,IF($G920=1,3,IF($G920=2,7,IF($G920=3,14,IF($G920=4,30,60))))))</f>
        <v/>
      </c>
      <c r="I920" s="21">
        <f>IF($F920="","",$F920+$H920)</f>
        <v/>
      </c>
      <c r="J920">
        <f>IF($F920="","⚪ NEW",IF($G920&gt;=5,"✅ DONE",IF($I920&lt;TODAY(),"🔴 OVERDUE",IF($I920=TODAY(),"🟢 TODAY",IF($I920=TODAY()+1,"🔵 TOMORROW",IF($I920&lt;=TODAY()+7,"📅 THIS WEEK","⏳ SCHEDULED"))))))</f>
        <v/>
      </c>
      <c r="K920" s="20">
        <f>IF($F920="",999,IF($G920&gt;=5,9999,IF($I920="",999,$I920-TODAY())))</f>
        <v/>
      </c>
    </row>
    <row r="921">
      <c r="A921" s="24">
        <f>ROW()-2</f>
        <v/>
      </c>
      <c r="B921" s="25" t="inlineStr">
        <is>
          <t>S7</t>
        </is>
      </c>
      <c r="C921" s="25" t="inlineStr">
        <is>
          <t>Hématologie - Oncologie</t>
        </is>
      </c>
      <c r="D921" s="25" t="inlineStr">
        <is>
          <t>Oncologie</t>
        </is>
      </c>
      <c r="E921" s="25" t="inlineStr">
        <is>
          <t>Épidémiologie des cancers</t>
        </is>
      </c>
      <c r="F921" s="18" t="n"/>
      <c r="G921" s="19" t="n"/>
      <c r="H921" s="20">
        <f>IF($G921="",1,IF($G921=0,1,IF($G921=1,3,IF($G921=2,7,IF($G921=3,14,IF($G921=4,30,60))))))</f>
        <v/>
      </c>
      <c r="I921" s="21">
        <f>IF($F921="","",$F921+$H921)</f>
        <v/>
      </c>
      <c r="J921">
        <f>IF($F921="","⚪ NEW",IF($G921&gt;=5,"✅ DONE",IF($I921&lt;TODAY(),"🔴 OVERDUE",IF($I921=TODAY(),"🟢 TODAY",IF($I921=TODAY()+1,"🔵 TOMORROW",IF($I921&lt;=TODAY()+7,"📅 THIS WEEK","⏳ SCHEDULED"))))))</f>
        <v/>
      </c>
      <c r="K921" s="20">
        <f>IF($F921="",999,IF($G921&gt;=5,9999,IF($I921="",999,$I921-TODAY())))</f>
        <v/>
      </c>
    </row>
    <row r="922">
      <c r="A922" s="24">
        <f>ROW()-2</f>
        <v/>
      </c>
      <c r="B922" s="25" t="inlineStr">
        <is>
          <t>S7</t>
        </is>
      </c>
      <c r="C922" s="25" t="inlineStr">
        <is>
          <t>Hématologie - Oncologie</t>
        </is>
      </c>
      <c r="D922" s="25" t="inlineStr">
        <is>
          <t>Oncologie</t>
        </is>
      </c>
      <c r="E922" s="25" t="inlineStr">
        <is>
          <t>Diagnostic, bilan d'extension et classification des cancers</t>
        </is>
      </c>
      <c r="F922" s="18" t="n"/>
      <c r="G922" s="19" t="n"/>
      <c r="H922" s="20">
        <f>IF($G922="",1,IF($G922=0,1,IF($G922=1,3,IF($G922=2,7,IF($G922=3,14,IF($G922=4,30,60))))))</f>
        <v/>
      </c>
      <c r="I922" s="21">
        <f>IF($F922="","",$F922+$H922)</f>
        <v/>
      </c>
      <c r="J922">
        <f>IF($F922="","⚪ NEW",IF($G922&gt;=5,"✅ DONE",IF($I922&lt;TODAY(),"🔴 OVERDUE",IF($I922=TODAY(),"🟢 TODAY",IF($I922=TODAY()+1,"🔵 TOMORROW",IF($I922&lt;=TODAY()+7,"📅 THIS WEEK","⏳ SCHEDULED"))))))</f>
        <v/>
      </c>
      <c r="K922" s="20">
        <f>IF($F922="",999,IF($G922&gt;=5,9999,IF($I922="",999,$I922-TODAY())))</f>
        <v/>
      </c>
    </row>
    <row r="923">
      <c r="A923" s="24">
        <f>ROW()-2</f>
        <v/>
      </c>
      <c r="B923" s="25" t="inlineStr">
        <is>
          <t>S7</t>
        </is>
      </c>
      <c r="C923" s="25" t="inlineStr">
        <is>
          <t>Hématologie - Oncologie</t>
        </is>
      </c>
      <c r="D923" s="25" t="inlineStr">
        <is>
          <t>Oncologie</t>
        </is>
      </c>
      <c r="E923" s="25" t="inlineStr">
        <is>
          <t>Douleur et cancer</t>
        </is>
      </c>
      <c r="F923" s="18" t="n"/>
      <c r="G923" s="19" t="n"/>
      <c r="H923" s="20">
        <f>IF($G923="",1,IF($G923=0,1,IF($G923=1,3,IF($G923=2,7,IF($G923=3,14,IF($G923=4,30,60))))))</f>
        <v/>
      </c>
      <c r="I923" s="21">
        <f>IF($F923="","",$F923+$H923)</f>
        <v/>
      </c>
      <c r="J923">
        <f>IF($F923="","⚪ NEW",IF($G923&gt;=5,"✅ DONE",IF($I923&lt;TODAY(),"🔴 OVERDUE",IF($I923=TODAY(),"🟢 TODAY",IF($I923=TODAY()+1,"🔵 TOMORROW",IF($I923&lt;=TODAY()+7,"📅 THIS WEEK","⏳ SCHEDULED"))))))</f>
        <v/>
      </c>
      <c r="K923" s="20">
        <f>IF($F923="",999,IF($G923&gt;=5,9999,IF($I923="",999,$I923-TODAY())))</f>
        <v/>
      </c>
    </row>
    <row r="924">
      <c r="A924" s="24">
        <f>ROW()-2</f>
        <v/>
      </c>
      <c r="B924" s="25" t="inlineStr">
        <is>
          <t>S7</t>
        </is>
      </c>
      <c r="C924" s="25" t="inlineStr">
        <is>
          <t>Hématologie - Oncologie</t>
        </is>
      </c>
      <c r="D924" s="25" t="inlineStr">
        <is>
          <t>Oncologie</t>
        </is>
      </c>
      <c r="E924" s="25" t="inlineStr">
        <is>
          <t>Urgences oncologiques</t>
        </is>
      </c>
      <c r="F924" s="18" t="n"/>
      <c r="G924" s="19" t="n"/>
      <c r="H924" s="20">
        <f>IF($G924="",1,IF($G924=0,1,IF($G924=1,3,IF($G924=2,7,IF($G924=3,14,IF($G924=4,30,60))))))</f>
        <v/>
      </c>
      <c r="I924" s="21">
        <f>IF($F924="","",$F924+$H924)</f>
        <v/>
      </c>
      <c r="J924">
        <f>IF($F924="","⚪ NEW",IF($G924&gt;=5,"✅ DONE",IF($I924&lt;TODAY(),"🔴 OVERDUE",IF($I924=TODAY(),"🟢 TODAY",IF($I924=TODAY()+1,"🔵 TOMORROW",IF($I924&lt;=TODAY()+7,"📅 THIS WEEK","⏳ SCHEDULED"))))))</f>
        <v/>
      </c>
      <c r="K924" s="20">
        <f>IF($F924="",999,IF($G924&gt;=5,9999,IF($I924="",999,$I924-TODAY())))</f>
        <v/>
      </c>
    </row>
    <row r="925">
      <c r="A925" s="24">
        <f>ROW()-2</f>
        <v/>
      </c>
      <c r="B925" s="25" t="inlineStr">
        <is>
          <t>S7</t>
        </is>
      </c>
      <c r="C925" s="25" t="inlineStr">
        <is>
          <t>Hématologie - Oncologie</t>
        </is>
      </c>
      <c r="D925" s="25" t="inlineStr">
        <is>
          <t>Oncologie</t>
        </is>
      </c>
      <c r="E925" s="25" t="inlineStr">
        <is>
          <t>Radiothérapie</t>
        </is>
      </c>
      <c r="F925" s="18" t="n"/>
      <c r="G925" s="19" t="n"/>
      <c r="H925" s="20">
        <f>IF($G925="",1,IF($G925=0,1,IF($G925=1,3,IF($G925=2,7,IF($G925=3,14,IF($G925=4,30,60))))))</f>
        <v/>
      </c>
      <c r="I925" s="21">
        <f>IF($F925="","",$F925+$H925)</f>
        <v/>
      </c>
      <c r="J925">
        <f>IF($F925="","⚪ NEW",IF($G925&gt;=5,"✅ DONE",IF($I925&lt;TODAY(),"🔴 OVERDUE",IF($I925=TODAY(),"🟢 TODAY",IF($I925=TODAY()+1,"🔵 TOMORROW",IF($I925&lt;=TODAY()+7,"📅 THIS WEEK","⏳ SCHEDULED"))))))</f>
        <v/>
      </c>
      <c r="K925" s="20">
        <f>IF($F925="",999,IF($G925&gt;=5,9999,IF($I925="",999,$I925-TODAY())))</f>
        <v/>
      </c>
    </row>
    <row r="926">
      <c r="A926" s="24">
        <f>ROW()-2</f>
        <v/>
      </c>
      <c r="B926" s="25" t="inlineStr">
        <is>
          <t>S7</t>
        </is>
      </c>
      <c r="C926" s="25" t="inlineStr">
        <is>
          <t>Hématologie - Oncologie</t>
        </is>
      </c>
      <c r="D926" s="25" t="inlineStr">
        <is>
          <t>Oncologie</t>
        </is>
      </c>
      <c r="E926" s="25" t="inlineStr">
        <is>
          <t>Chimiothérapie</t>
        </is>
      </c>
      <c r="F926" s="18" t="n"/>
      <c r="G926" s="19" t="n"/>
      <c r="H926" s="20">
        <f>IF($G926="",1,IF($G926=0,1,IF($G926=1,3,IF($G926=2,7,IF($G926=3,14,IF($G926=4,30,60))))))</f>
        <v/>
      </c>
      <c r="I926" s="21">
        <f>IF($F926="","",$F926+$H926)</f>
        <v/>
      </c>
      <c r="J926">
        <f>IF($F926="","⚪ NEW",IF($G926&gt;=5,"✅ DONE",IF($I926&lt;TODAY(),"🔴 OVERDUE",IF($I926=TODAY(),"🟢 TODAY",IF($I926=TODAY()+1,"🔵 TOMORROW",IF($I926&lt;=TODAY()+7,"📅 THIS WEEK","⏳ SCHEDULED"))))))</f>
        <v/>
      </c>
      <c r="K926" s="20">
        <f>IF($F926="",999,IF($G926&gt;=5,9999,IF($I926="",999,$I926-TODAY())))</f>
        <v/>
      </c>
    </row>
    <row r="927">
      <c r="A927" s="24">
        <f>ROW()-2</f>
        <v/>
      </c>
      <c r="B927" s="25" t="inlineStr">
        <is>
          <t>S7</t>
        </is>
      </c>
      <c r="C927" s="25" t="inlineStr">
        <is>
          <t>Hématologie - Oncologie</t>
        </is>
      </c>
      <c r="D927" s="25" t="inlineStr">
        <is>
          <t>Oncologie</t>
        </is>
      </c>
      <c r="E927" s="25" t="inlineStr">
        <is>
          <t>Hormonothérapie</t>
        </is>
      </c>
      <c r="F927" s="18" t="n"/>
      <c r="G927" s="19" t="n"/>
      <c r="H927" s="20">
        <f>IF($G927="",1,IF($G927=0,1,IF($G927=1,3,IF($G927=2,7,IF($G927=3,14,IF($G927=4,30,60))))))</f>
        <v/>
      </c>
      <c r="I927" s="21">
        <f>IF($F927="","",$F927+$H927)</f>
        <v/>
      </c>
      <c r="J927">
        <f>IF($F927="","⚪ NEW",IF($G927&gt;=5,"✅ DONE",IF($I927&lt;TODAY(),"🔴 OVERDUE",IF($I927=TODAY(),"🟢 TODAY",IF($I927=TODAY()+1,"🔵 TOMORROW",IF($I927&lt;=TODAY()+7,"📅 THIS WEEK","⏳ SCHEDULED"))))))</f>
        <v/>
      </c>
      <c r="K927" s="20">
        <f>IF($F927="",999,IF($G927&gt;=5,9999,IF($I927="",999,$I927-TODAY())))</f>
        <v/>
      </c>
    </row>
    <row r="928">
      <c r="A928" s="24">
        <f>ROW()-2</f>
        <v/>
      </c>
      <c r="B928" s="25" t="inlineStr">
        <is>
          <t>S7</t>
        </is>
      </c>
      <c r="C928" s="25" t="inlineStr">
        <is>
          <t>Hématologie - Oncologie</t>
        </is>
      </c>
      <c r="D928" s="25" t="inlineStr">
        <is>
          <t>Oncologie</t>
        </is>
      </c>
      <c r="E928" s="25" t="inlineStr">
        <is>
          <t>Thérapies ciblées</t>
        </is>
      </c>
      <c r="F928" s="18" t="n"/>
      <c r="G928" s="19" t="n"/>
      <c r="H928" s="20">
        <f>IF($G928="",1,IF($G928=0,1,IF($G928=1,3,IF($G928=2,7,IF($G928=3,14,IF($G928=4,30,60))))))</f>
        <v/>
      </c>
      <c r="I928" s="21">
        <f>IF($F928="","",$F928+$H928)</f>
        <v/>
      </c>
      <c r="J928">
        <f>IF($F928="","⚪ NEW",IF($G928&gt;=5,"✅ DONE",IF($I928&lt;TODAY(),"🔴 OVERDUE",IF($I928=TODAY(),"🟢 TODAY",IF($I928=TODAY()+1,"🔵 TOMORROW",IF($I928&lt;=TODAY()+7,"📅 THIS WEEK","⏳ SCHEDULED"))))))</f>
        <v/>
      </c>
      <c r="K928" s="20">
        <f>IF($F928="",999,IF($G928&gt;=5,9999,IF($I928="",999,$I928-TODAY())))</f>
        <v/>
      </c>
    </row>
    <row r="929">
      <c r="A929" s="24">
        <f>ROW()-2</f>
        <v/>
      </c>
      <c r="B929" s="25" t="inlineStr">
        <is>
          <t>S7</t>
        </is>
      </c>
      <c r="C929" s="25" t="inlineStr">
        <is>
          <t>Hématologie - Oncologie</t>
        </is>
      </c>
      <c r="D929" s="25" t="inlineStr">
        <is>
          <t>Oncologie</t>
        </is>
      </c>
      <c r="E929" s="25" t="inlineStr">
        <is>
          <t>Immunothérapie</t>
        </is>
      </c>
      <c r="F929" s="18" t="n"/>
      <c r="G929" s="19" t="n"/>
      <c r="H929" s="20">
        <f>IF($G929="",1,IF($G929=0,1,IF($G929=1,3,IF($G929=2,7,IF($G929=3,14,IF($G929=4,30,60))))))</f>
        <v/>
      </c>
      <c r="I929" s="21">
        <f>IF($F929="","",$F929+$H929)</f>
        <v/>
      </c>
      <c r="J929">
        <f>IF($F929="","⚪ NEW",IF($G929&gt;=5,"✅ DONE",IF($I929&lt;TODAY(),"🔴 OVERDUE",IF($I929=TODAY(),"🟢 TODAY",IF($I929=TODAY()+1,"🔵 TOMORROW",IF($I929&lt;=TODAY()+7,"📅 THIS WEEK","⏳ SCHEDULED"))))))</f>
        <v/>
      </c>
      <c r="K929" s="20">
        <f>IF($F929="",999,IF($G929&gt;=5,9999,IF($I929="",999,$I929-TODAY())))</f>
        <v/>
      </c>
    </row>
    <row r="930">
      <c r="A930" s="26">
        <f>ROW()-2</f>
        <v/>
      </c>
      <c r="B930" s="27" t="inlineStr">
        <is>
          <t>S8</t>
        </is>
      </c>
      <c r="C930" s="27" t="inlineStr">
        <is>
          <t>Maladies de l'appareil locomoteur</t>
        </is>
      </c>
      <c r="D930" s="27" t="inlineStr">
        <is>
          <t>Traumatologie</t>
        </is>
      </c>
      <c r="E930" s="27" t="inlineStr">
        <is>
          <t>Traumatisme du bassin</t>
        </is>
      </c>
      <c r="F930" s="18" t="n"/>
      <c r="G930" s="19" t="n"/>
      <c r="H930" s="20">
        <f>IF($G930="",1,IF($G930=0,1,IF($G930=1,3,IF($G930=2,7,IF($G930=3,14,IF($G930=4,30,60))))))</f>
        <v/>
      </c>
      <c r="I930" s="21">
        <f>IF($F930="","",$F930+$H930)</f>
        <v/>
      </c>
      <c r="J930">
        <f>IF($F930="","⚪ NEW",IF($G930&gt;=5,"✅ DONE",IF($I930&lt;TODAY(),"🔴 OVERDUE",IF($I930=TODAY(),"🟢 TODAY",IF($I930=TODAY()+1,"🔵 TOMORROW",IF($I930&lt;=TODAY()+7,"📅 THIS WEEK","⏳ SCHEDULED"))))))</f>
        <v/>
      </c>
      <c r="K930" s="20">
        <f>IF($F930="",999,IF($G930&gt;=5,9999,IF($I930="",999,$I930-TODAY())))</f>
        <v/>
      </c>
    </row>
    <row r="931">
      <c r="A931" s="26">
        <f>ROW()-2</f>
        <v/>
      </c>
      <c r="B931" s="27" t="inlineStr">
        <is>
          <t>S8</t>
        </is>
      </c>
      <c r="C931" s="27" t="inlineStr">
        <is>
          <t>Maladies de l'appareil locomoteur</t>
        </is>
      </c>
      <c r="D931" s="27" t="inlineStr">
        <is>
          <t>Traumatologie</t>
        </is>
      </c>
      <c r="E931" s="27" t="inlineStr">
        <is>
          <t>Luxation de la hanche</t>
        </is>
      </c>
      <c r="F931" s="18" t="n"/>
      <c r="G931" s="19" t="n"/>
      <c r="H931" s="20">
        <f>IF($G931="",1,IF($G931=0,1,IF($G931=1,3,IF($G931=2,7,IF($G931=3,14,IF($G931=4,30,60))))))</f>
        <v/>
      </c>
      <c r="I931" s="21">
        <f>IF($F931="","",$F931+$H931)</f>
        <v/>
      </c>
      <c r="J931">
        <f>IF($F931="","⚪ NEW",IF($G931&gt;=5,"✅ DONE",IF($I931&lt;TODAY(),"🔴 OVERDUE",IF($I931=TODAY(),"🟢 TODAY",IF($I931=TODAY()+1,"🔵 TOMORROW",IF($I931&lt;=TODAY()+7,"📅 THIS WEEK","⏳ SCHEDULED"))))))</f>
        <v/>
      </c>
      <c r="K931" s="20">
        <f>IF($F931="",999,IF($G931&gt;=5,9999,IF($I931="",999,$I931-TODAY())))</f>
        <v/>
      </c>
    </row>
    <row r="932">
      <c r="A932" s="26">
        <f>ROW()-2</f>
        <v/>
      </c>
      <c r="B932" s="27" t="inlineStr">
        <is>
          <t>S8</t>
        </is>
      </c>
      <c r="C932" s="27" t="inlineStr">
        <is>
          <t>Maladies de l'appareil locomoteur</t>
        </is>
      </c>
      <c r="D932" s="27" t="inlineStr">
        <is>
          <t>Traumatologie</t>
        </is>
      </c>
      <c r="E932" s="27" t="inlineStr">
        <is>
          <t>Fracture de l'extrémité supérieure du fémur (ESF)</t>
        </is>
      </c>
      <c r="F932" s="18" t="n">
        <v>46071</v>
      </c>
      <c r="G932" s="19" t="n">
        <v>0</v>
      </c>
      <c r="H932" s="20">
        <f>IF($G932="",1,IF($G932=0,1,IF($G932=1,3,IF($G932=2,7,IF($G932=3,14,IF($G932=4,30,60))))))</f>
        <v/>
      </c>
      <c r="I932" s="21">
        <f>IF($F932="","",$F932+$H932)</f>
        <v/>
      </c>
      <c r="J932">
        <f>IF($F932="","⚪ NEW",IF($G932&gt;=5,"✅ DONE",IF($I932&lt;TODAY(),"🔴 OVERDUE",IF($I932=TODAY(),"🟢 TODAY",IF($I932=TODAY()+1,"🔵 TOMORROW",IF($I932&lt;=TODAY()+7,"📅 THIS WEEK","⏳ SCHEDULED"))))))</f>
        <v/>
      </c>
      <c r="K932" s="20">
        <f>IF($F932="",999,IF($G932&gt;=5,9999,IF($I932="",999,$I932-TODAY())))</f>
        <v/>
      </c>
    </row>
    <row r="933">
      <c r="A933" s="26">
        <f>ROW()-2</f>
        <v/>
      </c>
      <c r="B933" s="27" t="inlineStr">
        <is>
          <t>S8</t>
        </is>
      </c>
      <c r="C933" s="27" t="inlineStr">
        <is>
          <t>Maladies de l'appareil locomoteur</t>
        </is>
      </c>
      <c r="D933" s="27" t="inlineStr">
        <is>
          <t>Traumatologie</t>
        </is>
      </c>
      <c r="E933" s="27" t="inlineStr">
        <is>
          <t>Fractures du genou</t>
        </is>
      </c>
      <c r="F933" s="18" t="n">
        <v>46071</v>
      </c>
      <c r="G933" s="19" t="n">
        <v>0</v>
      </c>
      <c r="H933" s="20">
        <f>IF($G933="",1,IF($G933=0,1,IF($G933=1,3,IF($G933=2,7,IF($G933=3,14,IF($G933=4,30,60))))))</f>
        <v/>
      </c>
      <c r="I933" s="21">
        <f>IF($F933="","",$F933+$H933)</f>
        <v/>
      </c>
      <c r="J933">
        <f>IF($F933="","⚪ NEW",IF($G933&gt;=5,"✅ DONE",IF($I933&lt;TODAY(),"🔴 OVERDUE",IF($I933=TODAY(),"🟢 TODAY",IF($I933=TODAY()+1,"🔵 TOMORROW",IF($I933&lt;=TODAY()+7,"📅 THIS WEEK","⏳ SCHEDULED"))))))</f>
        <v/>
      </c>
      <c r="K933" s="20">
        <f>IF($F933="",999,IF($G933&gt;=5,9999,IF($I933="",999,$I933-TODAY())))</f>
        <v/>
      </c>
    </row>
    <row r="934">
      <c r="A934" s="26">
        <f>ROW()-2</f>
        <v/>
      </c>
      <c r="B934" s="27" t="inlineStr">
        <is>
          <t>S8</t>
        </is>
      </c>
      <c r="C934" s="27" t="inlineStr">
        <is>
          <t>Maladies de l'appareil locomoteur</t>
        </is>
      </c>
      <c r="D934" s="27" t="inlineStr">
        <is>
          <t>Traumatologie</t>
        </is>
      </c>
      <c r="E934" s="27" t="inlineStr">
        <is>
          <t>Lésions ménisco-ligamentaires du genou</t>
        </is>
      </c>
      <c r="F934" s="18" t="n"/>
      <c r="G934" s="19" t="n"/>
      <c r="H934" s="20">
        <f>IF($G934="",1,IF($G934=0,1,IF($G934=1,3,IF($G934=2,7,IF($G934=3,14,IF($G934=4,30,60))))))</f>
        <v/>
      </c>
      <c r="I934" s="21">
        <f>IF($F934="","",$F934+$H934)</f>
        <v/>
      </c>
      <c r="J934">
        <f>IF($F934="","⚪ NEW",IF($G934&gt;=5,"✅ DONE",IF($I934&lt;TODAY(),"🔴 OVERDUE",IF($I934=TODAY(),"🟢 TODAY",IF($I934=TODAY()+1,"🔵 TOMORROW",IF($I934&lt;=TODAY()+7,"📅 THIS WEEK","⏳ SCHEDULED"))))))</f>
        <v/>
      </c>
      <c r="K934" s="20">
        <f>IF($F934="",999,IF($G934&gt;=5,9999,IF($I934="",999,$I934-TODAY())))</f>
        <v/>
      </c>
    </row>
    <row r="935">
      <c r="A935" s="26">
        <f>ROW()-2</f>
        <v/>
      </c>
      <c r="B935" s="27" t="inlineStr">
        <is>
          <t>S8</t>
        </is>
      </c>
      <c r="C935" s="27" t="inlineStr">
        <is>
          <t>Maladies de l'appareil locomoteur</t>
        </is>
      </c>
      <c r="D935" s="27" t="inlineStr">
        <is>
          <t>Traumatologie</t>
        </is>
      </c>
      <c r="E935" s="27" t="inlineStr">
        <is>
          <t>Traumatismes vasculaires</t>
        </is>
      </c>
      <c r="F935" s="18" t="n"/>
      <c r="G935" s="19" t="n"/>
      <c r="H935" s="20">
        <f>IF($G935="",1,IF($G935=0,1,IF($G935=1,3,IF($G935=2,7,IF($G935=3,14,IF($G935=4,30,60))))))</f>
        <v/>
      </c>
      <c r="I935" s="21">
        <f>IF($F935="","",$F935+$H935)</f>
        <v/>
      </c>
      <c r="J935">
        <f>IF($F935="","⚪ NEW",IF($G935&gt;=5,"✅ DONE",IF($I935&lt;TODAY(),"🔴 OVERDUE",IF($I935=TODAY(),"🟢 TODAY",IF($I935=TODAY()+1,"🔵 TOMORROW",IF($I935&lt;=TODAY()+7,"📅 THIS WEEK","⏳ SCHEDULED"))))))</f>
        <v/>
      </c>
      <c r="K935" s="20">
        <f>IF($F935="",999,IF($G935&gt;=5,9999,IF($I935="",999,$I935-TODAY())))</f>
        <v/>
      </c>
    </row>
    <row r="936">
      <c r="A936" s="26">
        <f>ROW()-2</f>
        <v/>
      </c>
      <c r="B936" s="27" t="inlineStr">
        <is>
          <t>S8</t>
        </is>
      </c>
      <c r="C936" s="27" t="inlineStr">
        <is>
          <t>Maladies de l'appareil locomoteur</t>
        </is>
      </c>
      <c r="D936" s="27" t="inlineStr">
        <is>
          <t>Traumatologie</t>
        </is>
      </c>
      <c r="E936" s="27" t="inlineStr">
        <is>
          <t>Traumatisme de la cheville</t>
        </is>
      </c>
      <c r="F936" s="18" t="n"/>
      <c r="G936" s="19" t="n"/>
      <c r="H936" s="20">
        <f>IF($G936="",1,IF($G936=0,1,IF($G936=1,3,IF($G936=2,7,IF($G936=3,14,IF($G936=4,30,60))))))</f>
        <v/>
      </c>
      <c r="I936" s="21">
        <f>IF($F936="","",$F936+$H936)</f>
        <v/>
      </c>
      <c r="J936">
        <f>IF($F936="","⚪ NEW",IF($G936&gt;=5,"✅ DONE",IF($I936&lt;TODAY(),"🔴 OVERDUE",IF($I936=TODAY(),"🟢 TODAY",IF($I936=TODAY()+1,"🔵 TOMORROW",IF($I936&lt;=TODAY()+7,"📅 THIS WEEK","⏳ SCHEDULED"))))))</f>
        <v/>
      </c>
      <c r="K936" s="20">
        <f>IF($F936="",999,IF($G936&gt;=5,9999,IF($I936="",999,$I936-TODAY())))</f>
        <v/>
      </c>
    </row>
    <row r="937">
      <c r="A937" s="26">
        <f>ROW()-2</f>
        <v/>
      </c>
      <c r="B937" s="27" t="inlineStr">
        <is>
          <t>S8</t>
        </is>
      </c>
      <c r="C937" s="27" t="inlineStr">
        <is>
          <t>Maladies de l'appareil locomoteur</t>
        </is>
      </c>
      <c r="D937" s="27" t="inlineStr">
        <is>
          <t>Traumatologie</t>
        </is>
      </c>
      <c r="E937" s="27" t="inlineStr">
        <is>
          <t>Fracture du fémur</t>
        </is>
      </c>
      <c r="F937" s="18" t="n"/>
      <c r="G937" s="19" t="n"/>
      <c r="H937" s="20">
        <f>IF($G937="",1,IF($G937=0,1,IF($G937=1,3,IF($G937=2,7,IF($G937=3,14,IF($G937=4,30,60))))))</f>
        <v/>
      </c>
      <c r="I937" s="21">
        <f>IF($F937="","",$F937+$H937)</f>
        <v/>
      </c>
      <c r="J937">
        <f>IF($F937="","⚪ NEW",IF($G937&gt;=5,"✅ DONE",IF($I937&lt;TODAY(),"🔴 OVERDUE",IF($I937=TODAY(),"🟢 TODAY",IF($I937=TODAY()+1,"🔵 TOMORROW",IF($I937&lt;=TODAY()+7,"📅 THIS WEEK","⏳ SCHEDULED"))))))</f>
        <v/>
      </c>
      <c r="K937" s="20">
        <f>IF($F937="",999,IF($G937&gt;=5,9999,IF($I937="",999,$I937-TODAY())))</f>
        <v/>
      </c>
    </row>
    <row r="938">
      <c r="A938" s="26">
        <f>ROW()-2</f>
        <v/>
      </c>
      <c r="B938" s="27" t="inlineStr">
        <is>
          <t>S8</t>
        </is>
      </c>
      <c r="C938" s="27" t="inlineStr">
        <is>
          <t>Maladies de l'appareil locomoteur</t>
        </is>
      </c>
      <c r="D938" s="27" t="inlineStr">
        <is>
          <t>Traumatologie</t>
        </is>
      </c>
      <c r="E938" s="27" t="inlineStr">
        <is>
          <t>Fracture de la jambe</t>
        </is>
      </c>
      <c r="F938" s="18" t="n"/>
      <c r="G938" s="19" t="n"/>
      <c r="H938" s="20">
        <f>IF($G938="",1,IF($G938=0,1,IF($G938=1,3,IF($G938=2,7,IF($G938=3,14,IF($G938=4,30,60))))))</f>
        <v/>
      </c>
      <c r="I938" s="21">
        <f>IF($F938="","",$F938+$H938)</f>
        <v/>
      </c>
      <c r="J938">
        <f>IF($F938="","⚪ NEW",IF($G938&gt;=5,"✅ DONE",IF($I938&lt;TODAY(),"🔴 OVERDUE",IF($I938=TODAY(),"🟢 TODAY",IF($I938=TODAY()+1,"🔵 TOMORROW",IF($I938&lt;=TODAY()+7,"📅 THIS WEEK","⏳ SCHEDULED"))))))</f>
        <v/>
      </c>
      <c r="K938" s="20">
        <f>IF($F938="",999,IF($G938&gt;=5,9999,IF($I938="",999,$I938-TODAY())))</f>
        <v/>
      </c>
    </row>
    <row r="939">
      <c r="A939" s="26">
        <f>ROW()-2</f>
        <v/>
      </c>
      <c r="B939" s="27" t="inlineStr">
        <is>
          <t>S8</t>
        </is>
      </c>
      <c r="C939" s="27" t="inlineStr">
        <is>
          <t>Maladies de l'appareil locomoteur</t>
        </is>
      </c>
      <c r="D939" s="27" t="inlineStr">
        <is>
          <t>Traumatologie</t>
        </is>
      </c>
      <c r="E939" s="27" t="inlineStr">
        <is>
          <t>Traumatismes de l'épaule</t>
        </is>
      </c>
      <c r="F939" s="18" t="n"/>
      <c r="G939" s="19" t="n"/>
      <c r="H939" s="20">
        <f>IF($G939="",1,IF($G939=0,1,IF($G939=1,3,IF($G939=2,7,IF($G939=3,14,IF($G939=4,30,60))))))</f>
        <v/>
      </c>
      <c r="I939" s="21">
        <f>IF($F939="","",$F939+$H939)</f>
        <v/>
      </c>
      <c r="J939">
        <f>IF($F939="","⚪ NEW",IF($G939&gt;=5,"✅ DONE",IF($I939&lt;TODAY(),"🔴 OVERDUE",IF($I939=TODAY(),"🟢 TODAY",IF($I939=TODAY()+1,"🔵 TOMORROW",IF($I939&lt;=TODAY()+7,"📅 THIS WEEK","⏳ SCHEDULED"))))))</f>
        <v/>
      </c>
      <c r="K939" s="20">
        <f>IF($F939="",999,IF($G939&gt;=5,9999,IF($I939="",999,$I939-TODAY())))</f>
        <v/>
      </c>
    </row>
    <row r="940">
      <c r="A940" s="26">
        <f>ROW()-2</f>
        <v/>
      </c>
      <c r="B940" s="27" t="inlineStr">
        <is>
          <t>S8</t>
        </is>
      </c>
      <c r="C940" s="27" t="inlineStr">
        <is>
          <t>Maladies de l'appareil locomoteur</t>
        </is>
      </c>
      <c r="D940" s="27" t="inlineStr">
        <is>
          <t>Traumatologie</t>
        </is>
      </c>
      <c r="E940" s="27" t="inlineStr">
        <is>
          <t>Plaies de la main</t>
        </is>
      </c>
      <c r="F940" s="18" t="n"/>
      <c r="G940" s="19" t="n"/>
      <c r="H940" s="20">
        <f>IF($G940="",1,IF($G940=0,1,IF($G940=1,3,IF($G940=2,7,IF($G940=3,14,IF($G940=4,30,60))))))</f>
        <v/>
      </c>
      <c r="I940" s="21">
        <f>IF($F940="","",$F940+$H940)</f>
        <v/>
      </c>
      <c r="J940">
        <f>IF($F940="","⚪ NEW",IF($G940&gt;=5,"✅ DONE",IF($I940&lt;TODAY(),"🔴 OVERDUE",IF($I940=TODAY(),"🟢 TODAY",IF($I940=TODAY()+1,"🔵 TOMORROW",IF($I940&lt;=TODAY()+7,"📅 THIS WEEK","⏳ SCHEDULED"))))))</f>
        <v/>
      </c>
      <c r="K940" s="20">
        <f>IF($F940="",999,IF($G940&gt;=5,9999,IF($I940="",999,$I940-TODAY())))</f>
        <v/>
      </c>
    </row>
    <row r="941">
      <c r="A941" s="26">
        <f>ROW()-2</f>
        <v/>
      </c>
      <c r="B941" s="27" t="inlineStr">
        <is>
          <t>S8</t>
        </is>
      </c>
      <c r="C941" s="27" t="inlineStr">
        <is>
          <t>Maladies de l'appareil locomoteur</t>
        </is>
      </c>
      <c r="D941" s="27" t="inlineStr">
        <is>
          <t>Traumatologie</t>
        </is>
      </c>
      <c r="E941" s="27" t="inlineStr">
        <is>
          <t>Fractures de la main</t>
        </is>
      </c>
      <c r="F941" s="18" t="n"/>
      <c r="G941" s="19" t="n"/>
      <c r="H941" s="20">
        <f>IF($G941="",1,IF($G941=0,1,IF($G941=1,3,IF($G941=2,7,IF($G941=3,14,IF($G941=4,30,60))))))</f>
        <v/>
      </c>
      <c r="I941" s="21">
        <f>IF($F941="","",$F941+$H941)</f>
        <v/>
      </c>
      <c r="J941">
        <f>IF($F941="","⚪ NEW",IF($G941&gt;=5,"✅ DONE",IF($I941&lt;TODAY(),"🔴 OVERDUE",IF($I941=TODAY(),"🟢 TODAY",IF($I941=TODAY()+1,"🔵 TOMORROW",IF($I941&lt;=TODAY()+7,"📅 THIS WEEK","⏳ SCHEDULED"))))))</f>
        <v/>
      </c>
      <c r="K941" s="20">
        <f>IF($F941="",999,IF($G941&gt;=5,9999,IF($I941="",999,$I941-TODAY())))</f>
        <v/>
      </c>
    </row>
    <row r="942">
      <c r="A942" s="26">
        <f>ROW()-2</f>
        <v/>
      </c>
      <c r="B942" s="27" t="inlineStr">
        <is>
          <t>S8</t>
        </is>
      </c>
      <c r="C942" s="27" t="inlineStr">
        <is>
          <t>Maladies de l'appareil locomoteur</t>
        </is>
      </c>
      <c r="D942" s="27" t="inlineStr">
        <is>
          <t>Traumatologie</t>
        </is>
      </c>
      <c r="E942" s="27" t="inlineStr">
        <is>
          <t>Traumatismes des nerfs périphériques</t>
        </is>
      </c>
      <c r="F942" s="18" t="n"/>
      <c r="G942" s="19" t="n"/>
      <c r="H942" s="20">
        <f>IF($G942="",1,IF($G942=0,1,IF($G942=1,3,IF($G942=2,7,IF($G942=3,14,IF($G942=4,30,60))))))</f>
        <v/>
      </c>
      <c r="I942" s="21">
        <f>IF($F942="","",$F942+$H942)</f>
        <v/>
      </c>
      <c r="J942">
        <f>IF($F942="","⚪ NEW",IF($G942&gt;=5,"✅ DONE",IF($I942&lt;TODAY(),"🔴 OVERDUE",IF($I942=TODAY(),"🟢 TODAY",IF($I942=TODAY()+1,"🔵 TOMORROW",IF($I942&lt;=TODAY()+7,"📅 THIS WEEK","⏳ SCHEDULED"))))))</f>
        <v/>
      </c>
      <c r="K942" s="20">
        <f>IF($F942="",999,IF($G942&gt;=5,9999,IF($I942="",999,$I942-TODAY())))</f>
        <v/>
      </c>
    </row>
    <row r="943">
      <c r="A943" s="26">
        <f>ROW()-2</f>
        <v/>
      </c>
      <c r="B943" s="27" t="inlineStr">
        <is>
          <t>S8</t>
        </is>
      </c>
      <c r="C943" s="27" t="inlineStr">
        <is>
          <t>Maladies de l'appareil locomoteur</t>
        </is>
      </c>
      <c r="D943" s="27" t="inlineStr">
        <is>
          <t>Traumatologie</t>
        </is>
      </c>
      <c r="E943" s="27" t="inlineStr">
        <is>
          <t>Tumeurs osseuses</t>
        </is>
      </c>
      <c r="F943" s="18" t="n"/>
      <c r="G943" s="19" t="n"/>
      <c r="H943" s="20">
        <f>IF($G943="",1,IF($G943=0,1,IF($G943=1,3,IF($G943=2,7,IF($G943=3,14,IF($G943=4,30,60))))))</f>
        <v/>
      </c>
      <c r="I943" s="21">
        <f>IF($F943="","",$F943+$H943)</f>
        <v/>
      </c>
      <c r="J943">
        <f>IF($F943="","⚪ NEW",IF($G943&gt;=5,"✅ DONE",IF($I943&lt;TODAY(),"🔴 OVERDUE",IF($I943=TODAY(),"🟢 TODAY",IF($I943=TODAY()+1,"🔵 TOMORROW",IF($I943&lt;=TODAY()+7,"📅 THIS WEEK","⏳ SCHEDULED"))))))</f>
        <v/>
      </c>
      <c r="K943" s="20">
        <f>IF($F943="",999,IF($G943&gt;=5,9999,IF($I943="",999,$I943-TODAY())))</f>
        <v/>
      </c>
    </row>
    <row r="944">
      <c r="A944" s="26">
        <f>ROW()-2</f>
        <v/>
      </c>
      <c r="B944" s="27" t="inlineStr">
        <is>
          <t>S8</t>
        </is>
      </c>
      <c r="C944" s="27" t="inlineStr">
        <is>
          <t>Maladies de l'appareil locomoteur</t>
        </is>
      </c>
      <c r="D944" s="27" t="inlineStr">
        <is>
          <t>Traumatologie</t>
        </is>
      </c>
      <c r="E944" s="27" t="inlineStr">
        <is>
          <t>Tumeurs des parties molles</t>
        </is>
      </c>
      <c r="F944" s="18" t="n"/>
      <c r="G944" s="19" t="n"/>
      <c r="H944" s="20">
        <f>IF($G944="",1,IF($G944=0,1,IF($G944=1,3,IF($G944=2,7,IF($G944=3,14,IF($G944=4,30,60))))))</f>
        <v/>
      </c>
      <c r="I944" s="21">
        <f>IF($F944="","",$F944+$H944)</f>
        <v/>
      </c>
      <c r="J944">
        <f>IF($F944="","⚪ NEW",IF($G944&gt;=5,"✅ DONE",IF($I944&lt;TODAY(),"🔴 OVERDUE",IF($I944=TODAY(),"🟢 TODAY",IF($I944=TODAY()+1,"🔵 TOMORROW",IF($I944&lt;=TODAY()+7,"📅 THIS WEEK","⏳ SCHEDULED"))))))</f>
        <v/>
      </c>
      <c r="K944" s="20">
        <f>IF($F944="",999,IF($G944&gt;=5,9999,IF($I944="",999,$I944-TODAY())))</f>
        <v/>
      </c>
    </row>
    <row r="945">
      <c r="A945" s="26">
        <f>ROW()-2</f>
        <v/>
      </c>
      <c r="B945" s="27" t="inlineStr">
        <is>
          <t>S8</t>
        </is>
      </c>
      <c r="C945" s="27" t="inlineStr">
        <is>
          <t>Maladies de l'appareil locomoteur</t>
        </is>
      </c>
      <c r="D945" s="27" t="inlineStr">
        <is>
          <t>Traumatologie</t>
        </is>
      </c>
      <c r="E945" s="27" t="inlineStr">
        <is>
          <t>Fracture de la diaphyse humérale</t>
        </is>
      </c>
      <c r="F945" s="18" t="n"/>
      <c r="G945" s="19" t="n"/>
      <c r="H945" s="20">
        <f>IF($G945="",1,IF($G945=0,1,IF($G945=1,3,IF($G945=2,7,IF($G945=3,14,IF($G945=4,30,60))))))</f>
        <v/>
      </c>
      <c r="I945" s="21">
        <f>IF($F945="","",$F945+$H945)</f>
        <v/>
      </c>
      <c r="J945">
        <f>IF($F945="","⚪ NEW",IF($G945&gt;=5,"✅ DONE",IF($I945&lt;TODAY(),"🔴 OVERDUE",IF($I945=TODAY(),"🟢 TODAY",IF($I945=TODAY()+1,"🔵 TOMORROW",IF($I945&lt;=TODAY()+7,"📅 THIS WEEK","⏳ SCHEDULED"))))))</f>
        <v/>
      </c>
      <c r="K945" s="20">
        <f>IF($F945="",999,IF($G945&gt;=5,9999,IF($I945="",999,$I945-TODAY())))</f>
        <v/>
      </c>
    </row>
    <row r="946">
      <c r="A946" s="26">
        <f>ROW()-2</f>
        <v/>
      </c>
      <c r="B946" s="27" t="inlineStr">
        <is>
          <t>S8</t>
        </is>
      </c>
      <c r="C946" s="27" t="inlineStr">
        <is>
          <t>Maladies de l'appareil locomoteur</t>
        </is>
      </c>
      <c r="D946" s="27" t="inlineStr">
        <is>
          <t>Traumatologie</t>
        </is>
      </c>
      <c r="E946" s="27" t="inlineStr">
        <is>
          <t>Fracture de la palette humérale</t>
        </is>
      </c>
      <c r="F946" s="18" t="n"/>
      <c r="G946" s="19" t="n"/>
      <c r="H946" s="20">
        <f>IF($G946="",1,IF($G946=0,1,IF($G946=1,3,IF($G946=2,7,IF($G946=3,14,IF($G946=4,30,60))))))</f>
        <v/>
      </c>
      <c r="I946" s="21">
        <f>IF($F946="","",$F946+$H946)</f>
        <v/>
      </c>
      <c r="J946">
        <f>IF($F946="","⚪ NEW",IF($G946&gt;=5,"✅ DONE",IF($I946&lt;TODAY(),"🔴 OVERDUE",IF($I946=TODAY(),"🟢 TODAY",IF($I946=TODAY()+1,"🔵 TOMORROW",IF($I946&lt;=TODAY()+7,"📅 THIS WEEK","⏳ SCHEDULED"))))))</f>
        <v/>
      </c>
      <c r="K946" s="20">
        <f>IF($F946="",999,IF($G946&gt;=5,9999,IF($I946="",999,$I946-TODAY())))</f>
        <v/>
      </c>
    </row>
    <row r="947">
      <c r="A947" s="26">
        <f>ROW()-2</f>
        <v/>
      </c>
      <c r="B947" s="27" t="inlineStr">
        <is>
          <t>S8</t>
        </is>
      </c>
      <c r="C947" s="27" t="inlineStr">
        <is>
          <t>Maladies de l'appareil locomoteur</t>
        </is>
      </c>
      <c r="D947" s="27" t="inlineStr">
        <is>
          <t>Traumatologie</t>
        </is>
      </c>
      <c r="E947" s="27" t="inlineStr">
        <is>
          <t>Traumatismes du coude</t>
        </is>
      </c>
      <c r="F947" s="18" t="n"/>
      <c r="G947" s="19" t="n"/>
      <c r="H947" s="20">
        <f>IF($G947="",1,IF($G947=0,1,IF($G947=1,3,IF($G947=2,7,IF($G947=3,14,IF($G947=4,30,60))))))</f>
        <v/>
      </c>
      <c r="I947" s="21">
        <f>IF($F947="","",$F947+$H947)</f>
        <v/>
      </c>
      <c r="J947">
        <f>IF($F947="","⚪ NEW",IF($G947&gt;=5,"✅ DONE",IF($I947&lt;TODAY(),"🔴 OVERDUE",IF($I947=TODAY(),"🟢 TODAY",IF($I947=TODAY()+1,"🔵 TOMORROW",IF($I947&lt;=TODAY()+7,"📅 THIS WEEK","⏳ SCHEDULED"))))))</f>
        <v/>
      </c>
      <c r="K947" s="20">
        <f>IF($F947="",999,IF($G947&gt;=5,9999,IF($I947="",999,$I947-TODAY())))</f>
        <v/>
      </c>
    </row>
    <row r="948">
      <c r="A948" s="26">
        <f>ROW()-2</f>
        <v/>
      </c>
      <c r="B948" s="27" t="inlineStr">
        <is>
          <t>S8</t>
        </is>
      </c>
      <c r="C948" s="27" t="inlineStr">
        <is>
          <t>Maladies de l'appareil locomoteur</t>
        </is>
      </c>
      <c r="D948" s="27" t="inlineStr">
        <is>
          <t>Traumatologie</t>
        </is>
      </c>
      <c r="E948" s="27" t="inlineStr">
        <is>
          <t>Fracture de l'olécrane, de la tête radiale et des deux os de l'avant-bras</t>
        </is>
      </c>
      <c r="F948" s="18" t="n"/>
      <c r="G948" s="19" t="n"/>
      <c r="H948" s="20">
        <f>IF($G948="",1,IF($G948=0,1,IF($G948=1,3,IF($G948=2,7,IF($G948=3,14,IF($G948=4,30,60))))))</f>
        <v/>
      </c>
      <c r="I948" s="21">
        <f>IF($F948="","",$F948+$H948)</f>
        <v/>
      </c>
      <c r="J948">
        <f>IF($F948="","⚪ NEW",IF($G948&gt;=5,"✅ DONE",IF($I948&lt;TODAY(),"🔴 OVERDUE",IF($I948=TODAY(),"🟢 TODAY",IF($I948=TODAY()+1,"🔵 TOMORROW",IF($I948&lt;=TODAY()+7,"📅 THIS WEEK","⏳ SCHEDULED"))))))</f>
        <v/>
      </c>
      <c r="K948" s="20">
        <f>IF($F948="",999,IF($G948&gt;=5,9999,IF($I948="",999,$I948-TODAY())))</f>
        <v/>
      </c>
    </row>
    <row r="949">
      <c r="A949" s="26">
        <f>ROW()-2</f>
        <v/>
      </c>
      <c r="B949" s="27" t="inlineStr">
        <is>
          <t>S8</t>
        </is>
      </c>
      <c r="C949" s="27" t="inlineStr">
        <is>
          <t>Maladies de l'appareil locomoteur</t>
        </is>
      </c>
      <c r="D949" s="27" t="inlineStr">
        <is>
          <t>Traumatologie</t>
        </is>
      </c>
      <c r="E949" s="27" t="inlineStr">
        <is>
          <t>Fractures du poignet (scaphoïde)</t>
        </is>
      </c>
      <c r="F949" s="18" t="n"/>
      <c r="G949" s="19" t="n"/>
      <c r="H949" s="20">
        <f>IF($G949="",1,IF($G949=0,1,IF($G949=1,3,IF($G949=2,7,IF($G949=3,14,IF($G949=4,30,60))))))</f>
        <v/>
      </c>
      <c r="I949" s="21">
        <f>IF($F949="","",$F949+$H949)</f>
        <v/>
      </c>
      <c r="J949">
        <f>IF($F949="","⚪ NEW",IF($G949&gt;=5,"✅ DONE",IF($I949&lt;TODAY(),"🔴 OVERDUE",IF($I949=TODAY(),"🟢 TODAY",IF($I949=TODAY()+1,"🔵 TOMORROW",IF($I949&lt;=TODAY()+7,"📅 THIS WEEK","⏳ SCHEDULED"))))))</f>
        <v/>
      </c>
      <c r="K949" s="20">
        <f>IF($F949="",999,IF($G949&gt;=5,9999,IF($I949="",999,$I949-TODAY())))</f>
        <v/>
      </c>
    </row>
    <row r="950">
      <c r="A950" s="26">
        <f>ROW()-2</f>
        <v/>
      </c>
      <c r="B950" s="27" t="inlineStr">
        <is>
          <t>S8</t>
        </is>
      </c>
      <c r="C950" s="27" t="inlineStr">
        <is>
          <t>Maladies de l'appareil locomoteur</t>
        </is>
      </c>
      <c r="D950" s="27" t="inlineStr">
        <is>
          <t>Traumatologie</t>
        </is>
      </c>
      <c r="E950" s="27" t="inlineStr">
        <is>
          <t>Les infections de la main</t>
        </is>
      </c>
      <c r="F950" s="18" t="n"/>
      <c r="G950" s="19" t="n"/>
      <c r="H950" s="20">
        <f>IF($G950="",1,IF($G950=0,1,IF($G950=1,3,IF($G950=2,7,IF($G950=3,14,IF($G950=4,30,60))))))</f>
        <v/>
      </c>
      <c r="I950" s="21">
        <f>IF($F950="","",$F950+$H950)</f>
        <v/>
      </c>
      <c r="J950">
        <f>IF($F950="","⚪ NEW",IF($G950&gt;=5,"✅ DONE",IF($I950&lt;TODAY(),"🔴 OVERDUE",IF($I950=TODAY(),"🟢 TODAY",IF($I950=TODAY()+1,"🔵 TOMORROW",IF($I950&lt;=TODAY()+7,"📅 THIS WEEK","⏳ SCHEDULED"))))))</f>
        <v/>
      </c>
      <c r="K950" s="20">
        <f>IF($F950="",999,IF($G950&gt;=5,9999,IF($I950="",999,$I950-TODAY())))</f>
        <v/>
      </c>
    </row>
    <row r="951">
      <c r="A951" s="26">
        <f>ROW()-2</f>
        <v/>
      </c>
      <c r="B951" s="27" t="inlineStr">
        <is>
          <t>S8</t>
        </is>
      </c>
      <c r="C951" s="27" t="inlineStr">
        <is>
          <t>Maladies de l'appareil locomoteur</t>
        </is>
      </c>
      <c r="D951" s="27" t="inlineStr">
        <is>
          <t>Rhumatologie</t>
        </is>
      </c>
      <c r="E951" s="27" t="inlineStr">
        <is>
          <t>Introduction à la rhumatologie</t>
        </is>
      </c>
      <c r="F951" s="18" t="n"/>
      <c r="G951" s="19" t="n"/>
      <c r="H951" s="20">
        <f>IF($G951="",1,IF($G951=0,1,IF($G951=1,3,IF($G951=2,7,IF($G951=3,14,IF($G951=4,30,60))))))</f>
        <v/>
      </c>
      <c r="I951" s="21">
        <f>IF($F951="","",$F951+$H951)</f>
        <v/>
      </c>
      <c r="J951">
        <f>IF($F951="","⚪ NEW",IF($G951&gt;=5,"✅ DONE",IF($I951&lt;TODAY(),"🔴 OVERDUE",IF($I951=TODAY(),"🟢 TODAY",IF($I951=TODAY()+1,"🔵 TOMORROW",IF($I951&lt;=TODAY()+7,"📅 THIS WEEK","⏳ SCHEDULED"))))))</f>
        <v/>
      </c>
      <c r="K951" s="20">
        <f>IF($F951="",999,IF($G951&gt;=5,9999,IF($I951="",999,$I951-TODAY())))</f>
        <v/>
      </c>
    </row>
    <row r="952">
      <c r="A952" s="26">
        <f>ROW()-2</f>
        <v/>
      </c>
      <c r="B952" s="27" t="inlineStr">
        <is>
          <t>S8</t>
        </is>
      </c>
      <c r="C952" s="27" t="inlineStr">
        <is>
          <t>Maladies de l'appareil locomoteur</t>
        </is>
      </c>
      <c r="D952" s="27" t="inlineStr">
        <is>
          <t>Rhumatologie</t>
        </is>
      </c>
      <c r="E952" s="27" t="inlineStr">
        <is>
          <t>Mono-arthrite</t>
        </is>
      </c>
      <c r="F952" s="18" t="n"/>
      <c r="G952" s="19" t="n"/>
      <c r="H952" s="20">
        <f>IF($G952="",1,IF($G952=0,1,IF($G952=1,3,IF($G952=2,7,IF($G952=3,14,IF($G952=4,30,60))))))</f>
        <v/>
      </c>
      <c r="I952" s="21">
        <f>IF($F952="","",$F952+$H952)</f>
        <v/>
      </c>
      <c r="J952">
        <f>IF($F952="","⚪ NEW",IF($G952&gt;=5,"✅ DONE",IF($I952&lt;TODAY(),"🔴 OVERDUE",IF($I952=TODAY(),"🟢 TODAY",IF($I952=TODAY()+1,"🔵 TOMORROW",IF($I952&lt;=TODAY()+7,"📅 THIS WEEK","⏳ SCHEDULED"))))))</f>
        <v/>
      </c>
      <c r="K952" s="20">
        <f>IF($F952="",999,IF($G952&gt;=5,9999,IF($I952="",999,$I952-TODAY())))</f>
        <v/>
      </c>
    </row>
    <row r="953">
      <c r="A953" s="26">
        <f>ROW()-2</f>
        <v/>
      </c>
      <c r="B953" s="27" t="inlineStr">
        <is>
          <t>S8</t>
        </is>
      </c>
      <c r="C953" s="27" t="inlineStr">
        <is>
          <t>Maladies de l'appareil locomoteur</t>
        </is>
      </c>
      <c r="D953" s="27" t="inlineStr">
        <is>
          <t>Rhumatologie</t>
        </is>
      </c>
      <c r="E953" s="27" t="inlineStr">
        <is>
          <t>Épaule douloureuse</t>
        </is>
      </c>
      <c r="F953" s="18" t="n"/>
      <c r="G953" s="19" t="n"/>
      <c r="H953" s="20">
        <f>IF($G953="",1,IF($G953=0,1,IF($G953=1,3,IF($G953=2,7,IF($G953=3,14,IF($G953=4,30,60))))))</f>
        <v/>
      </c>
      <c r="I953" s="21">
        <f>IF($F953="","",$F953+$H953)</f>
        <v/>
      </c>
      <c r="J953">
        <f>IF($F953="","⚪ NEW",IF($G953&gt;=5,"✅ DONE",IF($I953&lt;TODAY(),"🔴 OVERDUE",IF($I953=TODAY(),"🟢 TODAY",IF($I953=TODAY()+1,"🔵 TOMORROW",IF($I953&lt;=TODAY()+7,"📅 THIS WEEK","⏳ SCHEDULED"))))))</f>
        <v/>
      </c>
      <c r="K953" s="20">
        <f>IF($F953="",999,IF($G953&gt;=5,9999,IF($I953="",999,$I953-TODAY())))</f>
        <v/>
      </c>
    </row>
    <row r="954">
      <c r="A954" s="26">
        <f>ROW()-2</f>
        <v/>
      </c>
      <c r="B954" s="27" t="inlineStr">
        <is>
          <t>S8</t>
        </is>
      </c>
      <c r="C954" s="27" t="inlineStr">
        <is>
          <t>Maladies de l'appareil locomoteur</t>
        </is>
      </c>
      <c r="D954" s="27" t="inlineStr">
        <is>
          <t>Rhumatologie</t>
        </is>
      </c>
      <c r="E954" s="27" t="inlineStr">
        <is>
          <t>Hanche douloureuse</t>
        </is>
      </c>
      <c r="F954" s="18" t="n"/>
      <c r="G954" s="19" t="n"/>
      <c r="H954" s="20">
        <f>IF($G954="",1,IF($G954=0,1,IF($G954=1,3,IF($G954=2,7,IF($G954=3,14,IF($G954=4,30,60))))))</f>
        <v/>
      </c>
      <c r="I954" s="21">
        <f>IF($F954="","",$F954+$H954)</f>
        <v/>
      </c>
      <c r="J954">
        <f>IF($F954="","⚪ NEW",IF($G954&gt;=5,"✅ DONE",IF($I954&lt;TODAY(),"🔴 OVERDUE",IF($I954=TODAY(),"🟢 TODAY",IF($I954=TODAY()+1,"🔵 TOMORROW",IF($I954&lt;=TODAY()+7,"📅 THIS WEEK","⏳ SCHEDULED"))))))</f>
        <v/>
      </c>
      <c r="K954" s="20">
        <f>IF($F954="",999,IF($G954&gt;=5,9999,IF($I954="",999,$I954-TODAY())))</f>
        <v/>
      </c>
    </row>
    <row r="955">
      <c r="A955" s="26">
        <f>ROW()-2</f>
        <v/>
      </c>
      <c r="B955" s="27" t="inlineStr">
        <is>
          <t>S8</t>
        </is>
      </c>
      <c r="C955" s="27" t="inlineStr">
        <is>
          <t>Maladies de l'appareil locomoteur</t>
        </is>
      </c>
      <c r="D955" s="27" t="inlineStr">
        <is>
          <t>Rhumatologie</t>
        </is>
      </c>
      <c r="E955" s="27" t="inlineStr">
        <is>
          <t>Radiculalgie des membres</t>
        </is>
      </c>
      <c r="F955" s="18" t="n"/>
      <c r="G955" s="19" t="n"/>
      <c r="H955" s="20">
        <f>IF($G955="",1,IF($G955=0,1,IF($G955=1,3,IF($G955=2,7,IF($G955=3,14,IF($G955=4,30,60))))))</f>
        <v/>
      </c>
      <c r="I955" s="21">
        <f>IF($F955="","",$F955+$H955)</f>
        <v/>
      </c>
      <c r="J955">
        <f>IF($F955="","⚪ NEW",IF($G955&gt;=5,"✅ DONE",IF($I955&lt;TODAY(),"🔴 OVERDUE",IF($I955=TODAY(),"🟢 TODAY",IF($I955=TODAY()+1,"🔵 TOMORROW",IF($I955&lt;=TODAY()+7,"📅 THIS WEEK","⏳ SCHEDULED"))))))</f>
        <v/>
      </c>
      <c r="K955" s="20">
        <f>IF($F955="",999,IF($G955&gt;=5,9999,IF($I955="",999,$I955-TODAY())))</f>
        <v/>
      </c>
    </row>
    <row r="956">
      <c r="A956" s="26">
        <f>ROW()-2</f>
        <v/>
      </c>
      <c r="B956" s="27" t="inlineStr">
        <is>
          <t>S8</t>
        </is>
      </c>
      <c r="C956" s="27" t="inlineStr">
        <is>
          <t>Maladies de l'appareil locomoteur</t>
        </is>
      </c>
      <c r="D956" s="27" t="inlineStr">
        <is>
          <t>Rhumatologie</t>
        </is>
      </c>
      <c r="E956" s="27" t="inlineStr">
        <is>
          <t>Ostéoporose</t>
        </is>
      </c>
      <c r="F956" s="18" t="n"/>
      <c r="G956" s="19" t="n"/>
      <c r="H956" s="20">
        <f>IF($G956="",1,IF($G956=0,1,IF($G956=1,3,IF($G956=2,7,IF($G956=3,14,IF($G956=4,30,60))))))</f>
        <v/>
      </c>
      <c r="I956" s="21">
        <f>IF($F956="","",$F956+$H956)</f>
        <v/>
      </c>
      <c r="J956">
        <f>IF($F956="","⚪ NEW",IF($G956&gt;=5,"✅ DONE",IF($I956&lt;TODAY(),"🔴 OVERDUE",IF($I956=TODAY(),"🟢 TODAY",IF($I956=TODAY()+1,"🔵 TOMORROW",IF($I956&lt;=TODAY()+7,"📅 THIS WEEK","⏳ SCHEDULED"))))))</f>
        <v/>
      </c>
      <c r="K956" s="20">
        <f>IF($F956="",999,IF($G956&gt;=5,9999,IF($I956="",999,$I956-TODAY())))</f>
        <v/>
      </c>
    </row>
    <row r="957">
      <c r="A957" s="26">
        <f>ROW()-2</f>
        <v/>
      </c>
      <c r="B957" s="27" t="inlineStr">
        <is>
          <t>S8</t>
        </is>
      </c>
      <c r="C957" s="27" t="inlineStr">
        <is>
          <t>Maladies de l'appareil locomoteur</t>
        </is>
      </c>
      <c r="D957" s="27" t="inlineStr">
        <is>
          <t>Rhumatologie</t>
        </is>
      </c>
      <c r="E957" s="27" t="inlineStr">
        <is>
          <t>Ostéomalacie</t>
        </is>
      </c>
      <c r="F957" s="18" t="n"/>
      <c r="G957" s="19" t="n"/>
      <c r="H957" s="20">
        <f>IF($G957="",1,IF($G957=0,1,IF($G957=1,3,IF($G957=2,7,IF($G957=3,14,IF($G957=4,30,60))))))</f>
        <v/>
      </c>
      <c r="I957" s="21">
        <f>IF($F957="","",$F957+$H957)</f>
        <v/>
      </c>
      <c r="J957">
        <f>IF($F957="","⚪ NEW",IF($G957&gt;=5,"✅ DONE",IF($I957&lt;TODAY(),"🔴 OVERDUE",IF($I957=TODAY(),"🟢 TODAY",IF($I957=TODAY()+1,"🔵 TOMORROW",IF($I957&lt;=TODAY()+7,"📅 THIS WEEK","⏳ SCHEDULED"))))))</f>
        <v/>
      </c>
      <c r="K957" s="20">
        <f>IF($F957="",999,IF($G957&gt;=5,9999,IF($I957="",999,$I957-TODAY())))</f>
        <v/>
      </c>
    </row>
    <row r="958">
      <c r="A958" s="26">
        <f>ROW()-2</f>
        <v/>
      </c>
      <c r="B958" s="27" t="inlineStr">
        <is>
          <t>S8</t>
        </is>
      </c>
      <c r="C958" s="27" t="inlineStr">
        <is>
          <t>Maladies de l'appareil locomoteur</t>
        </is>
      </c>
      <c r="D958" s="27" t="inlineStr">
        <is>
          <t>Rhumatologie</t>
        </is>
      </c>
      <c r="E958" s="27" t="inlineStr">
        <is>
          <t>Hypercalcémies</t>
        </is>
      </c>
      <c r="F958" s="18" t="n"/>
      <c r="G958" s="19" t="n"/>
      <c r="H958" s="20">
        <f>IF($G958="",1,IF($G958=0,1,IF($G958=1,3,IF($G958=2,7,IF($G958=3,14,IF($G958=4,30,60))))))</f>
        <v/>
      </c>
      <c r="I958" s="21">
        <f>IF($F958="","",$F958+$H958)</f>
        <v/>
      </c>
      <c r="J958">
        <f>IF($F958="","⚪ NEW",IF($G958&gt;=5,"✅ DONE",IF($I958&lt;TODAY(),"🔴 OVERDUE",IF($I958=TODAY(),"🟢 TODAY",IF($I958=TODAY()+1,"🔵 TOMORROW",IF($I958&lt;=TODAY()+7,"📅 THIS WEEK","⏳ SCHEDULED"))))))</f>
        <v/>
      </c>
      <c r="K958" s="20">
        <f>IF($F958="",999,IF($G958&gt;=5,9999,IF($I958="",999,$I958-TODAY())))</f>
        <v/>
      </c>
    </row>
    <row r="959">
      <c r="A959" s="26">
        <f>ROW()-2</f>
        <v/>
      </c>
      <c r="B959" s="27" t="inlineStr">
        <is>
          <t>S8</t>
        </is>
      </c>
      <c r="C959" s="27" t="inlineStr">
        <is>
          <t>Maladies de l'appareil locomoteur</t>
        </is>
      </c>
      <c r="D959" s="27" t="inlineStr">
        <is>
          <t>Rhumatologie</t>
        </is>
      </c>
      <c r="E959" s="27" t="inlineStr">
        <is>
          <t>Pathologie abarticulaire</t>
        </is>
      </c>
      <c r="F959" s="18" t="n"/>
      <c r="G959" s="19" t="n"/>
      <c r="H959" s="20">
        <f>IF($G959="",1,IF($G959=0,1,IF($G959=1,3,IF($G959=2,7,IF($G959=3,14,IF($G959=4,30,60))))))</f>
        <v/>
      </c>
      <c r="I959" s="21">
        <f>IF($F959="","",$F959+$H959)</f>
        <v/>
      </c>
      <c r="J959">
        <f>IF($F959="","⚪ NEW",IF($G959&gt;=5,"✅ DONE",IF($I959&lt;TODAY(),"🔴 OVERDUE",IF($I959=TODAY(),"🟢 TODAY",IF($I959=TODAY()+1,"🔵 TOMORROW",IF($I959&lt;=TODAY()+7,"📅 THIS WEEK","⏳ SCHEDULED"))))))</f>
        <v/>
      </c>
      <c r="K959" s="20">
        <f>IF($F959="",999,IF($G959&gt;=5,9999,IF($I959="",999,$I959-TODAY())))</f>
        <v/>
      </c>
    </row>
    <row r="960">
      <c r="A960" s="26">
        <f>ROW()-2</f>
        <v/>
      </c>
      <c r="B960" s="27" t="inlineStr">
        <is>
          <t>S8</t>
        </is>
      </c>
      <c r="C960" s="27" t="inlineStr">
        <is>
          <t>Maladies de l'appareil locomoteur</t>
        </is>
      </c>
      <c r="D960" s="27" t="inlineStr">
        <is>
          <t>Rhumatologie</t>
        </is>
      </c>
      <c r="E960" s="27" t="inlineStr">
        <is>
          <t>Algodystrophie</t>
        </is>
      </c>
      <c r="F960" s="18" t="n"/>
      <c r="G960" s="19" t="n"/>
      <c r="H960" s="20">
        <f>IF($G960="",1,IF($G960=0,1,IF($G960=1,3,IF($G960=2,7,IF($G960=3,14,IF($G960=4,30,60))))))</f>
        <v/>
      </c>
      <c r="I960" s="21">
        <f>IF($F960="","",$F960+$H960)</f>
        <v/>
      </c>
      <c r="J960">
        <f>IF($F960="","⚪ NEW",IF($G960&gt;=5,"✅ DONE",IF($I960&lt;TODAY(),"🔴 OVERDUE",IF($I960=TODAY(),"🟢 TODAY",IF($I960=TODAY()+1,"🔵 TOMORROW",IF($I960&lt;=TODAY()+7,"📅 THIS WEEK","⏳ SCHEDULED"))))))</f>
        <v/>
      </c>
      <c r="K960" s="20">
        <f>IF($F960="",999,IF($G960&gt;=5,9999,IF($I960="",999,$I960-TODAY())))</f>
        <v/>
      </c>
    </row>
    <row r="961">
      <c r="A961" s="26">
        <f>ROW()-2</f>
        <v/>
      </c>
      <c r="B961" s="27" t="inlineStr">
        <is>
          <t>S8</t>
        </is>
      </c>
      <c r="C961" s="27" t="inlineStr">
        <is>
          <t>Maladies de l'appareil locomoteur</t>
        </is>
      </c>
      <c r="D961" s="27" t="inlineStr">
        <is>
          <t>Rhumatologie</t>
        </is>
      </c>
      <c r="E961" s="27" t="inlineStr">
        <is>
          <t>Syndrome du canal carpien</t>
        </is>
      </c>
      <c r="F961" s="18" t="n"/>
      <c r="G961" s="19" t="n"/>
      <c r="H961" s="20">
        <f>IF($G961="",1,IF($G961=0,1,IF($G961=1,3,IF($G961=2,7,IF($G961=3,14,IF($G961=4,30,60))))))</f>
        <v/>
      </c>
      <c r="I961" s="21">
        <f>IF($F961="","",$F961+$H961)</f>
        <v/>
      </c>
      <c r="J961">
        <f>IF($F961="","⚪ NEW",IF($G961&gt;=5,"✅ DONE",IF($I961&lt;TODAY(),"🔴 OVERDUE",IF($I961=TODAY(),"🟢 TODAY",IF($I961=TODAY()+1,"🔵 TOMORROW",IF($I961&lt;=TODAY()+7,"📅 THIS WEEK","⏳ SCHEDULED"))))))</f>
        <v/>
      </c>
      <c r="K961" s="20">
        <f>IF($F961="",999,IF($G961&gt;=5,9999,IF($I961="",999,$I961-TODAY())))</f>
        <v/>
      </c>
    </row>
    <row r="962">
      <c r="A962" s="26">
        <f>ROW()-2</f>
        <v/>
      </c>
      <c r="B962" s="27" t="inlineStr">
        <is>
          <t>S8</t>
        </is>
      </c>
      <c r="C962" s="27" t="inlineStr">
        <is>
          <t>Maladies de l'appareil locomoteur</t>
        </is>
      </c>
      <c r="D962" s="27" t="inlineStr">
        <is>
          <t>Rhumatologie</t>
        </is>
      </c>
      <c r="E962" s="27" t="inlineStr">
        <is>
          <t>CAT devant un rhumatisme inflammatoire débutant</t>
        </is>
      </c>
      <c r="F962" s="18" t="n"/>
      <c r="G962" s="19" t="n"/>
      <c r="H962" s="20">
        <f>IF($G962="",1,IF($G962=0,1,IF($G962=1,3,IF($G962=2,7,IF($G962=3,14,IF($G962=4,30,60))))))</f>
        <v/>
      </c>
      <c r="I962" s="21">
        <f>IF($F962="","",$F962+$H962)</f>
        <v/>
      </c>
      <c r="J962">
        <f>IF($F962="","⚪ NEW",IF($G962&gt;=5,"✅ DONE",IF($I962&lt;TODAY(),"🔴 OVERDUE",IF($I962=TODAY(),"🟢 TODAY",IF($I962=TODAY()+1,"🔵 TOMORROW",IF($I962&lt;=TODAY()+7,"📅 THIS WEEK","⏳ SCHEDULED"))))))</f>
        <v/>
      </c>
      <c r="K962" s="20">
        <f>IF($F962="",999,IF($G962&gt;=5,9999,IF($I962="",999,$I962-TODAY())))</f>
        <v/>
      </c>
    </row>
    <row r="963">
      <c r="A963" s="26">
        <f>ROW()-2</f>
        <v/>
      </c>
      <c r="B963" s="27" t="inlineStr">
        <is>
          <t>S8</t>
        </is>
      </c>
      <c r="C963" s="27" t="inlineStr">
        <is>
          <t>Maladies de l'appareil locomoteur</t>
        </is>
      </c>
      <c r="D963" s="27" t="inlineStr">
        <is>
          <t>Rhumatologie</t>
        </is>
      </c>
      <c r="E963" s="27" t="inlineStr">
        <is>
          <t>Polyarthrite rhumatoïde</t>
        </is>
      </c>
      <c r="F963" s="18" t="n"/>
      <c r="G963" s="19" t="n"/>
      <c r="H963" s="20">
        <f>IF($G963="",1,IF($G963=0,1,IF($G963=1,3,IF($G963=2,7,IF($G963=3,14,IF($G963=4,30,60))))))</f>
        <v/>
      </c>
      <c r="I963" s="21">
        <f>IF($F963="","",$F963+$H963)</f>
        <v/>
      </c>
      <c r="J963">
        <f>IF($F963="","⚪ NEW",IF($G963&gt;=5,"✅ DONE",IF($I963&lt;TODAY(),"🔴 OVERDUE",IF($I963=TODAY(),"🟢 TODAY",IF($I963=TODAY()+1,"🔵 TOMORROW",IF($I963&lt;=TODAY()+7,"📅 THIS WEEK","⏳ SCHEDULED"))))))</f>
        <v/>
      </c>
      <c r="K963" s="20">
        <f>IF($F963="",999,IF($G963&gt;=5,9999,IF($I963="",999,$I963-TODAY())))</f>
        <v/>
      </c>
    </row>
    <row r="964">
      <c r="A964" s="26">
        <f>ROW()-2</f>
        <v/>
      </c>
      <c r="B964" s="27" t="inlineStr">
        <is>
          <t>S8</t>
        </is>
      </c>
      <c r="C964" s="27" t="inlineStr">
        <is>
          <t>Maladies de l'appareil locomoteur</t>
        </is>
      </c>
      <c r="D964" s="27" t="inlineStr">
        <is>
          <t>Rhumatologie</t>
        </is>
      </c>
      <c r="E964" s="27" t="inlineStr">
        <is>
          <t>Goutte</t>
        </is>
      </c>
      <c r="F964" s="18" t="n"/>
      <c r="G964" s="19" t="n"/>
      <c r="H964" s="20">
        <f>IF($G964="",1,IF($G964=0,1,IF($G964=1,3,IF($G964=2,7,IF($G964=3,14,IF($G964=4,30,60))))))</f>
        <v/>
      </c>
      <c r="I964" s="21">
        <f>IF($F964="","",$F964+$H964)</f>
        <v/>
      </c>
      <c r="J964">
        <f>IF($F964="","⚪ NEW",IF($G964&gt;=5,"✅ DONE",IF($I964&lt;TODAY(),"🔴 OVERDUE",IF($I964=TODAY(),"🟢 TODAY",IF($I964=TODAY()+1,"🔵 TOMORROW",IF($I964&lt;=TODAY()+7,"📅 THIS WEEK","⏳ SCHEDULED"))))))</f>
        <v/>
      </c>
      <c r="K964" s="20">
        <f>IF($F964="",999,IF($G964&gt;=5,9999,IF($I964="",999,$I964-TODAY())))</f>
        <v/>
      </c>
    </row>
    <row r="965">
      <c r="A965" s="26">
        <f>ROW()-2</f>
        <v/>
      </c>
      <c r="B965" s="27" t="inlineStr">
        <is>
          <t>S8</t>
        </is>
      </c>
      <c r="C965" s="27" t="inlineStr">
        <is>
          <t>Maladies de l'appareil locomoteur</t>
        </is>
      </c>
      <c r="D965" s="27" t="inlineStr">
        <is>
          <t>Rhumatologie</t>
        </is>
      </c>
      <c r="E965" s="27" t="inlineStr">
        <is>
          <t>Arthrose</t>
        </is>
      </c>
      <c r="F965" s="18" t="n"/>
      <c r="G965" s="19" t="n"/>
      <c r="H965" s="20">
        <f>IF($G965="",1,IF($G965=0,1,IF($G965=1,3,IF($G965=2,7,IF($G965=3,14,IF($G965=4,30,60))))))</f>
        <v/>
      </c>
      <c r="I965" s="21">
        <f>IF($F965="","",$F965+$H965)</f>
        <v/>
      </c>
      <c r="J965">
        <f>IF($F965="","⚪ NEW",IF($G965&gt;=5,"✅ DONE",IF($I965&lt;TODAY(),"🔴 OVERDUE",IF($I965=TODAY(),"🟢 TODAY",IF($I965=TODAY()+1,"🔵 TOMORROW",IF($I965&lt;=TODAY()+7,"📅 THIS WEEK","⏳ SCHEDULED"))))))</f>
        <v/>
      </c>
      <c r="K965" s="20">
        <f>IF($F965="",999,IF($G965&gt;=5,9999,IF($I965="",999,$I965-TODAY())))</f>
        <v/>
      </c>
    </row>
    <row r="966">
      <c r="A966" s="26">
        <f>ROW()-2</f>
        <v/>
      </c>
      <c r="B966" s="27" t="inlineStr">
        <is>
          <t>S8</t>
        </is>
      </c>
      <c r="C966" s="27" t="inlineStr">
        <is>
          <t>Maladies de l'appareil locomoteur</t>
        </is>
      </c>
      <c r="D966" s="27" t="inlineStr">
        <is>
          <t>Rhumatologie</t>
        </is>
      </c>
      <c r="E966" s="27" t="inlineStr">
        <is>
          <t>Lombalgies</t>
        </is>
      </c>
      <c r="F966" s="18" t="n"/>
      <c r="G966" s="19" t="n"/>
      <c r="H966" s="20">
        <f>IF($G966="",1,IF($G966=0,1,IF($G966=1,3,IF($G966=2,7,IF($G966=3,14,IF($G966=4,30,60))))))</f>
        <v/>
      </c>
      <c r="I966" s="21">
        <f>IF($F966="","",$F966+$H966)</f>
        <v/>
      </c>
      <c r="J966">
        <f>IF($F966="","⚪ NEW",IF($G966&gt;=5,"✅ DONE",IF($I966&lt;TODAY(),"🔴 OVERDUE",IF($I966=TODAY(),"🟢 TODAY",IF($I966=TODAY()+1,"🔵 TOMORROW",IF($I966&lt;=TODAY()+7,"📅 THIS WEEK","⏳ SCHEDULED"))))))</f>
        <v/>
      </c>
      <c r="K966" s="20">
        <f>IF($F966="",999,IF($G966&gt;=5,9999,IF($I966="",999,$I966-TODAY())))</f>
        <v/>
      </c>
    </row>
    <row r="967">
      <c r="A967" s="26">
        <f>ROW()-2</f>
        <v/>
      </c>
      <c r="B967" s="27" t="inlineStr">
        <is>
          <t>S8</t>
        </is>
      </c>
      <c r="C967" s="27" t="inlineStr">
        <is>
          <t>Maladies de l'appareil locomoteur</t>
        </is>
      </c>
      <c r="D967" s="27" t="inlineStr">
        <is>
          <t>Rhumatologie</t>
        </is>
      </c>
      <c r="E967" s="27" t="inlineStr">
        <is>
          <t>Tuberculose ostéo-articulaire</t>
        </is>
      </c>
      <c r="F967" s="18" t="n"/>
      <c r="G967" s="19" t="n"/>
      <c r="H967" s="20">
        <f>IF($G967="",1,IF($G967=0,1,IF($G967=1,3,IF($G967=2,7,IF($G967=3,14,IF($G967=4,30,60))))))</f>
        <v/>
      </c>
      <c r="I967" s="21">
        <f>IF($F967="","",$F967+$H967)</f>
        <v/>
      </c>
      <c r="J967">
        <f>IF($F967="","⚪ NEW",IF($G967&gt;=5,"✅ DONE",IF($I967&lt;TODAY(),"🔴 OVERDUE",IF($I967=TODAY(),"🟢 TODAY",IF($I967=TODAY()+1,"🔵 TOMORROW",IF($I967&lt;=TODAY()+7,"📅 THIS WEEK","⏳ SCHEDULED"))))))</f>
        <v/>
      </c>
      <c r="K967" s="20">
        <f>IF($F967="",999,IF($G967&gt;=5,9999,IF($I967="",999,$I967-TODAY())))</f>
        <v/>
      </c>
    </row>
    <row r="968">
      <c r="A968" s="26">
        <f>ROW()-2</f>
        <v/>
      </c>
      <c r="B968" s="27" t="inlineStr">
        <is>
          <t>S8</t>
        </is>
      </c>
      <c r="C968" s="27" t="inlineStr">
        <is>
          <t>Maladies de l'appareil locomoteur</t>
        </is>
      </c>
      <c r="D968" s="27" t="inlineStr">
        <is>
          <t>Rhumatologie</t>
        </is>
      </c>
      <c r="E968" s="27" t="inlineStr">
        <is>
          <t>Spondylarthrite ankylosante</t>
        </is>
      </c>
      <c r="F968" s="18" t="n"/>
      <c r="G968" s="19" t="n"/>
      <c r="H968" s="20">
        <f>IF($G968="",1,IF($G968=0,1,IF($G968=1,3,IF($G968=2,7,IF($G968=3,14,IF($G968=4,30,60))))))</f>
        <v/>
      </c>
      <c r="I968" s="21">
        <f>IF($F968="","",$F968+$H968)</f>
        <v/>
      </c>
      <c r="J968">
        <f>IF($F968="","⚪ NEW",IF($G968&gt;=5,"✅ DONE",IF($I968&lt;TODAY(),"🔴 OVERDUE",IF($I968=TODAY(),"🟢 TODAY",IF($I968=TODAY()+1,"🔵 TOMORROW",IF($I968&lt;=TODAY()+7,"📅 THIS WEEK","⏳ SCHEDULED"))))))</f>
        <v/>
      </c>
      <c r="K968" s="20">
        <f>IF($F968="",999,IF($G968&gt;=5,9999,IF($I968="",999,$I968-TODAY())))</f>
        <v/>
      </c>
    </row>
    <row r="969">
      <c r="A969" s="26">
        <f>ROW()-2</f>
        <v/>
      </c>
      <c r="B969" s="27" t="inlineStr">
        <is>
          <t>S8</t>
        </is>
      </c>
      <c r="C969" s="27" t="inlineStr">
        <is>
          <t>Maladies de l'appareil locomoteur</t>
        </is>
      </c>
      <c r="D969" s="27" t="inlineStr">
        <is>
          <t>Médecine physique et de réadaptation (MPR)</t>
        </is>
      </c>
      <c r="E969" s="27" t="inlineStr">
        <is>
          <t>Handicap : généralités</t>
        </is>
      </c>
      <c r="F969" s="18" t="n"/>
      <c r="G969" s="19" t="n"/>
      <c r="H969" s="20">
        <f>IF($G969="",1,IF($G969=0,1,IF($G969=1,3,IF($G969=2,7,IF($G969=3,14,IF($G969=4,30,60))))))</f>
        <v/>
      </c>
      <c r="I969" s="21">
        <f>IF($F969="","",$F969+$H969)</f>
        <v/>
      </c>
      <c r="J969">
        <f>IF($F969="","⚪ NEW",IF($G969&gt;=5,"✅ DONE",IF($I969&lt;TODAY(),"🔴 OVERDUE",IF($I969=TODAY(),"🟢 TODAY",IF($I969=TODAY()+1,"🔵 TOMORROW",IF($I969&lt;=TODAY()+7,"📅 THIS WEEK","⏳ SCHEDULED"))))))</f>
        <v/>
      </c>
      <c r="K969" s="20">
        <f>IF($F969="",999,IF($G969&gt;=5,9999,IF($I969="",999,$I969-TODAY())))</f>
        <v/>
      </c>
    </row>
    <row r="970">
      <c r="A970" s="26">
        <f>ROW()-2</f>
        <v/>
      </c>
      <c r="B970" s="27" t="inlineStr">
        <is>
          <t>S8</t>
        </is>
      </c>
      <c r="C970" s="27" t="inlineStr">
        <is>
          <t>Maladies de l'appareil locomoteur</t>
        </is>
      </c>
      <c r="D970" s="27" t="inlineStr">
        <is>
          <t>Médecine physique et de réadaptation (MPR)</t>
        </is>
      </c>
      <c r="E970" s="27" t="inlineStr">
        <is>
          <t>Principaux intervenants et techniques de rééducation et réadaptation</t>
        </is>
      </c>
      <c r="F970" s="18" t="n"/>
      <c r="G970" s="19" t="n"/>
      <c r="H970" s="20">
        <f>IF($G970="",1,IF($G970=0,1,IF($G970=1,3,IF($G970=2,7,IF($G970=3,14,IF($G970=4,30,60))))))</f>
        <v/>
      </c>
      <c r="I970" s="21">
        <f>IF($F970="","",$F970+$H970)</f>
        <v/>
      </c>
      <c r="J970">
        <f>IF($F970="","⚪ NEW",IF($G970&gt;=5,"✅ DONE",IF($I970&lt;TODAY(),"🔴 OVERDUE",IF($I970=TODAY(),"🟢 TODAY",IF($I970=TODAY()+1,"🔵 TOMORROW",IF($I970&lt;=TODAY()+7,"📅 THIS WEEK","⏳ SCHEDULED"))))))</f>
        <v/>
      </c>
      <c r="K970" s="20">
        <f>IF($F970="",999,IF($G970&gt;=5,9999,IF($I970="",999,$I970-TODAY())))</f>
        <v/>
      </c>
    </row>
    <row r="971">
      <c r="A971" s="26">
        <f>ROW()-2</f>
        <v/>
      </c>
      <c r="B971" s="27" t="inlineStr">
        <is>
          <t>S8</t>
        </is>
      </c>
      <c r="C971" s="27" t="inlineStr">
        <is>
          <t>Maladies de l'appareil locomoteur</t>
        </is>
      </c>
      <c r="D971" s="27" t="inlineStr">
        <is>
          <t>Médecine physique et de réadaptation (MPR)</t>
        </is>
      </c>
      <c r="E971" s="27" t="inlineStr">
        <is>
          <t>Appareillages et aides techniques</t>
        </is>
      </c>
      <c r="F971" s="18" t="n"/>
      <c r="G971" s="19" t="n"/>
      <c r="H971" s="20">
        <f>IF($G971="",1,IF($G971=0,1,IF($G971=1,3,IF($G971=2,7,IF($G971=3,14,IF($G971=4,30,60))))))</f>
        <v/>
      </c>
      <c r="I971" s="21">
        <f>IF($F971="","",$F971+$H971)</f>
        <v/>
      </c>
      <c r="J971">
        <f>IF($F971="","⚪ NEW",IF($G971&gt;=5,"✅ DONE",IF($I971&lt;TODAY(),"🔴 OVERDUE",IF($I971=TODAY(),"🟢 TODAY",IF($I971=TODAY()+1,"🔵 TOMORROW",IF($I971&lt;=TODAY()+7,"📅 THIS WEEK","⏳ SCHEDULED"))))))</f>
        <v/>
      </c>
      <c r="K971" s="20">
        <f>IF($F971="",999,IF($G971&gt;=5,9999,IF($I971="",999,$I971-TODAY())))</f>
        <v/>
      </c>
    </row>
    <row r="972">
      <c r="A972" s="26">
        <f>ROW()-2</f>
        <v/>
      </c>
      <c r="B972" s="27" t="inlineStr">
        <is>
          <t>S8</t>
        </is>
      </c>
      <c r="C972" s="27" t="inlineStr">
        <is>
          <t>Maladies de l'appareil locomoteur</t>
        </is>
      </c>
      <c r="D972" s="27" t="inlineStr">
        <is>
          <t>Médecine physique et de réadaptation (MPR)</t>
        </is>
      </c>
      <c r="E972" s="27" t="inlineStr">
        <is>
          <t>L'activité physique et sport</t>
        </is>
      </c>
      <c r="F972" s="18" t="n"/>
      <c r="G972" s="19" t="n"/>
      <c r="H972" s="20">
        <f>IF($G972="",1,IF($G972=0,1,IF($G972=1,3,IF($G972=2,7,IF($G972=3,14,IF($G972=4,30,60))))))</f>
        <v/>
      </c>
      <c r="I972" s="21">
        <f>IF($F972="","",$F972+$H972)</f>
        <v/>
      </c>
      <c r="J972">
        <f>IF($F972="","⚪ NEW",IF($G972&gt;=5,"✅ DONE",IF($I972&lt;TODAY(),"🔴 OVERDUE",IF($I972=TODAY(),"🟢 TODAY",IF($I972=TODAY()+1,"🔵 TOMORROW",IF($I972&lt;=TODAY()+7,"📅 THIS WEEK","⏳ SCHEDULED"))))))</f>
        <v/>
      </c>
      <c r="K972" s="20">
        <f>IF($F972="",999,IF($G972&gt;=5,9999,IF($I972="",999,$I972-TODAY())))</f>
        <v/>
      </c>
    </row>
    <row r="973">
      <c r="A973" s="26">
        <f>ROW()-2</f>
        <v/>
      </c>
      <c r="B973" s="27" t="inlineStr">
        <is>
          <t>S8</t>
        </is>
      </c>
      <c r="C973" s="27" t="inlineStr">
        <is>
          <t>Maladies de l'appareil locomoteur</t>
        </is>
      </c>
      <c r="D973" s="27" t="inlineStr">
        <is>
          <t>Médecine physique et de réadaptation (MPR)</t>
        </is>
      </c>
      <c r="E973" s="27" t="inlineStr">
        <is>
          <t>MPR et affections de l'appareil locomoteur</t>
        </is>
      </c>
      <c r="F973" s="18" t="n"/>
      <c r="G973" s="19" t="n"/>
      <c r="H973" s="20">
        <f>IF($G973="",1,IF($G973=0,1,IF($G973=1,3,IF($G973=2,7,IF($G973=3,14,IF($G973=4,30,60))))))</f>
        <v/>
      </c>
      <c r="I973" s="21">
        <f>IF($F973="","",$F973+$H973)</f>
        <v/>
      </c>
      <c r="J973">
        <f>IF($F973="","⚪ NEW",IF($G973&gt;=5,"✅ DONE",IF($I973&lt;TODAY(),"🔴 OVERDUE",IF($I973=TODAY(),"🟢 TODAY",IF($I973=TODAY()+1,"🔵 TOMORROW",IF($I973&lt;=TODAY()+7,"📅 THIS WEEK","⏳ SCHEDULED"))))))</f>
        <v/>
      </c>
      <c r="K973" s="20">
        <f>IF($F973="",999,IF($G973&gt;=5,9999,IF($I973="",999,$I973-TODAY())))</f>
        <v/>
      </c>
    </row>
    <row r="974">
      <c r="A974" s="26">
        <f>ROW()-2</f>
        <v/>
      </c>
      <c r="B974" s="27" t="inlineStr">
        <is>
          <t>S8</t>
        </is>
      </c>
      <c r="C974" s="27" t="inlineStr">
        <is>
          <t>Maladies de l'appareil locomoteur</t>
        </is>
      </c>
      <c r="D974" s="27" t="inlineStr">
        <is>
          <t>Médecine physique et de réadaptation (MPR)</t>
        </is>
      </c>
      <c r="E974" s="27" t="inlineStr">
        <is>
          <t>MPR et affections neurologiques</t>
        </is>
      </c>
      <c r="F974" s="18" t="n"/>
      <c r="G974" s="19" t="n"/>
      <c r="H974" s="20">
        <f>IF($G974="",1,IF($G974=0,1,IF($G974=1,3,IF($G974=2,7,IF($G974=3,14,IF($G974=4,30,60))))))</f>
        <v/>
      </c>
      <c r="I974" s="21">
        <f>IF($F974="","",$F974+$H974)</f>
        <v/>
      </c>
      <c r="J974">
        <f>IF($F974="","⚪ NEW",IF($G974&gt;=5,"✅ DONE",IF($I974&lt;TODAY(),"🔴 OVERDUE",IF($I974=TODAY(),"🟢 TODAY",IF($I974=TODAY()+1,"🔵 TOMORROW",IF($I974&lt;=TODAY()+7,"📅 THIS WEEK","⏳ SCHEDULED"))))))</f>
        <v/>
      </c>
      <c r="K974" s="20">
        <f>IF($F974="",999,IF($G974&gt;=5,9999,IF($I974="",999,$I974-TODAY())))</f>
        <v/>
      </c>
    </row>
    <row r="975">
      <c r="A975" s="26">
        <f>ROW()-2</f>
        <v/>
      </c>
      <c r="B975" s="27" t="inlineStr">
        <is>
          <t>S8</t>
        </is>
      </c>
      <c r="C975" s="27" t="inlineStr">
        <is>
          <t>Maladies de l'appareil locomoteur</t>
        </is>
      </c>
      <c r="D975" s="27" t="inlineStr">
        <is>
          <t>Médecine physique et de réadaptation (MPR)</t>
        </is>
      </c>
      <c r="E975" s="27" t="inlineStr">
        <is>
          <t>MPR et troubles de la marche</t>
        </is>
      </c>
      <c r="F975" s="18" t="n"/>
      <c r="G975" s="19" t="n"/>
      <c r="H975" s="20">
        <f>IF($G975="",1,IF($G975=0,1,IF($G975=1,3,IF($G975=2,7,IF($G975=3,14,IF($G975=4,30,60))))))</f>
        <v/>
      </c>
      <c r="I975" s="21">
        <f>IF($F975="","",$F975+$H975)</f>
        <v/>
      </c>
      <c r="J975">
        <f>IF($F975="","⚪ NEW",IF($G975&gt;=5,"✅ DONE",IF($I975&lt;TODAY(),"🔴 OVERDUE",IF($I975=TODAY(),"🟢 TODAY",IF($I975=TODAY()+1,"🔵 TOMORROW",IF($I975&lt;=TODAY()+7,"📅 THIS WEEK","⏳ SCHEDULED"))))))</f>
        <v/>
      </c>
      <c r="K975" s="20">
        <f>IF($F975="",999,IF($G975&gt;=5,9999,IF($I975="",999,$I975-TODAY())))</f>
        <v/>
      </c>
    </row>
    <row r="976">
      <c r="A976" s="28">
        <f>ROW()-2</f>
        <v/>
      </c>
      <c r="B976" s="29" t="inlineStr">
        <is>
          <t>S8</t>
        </is>
      </c>
      <c r="C976" s="29" t="inlineStr">
        <is>
          <t>Immunopathologie - Génétique médicale - Maladies de système</t>
        </is>
      </c>
      <c r="D976" s="29" t="inlineStr">
        <is>
          <t>Immunopathologie</t>
        </is>
      </c>
      <c r="E976" s="29" t="inlineStr">
        <is>
          <t>Introduction à l'immunologie</t>
        </is>
      </c>
      <c r="F976" s="18" t="n"/>
      <c r="G976" s="19" t="n"/>
      <c r="H976" s="20">
        <f>IF($G976="",1,IF($G976=0,1,IF($G976=1,3,IF($G976=2,7,IF($G976=3,14,IF($G976=4,30,60))))))</f>
        <v/>
      </c>
      <c r="I976" s="21">
        <f>IF($F976="","",$F976+$H976)</f>
        <v/>
      </c>
      <c r="J976">
        <f>IF($F976="","⚪ NEW",IF($G976&gt;=5,"✅ DONE",IF($I976&lt;TODAY(),"🔴 OVERDUE",IF($I976=TODAY(),"🟢 TODAY",IF($I976=TODAY()+1,"🔵 TOMORROW",IF($I976&lt;=TODAY()+7,"📅 THIS WEEK","⏳ SCHEDULED"))))))</f>
        <v/>
      </c>
      <c r="K976" s="20">
        <f>IF($F976="",999,IF($G976&gt;=5,9999,IF($I976="",999,$I976-TODAY())))</f>
        <v/>
      </c>
    </row>
    <row r="977">
      <c r="A977" s="28">
        <f>ROW()-2</f>
        <v/>
      </c>
      <c r="B977" s="29" t="inlineStr">
        <is>
          <t>S8</t>
        </is>
      </c>
      <c r="C977" s="29" t="inlineStr">
        <is>
          <t>Immunopathologie - Génétique médicale - Maladies de système</t>
        </is>
      </c>
      <c r="D977" s="29" t="inlineStr">
        <is>
          <t>Immunopathologie</t>
        </is>
      </c>
      <c r="E977" s="29" t="inlineStr">
        <is>
          <t>Déficits immunitaires</t>
        </is>
      </c>
      <c r="F977" s="18" t="n"/>
      <c r="G977" s="19" t="n"/>
      <c r="H977" s="20">
        <f>IF($G977="",1,IF($G977=0,1,IF($G977=1,3,IF($G977=2,7,IF($G977=3,14,IF($G977=4,30,60))))))</f>
        <v/>
      </c>
      <c r="I977" s="21">
        <f>IF($F977="","",$F977+$H977)</f>
        <v/>
      </c>
      <c r="J977">
        <f>IF($F977="","⚪ NEW",IF($G977&gt;=5,"✅ DONE",IF($I977&lt;TODAY(),"🔴 OVERDUE",IF($I977=TODAY(),"🟢 TODAY",IF($I977=TODAY()+1,"🔵 TOMORROW",IF($I977&lt;=TODAY()+7,"📅 THIS WEEK","⏳ SCHEDULED"))))))</f>
        <v/>
      </c>
      <c r="K977" s="20">
        <f>IF($F977="",999,IF($G977&gt;=5,9999,IF($I977="",999,$I977-TODAY())))</f>
        <v/>
      </c>
    </row>
    <row r="978">
      <c r="A978" s="28">
        <f>ROW()-2</f>
        <v/>
      </c>
      <c r="B978" s="29" t="inlineStr">
        <is>
          <t>S8</t>
        </is>
      </c>
      <c r="C978" s="29" t="inlineStr">
        <is>
          <t>Immunopathologie - Génétique médicale - Maladies de système</t>
        </is>
      </c>
      <c r="D978" s="29" t="inlineStr">
        <is>
          <t>Immunopathologie</t>
        </is>
      </c>
      <c r="E978" s="29" t="inlineStr">
        <is>
          <t>Hypersensibilité immédiate et allergie</t>
        </is>
      </c>
      <c r="F978" s="18" t="n"/>
      <c r="G978" s="19" t="n"/>
      <c r="H978" s="20">
        <f>IF($G978="",1,IF($G978=0,1,IF($G978=1,3,IF($G978=2,7,IF($G978=3,14,IF($G978=4,30,60))))))</f>
        <v/>
      </c>
      <c r="I978" s="21">
        <f>IF($F978="","",$F978+$H978)</f>
        <v/>
      </c>
      <c r="J978">
        <f>IF($F978="","⚪ NEW",IF($G978&gt;=5,"✅ DONE",IF($I978&lt;TODAY(),"🔴 OVERDUE",IF($I978=TODAY(),"🟢 TODAY",IF($I978=TODAY()+1,"🔵 TOMORROW",IF($I978&lt;=TODAY()+7,"📅 THIS WEEK","⏳ SCHEDULED"))))))</f>
        <v/>
      </c>
      <c r="K978" s="20">
        <f>IF($F978="",999,IF($G978&gt;=5,9999,IF($I978="",999,$I978-TODAY())))</f>
        <v/>
      </c>
    </row>
    <row r="979">
      <c r="A979" s="28">
        <f>ROW()-2</f>
        <v/>
      </c>
      <c r="B979" s="29" t="inlineStr">
        <is>
          <t>S8</t>
        </is>
      </c>
      <c r="C979" s="29" t="inlineStr">
        <is>
          <t>Immunopathologie - Génétique médicale - Maladies de système</t>
        </is>
      </c>
      <c r="D979" s="29" t="inlineStr">
        <is>
          <t>Immunopathologie</t>
        </is>
      </c>
      <c r="E979" s="29" t="inlineStr">
        <is>
          <t>Hypersensibilité de type 2 et 3</t>
        </is>
      </c>
      <c r="F979" s="18" t="n"/>
      <c r="G979" s="19" t="n"/>
      <c r="H979" s="20">
        <f>IF($G979="",1,IF($G979=0,1,IF($G979=1,3,IF($G979=2,7,IF($G979=3,14,IF($G979=4,30,60))))))</f>
        <v/>
      </c>
      <c r="I979" s="21">
        <f>IF($F979="","",$F979+$H979)</f>
        <v/>
      </c>
      <c r="J979">
        <f>IF($F979="","⚪ NEW",IF($G979&gt;=5,"✅ DONE",IF($I979&lt;TODAY(),"🔴 OVERDUE",IF($I979=TODAY(),"🟢 TODAY",IF($I979=TODAY()+1,"🔵 TOMORROW",IF($I979&lt;=TODAY()+7,"📅 THIS WEEK","⏳ SCHEDULED"))))))</f>
        <v/>
      </c>
      <c r="K979" s="20">
        <f>IF($F979="",999,IF($G979&gt;=5,9999,IF($I979="",999,$I979-TODAY())))</f>
        <v/>
      </c>
    </row>
    <row r="980">
      <c r="A980" s="28">
        <f>ROW()-2</f>
        <v/>
      </c>
      <c r="B980" s="29" t="inlineStr">
        <is>
          <t>S8</t>
        </is>
      </c>
      <c r="C980" s="29" t="inlineStr">
        <is>
          <t>Immunopathologie - Génétique médicale - Maladies de système</t>
        </is>
      </c>
      <c r="D980" s="29" t="inlineStr">
        <is>
          <t>Immunopathologie</t>
        </is>
      </c>
      <c r="E980" s="29" t="inlineStr">
        <is>
          <t>Hypersensibilité de type 4</t>
        </is>
      </c>
      <c r="F980" s="18" t="n"/>
      <c r="G980" s="19" t="n"/>
      <c r="H980" s="20">
        <f>IF($G980="",1,IF($G980=0,1,IF($G980=1,3,IF($G980=2,7,IF($G980=3,14,IF($G980=4,30,60))))))</f>
        <v/>
      </c>
      <c r="I980" s="21">
        <f>IF($F980="","",$F980+$H980)</f>
        <v/>
      </c>
      <c r="J980">
        <f>IF($F980="","⚪ NEW",IF($G980&gt;=5,"✅ DONE",IF($I980&lt;TODAY(),"🔴 OVERDUE",IF($I980=TODAY(),"🟢 TODAY",IF($I980=TODAY()+1,"🔵 TOMORROW",IF($I980&lt;=TODAY()+7,"📅 THIS WEEK","⏳ SCHEDULED"))))))</f>
        <v/>
      </c>
      <c r="K980" s="20">
        <f>IF($F980="",999,IF($G980&gt;=5,9999,IF($I980="",999,$I980-TODAY())))</f>
        <v/>
      </c>
    </row>
    <row r="981">
      <c r="A981" s="28">
        <f>ROW()-2</f>
        <v/>
      </c>
      <c r="B981" s="29" t="inlineStr">
        <is>
          <t>S8</t>
        </is>
      </c>
      <c r="C981" s="29" t="inlineStr">
        <is>
          <t>Immunopathologie - Génétique médicale - Maladies de système</t>
        </is>
      </c>
      <c r="D981" s="29" t="inlineStr">
        <is>
          <t>Immunopathologie</t>
        </is>
      </c>
      <c r="E981" s="29" t="inlineStr">
        <is>
          <t>Auto-immunité et maladies auto-immunes</t>
        </is>
      </c>
      <c r="F981" s="18" t="n"/>
      <c r="G981" s="19" t="n"/>
      <c r="H981" s="20">
        <f>IF($G981="",1,IF($G981=0,1,IF($G981=1,3,IF($G981=2,7,IF($G981=3,14,IF($G981=4,30,60))))))</f>
        <v/>
      </c>
      <c r="I981" s="21">
        <f>IF($F981="","",$F981+$H981)</f>
        <v/>
      </c>
      <c r="J981">
        <f>IF($F981="","⚪ NEW",IF($G981&gt;=5,"✅ DONE",IF($I981&lt;TODAY(),"🔴 OVERDUE",IF($I981=TODAY(),"🟢 TODAY",IF($I981=TODAY()+1,"🔵 TOMORROW",IF($I981&lt;=TODAY()+7,"📅 THIS WEEK","⏳ SCHEDULED"))))))</f>
        <v/>
      </c>
      <c r="K981" s="20">
        <f>IF($F981="",999,IF($G981&gt;=5,9999,IF($I981="",999,$I981-TODAY())))</f>
        <v/>
      </c>
    </row>
    <row r="982">
      <c r="A982" s="28">
        <f>ROW()-2</f>
        <v/>
      </c>
      <c r="B982" s="29" t="inlineStr">
        <is>
          <t>S8</t>
        </is>
      </c>
      <c r="C982" s="29" t="inlineStr">
        <is>
          <t>Immunopathologie - Génétique médicale - Maladies de système</t>
        </is>
      </c>
      <c r="D982" s="29" t="inlineStr">
        <is>
          <t>Immunopathologie</t>
        </is>
      </c>
      <c r="E982" s="29" t="inlineStr">
        <is>
          <t>Immunité anti-infectieuse</t>
        </is>
      </c>
      <c r="F982" s="18" t="n"/>
      <c r="G982" s="19" t="n"/>
      <c r="H982" s="20">
        <f>IF($G982="",1,IF($G982=0,1,IF($G982=1,3,IF($G982=2,7,IF($G982=3,14,IF($G982=4,30,60))))))</f>
        <v/>
      </c>
      <c r="I982" s="21">
        <f>IF($F982="","",$F982+$H982)</f>
        <v/>
      </c>
      <c r="J982">
        <f>IF($F982="","⚪ NEW",IF($G982&gt;=5,"✅ DONE",IF($I982&lt;TODAY(),"🔴 OVERDUE",IF($I982=TODAY(),"🟢 TODAY",IF($I982=TODAY()+1,"🔵 TOMORROW",IF($I982&lt;=TODAY()+7,"📅 THIS WEEK","⏳ SCHEDULED"))))))</f>
        <v/>
      </c>
      <c r="K982" s="20">
        <f>IF($F982="",999,IF($G982&gt;=5,9999,IF($I982="",999,$I982-TODAY())))</f>
        <v/>
      </c>
    </row>
    <row r="983">
      <c r="A983" s="28">
        <f>ROW()-2</f>
        <v/>
      </c>
      <c r="B983" s="29" t="inlineStr">
        <is>
          <t>S8</t>
        </is>
      </c>
      <c r="C983" s="29" t="inlineStr">
        <is>
          <t>Immunopathologie - Génétique médicale - Maladies de système</t>
        </is>
      </c>
      <c r="D983" s="29" t="inlineStr">
        <is>
          <t>Immunopathologie</t>
        </is>
      </c>
      <c r="E983" s="29" t="inlineStr">
        <is>
          <t>Immunité anti-tumorale</t>
        </is>
      </c>
      <c r="F983" s="18" t="n"/>
      <c r="G983" s="19" t="n"/>
      <c r="H983" s="20">
        <f>IF($G983="",1,IF($G983=0,1,IF($G983=1,3,IF($G983=2,7,IF($G983=3,14,IF($G983=4,30,60))))))</f>
        <v/>
      </c>
      <c r="I983" s="21">
        <f>IF($F983="","",$F983+$H983)</f>
        <v/>
      </c>
      <c r="J983">
        <f>IF($F983="","⚪ NEW",IF($G983&gt;=5,"✅ DONE",IF($I983&lt;TODAY(),"🔴 OVERDUE",IF($I983=TODAY(),"🟢 TODAY",IF($I983=TODAY()+1,"🔵 TOMORROW",IF($I983&lt;=TODAY()+7,"📅 THIS WEEK","⏳ SCHEDULED"))))))</f>
        <v/>
      </c>
      <c r="K983" s="20">
        <f>IF($F983="",999,IF($G983&gt;=5,9999,IF($I983="",999,$I983-TODAY())))</f>
        <v/>
      </c>
    </row>
    <row r="984">
      <c r="A984" s="28">
        <f>ROW()-2</f>
        <v/>
      </c>
      <c r="B984" s="29" t="inlineStr">
        <is>
          <t>S8</t>
        </is>
      </c>
      <c r="C984" s="29" t="inlineStr">
        <is>
          <t>Immunopathologie - Génétique médicale - Maladies de système</t>
        </is>
      </c>
      <c r="D984" s="29" t="inlineStr">
        <is>
          <t>Immunopathologie</t>
        </is>
      </c>
      <c r="E984" s="29" t="inlineStr">
        <is>
          <t>Immunité anti-greffe</t>
        </is>
      </c>
      <c r="F984" s="18" t="n"/>
      <c r="G984" s="19" t="n"/>
      <c r="H984" s="20">
        <f>IF($G984="",1,IF($G984=0,1,IF($G984=1,3,IF($G984=2,7,IF($G984=3,14,IF($G984=4,30,60))))))</f>
        <v/>
      </c>
      <c r="I984" s="21">
        <f>IF($F984="","",$F984+$H984)</f>
        <v/>
      </c>
      <c r="J984">
        <f>IF($F984="","⚪ NEW",IF($G984&gt;=5,"✅ DONE",IF($I984&lt;TODAY(),"🔴 OVERDUE",IF($I984=TODAY(),"🟢 TODAY",IF($I984=TODAY()+1,"🔵 TOMORROW",IF($I984&lt;=TODAY()+7,"📅 THIS WEEK","⏳ SCHEDULED"))))))</f>
        <v/>
      </c>
      <c r="K984" s="20">
        <f>IF($F984="",999,IF($G984&gt;=5,9999,IF($I984="",999,$I984-TODAY())))</f>
        <v/>
      </c>
    </row>
    <row r="985">
      <c r="A985" s="28">
        <f>ROW()-2</f>
        <v/>
      </c>
      <c r="B985" s="29" t="inlineStr">
        <is>
          <t>S8</t>
        </is>
      </c>
      <c r="C985" s="29" t="inlineStr">
        <is>
          <t>Immunopathologie - Génétique médicale - Maladies de système</t>
        </is>
      </c>
      <c r="D985" s="29" t="inlineStr">
        <is>
          <t>Immunopathologie</t>
        </is>
      </c>
      <c r="E985" s="29" t="inlineStr">
        <is>
          <t>Vaccination</t>
        </is>
      </c>
      <c r="F985" s="18" t="n"/>
      <c r="G985" s="19" t="n"/>
      <c r="H985" s="20">
        <f>IF($G985="",1,IF($G985=0,1,IF($G985=1,3,IF($G985=2,7,IF($G985=3,14,IF($G985=4,30,60))))))</f>
        <v/>
      </c>
      <c r="I985" s="21">
        <f>IF($F985="","",$F985+$H985)</f>
        <v/>
      </c>
      <c r="J985">
        <f>IF($F985="","⚪ NEW",IF($G985&gt;=5,"✅ DONE",IF($I985&lt;TODAY(),"🔴 OVERDUE",IF($I985=TODAY(),"🟢 TODAY",IF($I985=TODAY()+1,"🔵 TOMORROW",IF($I985&lt;=TODAY()+7,"📅 THIS WEEK","⏳ SCHEDULED"))))))</f>
        <v/>
      </c>
      <c r="K985" s="20">
        <f>IF($F985="",999,IF($G985&gt;=5,9999,IF($I985="",999,$I985-TODAY())))</f>
        <v/>
      </c>
    </row>
    <row r="986">
      <c r="A986" s="28">
        <f>ROW()-2</f>
        <v/>
      </c>
      <c r="B986" s="29" t="inlineStr">
        <is>
          <t>S8</t>
        </is>
      </c>
      <c r="C986" s="29" t="inlineStr">
        <is>
          <t>Immunopathologie - Génétique médicale - Maladies de système</t>
        </is>
      </c>
      <c r="D986" s="29" t="inlineStr">
        <is>
          <t>Immunopathologie</t>
        </is>
      </c>
      <c r="E986" s="29" t="inlineStr">
        <is>
          <t>Anticorps monoclonaux</t>
        </is>
      </c>
      <c r="F986" s="18" t="n"/>
      <c r="G986" s="19" t="n"/>
      <c r="H986" s="20">
        <f>IF($G986="",1,IF($G986=0,1,IF($G986=1,3,IF($G986=2,7,IF($G986=3,14,IF($G986=4,30,60))))))</f>
        <v/>
      </c>
      <c r="I986" s="21">
        <f>IF($F986="","",$F986+$H986)</f>
        <v/>
      </c>
      <c r="J986">
        <f>IF($F986="","⚪ NEW",IF($G986&gt;=5,"✅ DONE",IF($I986&lt;TODAY(),"🔴 OVERDUE",IF($I986=TODAY(),"🟢 TODAY",IF($I986=TODAY()+1,"🔵 TOMORROW",IF($I986&lt;=TODAY()+7,"📅 THIS WEEK","⏳ SCHEDULED"))))))</f>
        <v/>
      </c>
      <c r="K986" s="20">
        <f>IF($F986="",999,IF($G986&gt;=5,9999,IF($I986="",999,$I986-TODAY())))</f>
        <v/>
      </c>
    </row>
    <row r="987">
      <c r="A987" s="28">
        <f>ROW()-2</f>
        <v/>
      </c>
      <c r="B987" s="29" t="inlineStr">
        <is>
          <t>S8</t>
        </is>
      </c>
      <c r="C987" s="29" t="inlineStr">
        <is>
          <t>Immunopathologie - Génétique médicale - Maladies de système</t>
        </is>
      </c>
      <c r="D987" s="29" t="inlineStr">
        <is>
          <t>Immunopathologie</t>
        </is>
      </c>
      <c r="E987" s="29" t="inlineStr">
        <is>
          <t>Immunosuppresseurs</t>
        </is>
      </c>
      <c r="F987" s="18" t="n"/>
      <c r="G987" s="19" t="n"/>
      <c r="H987" s="20">
        <f>IF($G987="",1,IF($G987=0,1,IF($G987=1,3,IF($G987=2,7,IF($G987=3,14,IF($G987=4,30,60))))))</f>
        <v/>
      </c>
      <c r="I987" s="21">
        <f>IF($F987="","",$F987+$H987)</f>
        <v/>
      </c>
      <c r="J987">
        <f>IF($F987="","⚪ NEW",IF($G987&gt;=5,"✅ DONE",IF($I987&lt;TODAY(),"🔴 OVERDUE",IF($I987=TODAY(),"🟢 TODAY",IF($I987=TODAY()+1,"🔵 TOMORROW",IF($I987&lt;=TODAY()+7,"📅 THIS WEEK","⏳ SCHEDULED"))))))</f>
        <v/>
      </c>
      <c r="K987" s="20">
        <f>IF($F987="",999,IF($G987&gt;=5,9999,IF($I987="",999,$I987-TODAY())))</f>
        <v/>
      </c>
    </row>
    <row r="988">
      <c r="A988" s="28">
        <f>ROW()-2</f>
        <v/>
      </c>
      <c r="B988" s="29" t="inlineStr">
        <is>
          <t>S8</t>
        </is>
      </c>
      <c r="C988" s="29" t="inlineStr">
        <is>
          <t>Immunopathologie - Génétique médicale - Maladies de système</t>
        </is>
      </c>
      <c r="D988" s="29" t="inlineStr">
        <is>
          <t>Génétique médicale</t>
        </is>
      </c>
      <c r="E988" s="29" t="inlineStr">
        <is>
          <t>Introduction à la génétique</t>
        </is>
      </c>
      <c r="F988" s="18" t="n">
        <v>46083</v>
      </c>
      <c r="G988" s="19" t="n">
        <v>2</v>
      </c>
      <c r="H988" s="20">
        <f>IF($G988="",1,IF($G988=0,1,IF($G988=1,3,IF($G988=2,7,IF($G988=3,14,IF($G988=4,30,60))))))</f>
        <v/>
      </c>
      <c r="I988" s="21">
        <f>IF($F988="","",$F988+$H988)</f>
        <v/>
      </c>
      <c r="J988">
        <f>IF($F988="","⚪ NEW",IF($G988&gt;=5,"✅ DONE",IF($I988&lt;TODAY(),"🔴 OVERDUE",IF($I988=TODAY(),"🟢 TODAY",IF($I988=TODAY()+1,"🔵 TOMORROW",IF($I988&lt;=TODAY()+7,"📅 THIS WEEK","⏳ SCHEDULED"))))))</f>
        <v/>
      </c>
      <c r="K988" s="20">
        <f>IF($F988="",999,IF($G988&gt;=5,9999,IF($I988="",999,$I988-TODAY())))</f>
        <v/>
      </c>
    </row>
    <row r="989">
      <c r="A989" s="28">
        <f>ROW()-2</f>
        <v/>
      </c>
      <c r="B989" s="29" t="inlineStr">
        <is>
          <t>S8</t>
        </is>
      </c>
      <c r="C989" s="29" t="inlineStr">
        <is>
          <t>Immunopathologie - Génétique médicale - Maladies de système</t>
        </is>
      </c>
      <c r="D989" s="29" t="inlineStr">
        <is>
          <t>Génétique médicale</t>
        </is>
      </c>
      <c r="E989" s="29" t="inlineStr">
        <is>
          <t>Modes de transmission des maladies héréditaires</t>
        </is>
      </c>
      <c r="F989" s="18" t="n">
        <v>46083</v>
      </c>
      <c r="G989" s="19" t="n">
        <v>2</v>
      </c>
      <c r="H989" s="20">
        <f>IF($G989="",1,IF($G989=0,1,IF($G989=1,3,IF($G989=2,7,IF($G989=3,14,IF($G989=4,30,60))))))</f>
        <v/>
      </c>
      <c r="I989" s="21">
        <f>IF($F989="","",$F989+$H989)</f>
        <v/>
      </c>
      <c r="J989">
        <f>IF($F989="","⚪ NEW",IF($G989&gt;=5,"✅ DONE",IF($I989&lt;TODAY(),"🔴 OVERDUE",IF($I989=TODAY(),"🟢 TODAY",IF($I989=TODAY()+1,"🔵 TOMORROW",IF($I989&lt;=TODAY()+7,"📅 THIS WEEK","⏳ SCHEDULED"))))))</f>
        <v/>
      </c>
      <c r="K989" s="20">
        <f>IF($F989="",999,IF($G989&gt;=5,9999,IF($I989="",999,$I989-TODAY())))</f>
        <v/>
      </c>
    </row>
    <row r="990">
      <c r="A990" s="28">
        <f>ROW()-2</f>
        <v/>
      </c>
      <c r="B990" s="29" t="inlineStr">
        <is>
          <t>S8</t>
        </is>
      </c>
      <c r="C990" s="29" t="inlineStr">
        <is>
          <t>Immunopathologie - Génétique médicale - Maladies de système</t>
        </is>
      </c>
      <c r="D990" s="29" t="inlineStr">
        <is>
          <t>Génétique médicale</t>
        </is>
      </c>
      <c r="E990" s="29" t="inlineStr">
        <is>
          <t>Génétique des populations</t>
        </is>
      </c>
      <c r="F990" s="18" t="n">
        <v>46085</v>
      </c>
      <c r="G990" s="19" t="n">
        <v>1</v>
      </c>
      <c r="H990" s="20">
        <f>IF($G990="",1,IF($G990=0,1,IF($G990=1,3,IF($G990=2,7,IF($G990=3,14,IF($G990=4,30,60))))))</f>
        <v/>
      </c>
      <c r="I990" s="21">
        <f>IF($F990="","",$F990+$H990)</f>
        <v/>
      </c>
      <c r="J990">
        <f>IF($F990="","⚪ NEW",IF($G990&gt;=5,"✅ DONE",IF($I990&lt;TODAY(),"🔴 OVERDUE",IF($I990=TODAY(),"🟢 TODAY",IF($I990=TODAY()+1,"🔵 TOMORROW",IF($I990&lt;=TODAY()+7,"📅 THIS WEEK","⏳ SCHEDULED"))))))</f>
        <v/>
      </c>
      <c r="K990" s="20">
        <f>IF($F990="",999,IF($G990&gt;=5,9999,IF($I990="",999,$I990-TODAY())))</f>
        <v/>
      </c>
    </row>
    <row r="991">
      <c r="A991" s="28">
        <f>ROW()-2</f>
        <v/>
      </c>
      <c r="B991" s="29" t="inlineStr">
        <is>
          <t>S8</t>
        </is>
      </c>
      <c r="C991" s="29" t="inlineStr">
        <is>
          <t>Immunopathologie - Génétique médicale - Maladies de système</t>
        </is>
      </c>
      <c r="D991" s="29" t="inlineStr">
        <is>
          <t>Génétique médicale</t>
        </is>
      </c>
      <c r="E991" s="29" t="inlineStr">
        <is>
          <t>Mutations : classification, conséquences et nomenclature</t>
        </is>
      </c>
      <c r="F991" s="18" t="n">
        <v>46082</v>
      </c>
      <c r="G991" s="19" t="n">
        <v>0</v>
      </c>
      <c r="H991" s="20">
        <f>IF($G991="",1,IF($G991=0,1,IF($G991=1,3,IF($G991=2,7,IF($G991=3,14,IF($G991=4,30,60))))))</f>
        <v/>
      </c>
      <c r="I991" s="21">
        <f>IF($F991="","",$F991+$H991)</f>
        <v/>
      </c>
      <c r="J991">
        <f>IF($F991="","⚪ NEW",IF($G991&gt;=5,"✅ DONE",IF($I991&lt;TODAY(),"🔴 OVERDUE",IF($I991=TODAY(),"🟢 TODAY",IF($I991=TODAY()+1,"🔵 TOMORROW",IF($I991&lt;=TODAY()+7,"📅 THIS WEEK","⏳ SCHEDULED"))))))</f>
        <v/>
      </c>
      <c r="K991" s="20">
        <f>IF($F991="",999,IF($G991&gt;=5,9999,IF($I991="",999,$I991-TODAY())))</f>
        <v/>
      </c>
    </row>
    <row r="992">
      <c r="A992" s="28">
        <f>ROW()-2</f>
        <v/>
      </c>
      <c r="B992" s="29" t="inlineStr">
        <is>
          <t>S8</t>
        </is>
      </c>
      <c r="C992" s="29" t="inlineStr">
        <is>
          <t>Immunopathologie - Génétique médicale - Maladies de système</t>
        </is>
      </c>
      <c r="D992" s="29" t="inlineStr">
        <is>
          <t>Génétique médicale</t>
        </is>
      </c>
      <c r="E992" s="29" t="inlineStr">
        <is>
          <t>Caryotype</t>
        </is>
      </c>
      <c r="F992" s="18" t="n"/>
      <c r="G992" s="19" t="n"/>
      <c r="H992" s="20">
        <f>IF($G992="",1,IF($G992=0,1,IF($G992=1,3,IF($G992=2,7,IF($G992=3,14,IF($G992=4,30,60))))))</f>
        <v/>
      </c>
      <c r="I992" s="21">
        <f>IF($F992="","",$F992+$H992)</f>
        <v/>
      </c>
      <c r="J992">
        <f>IF($F992="","⚪ NEW",IF($G992&gt;=5,"✅ DONE",IF($I992&lt;TODAY(),"🔴 OVERDUE",IF($I992=TODAY(),"🟢 TODAY",IF($I992=TODAY()+1,"🔵 TOMORROW",IF($I992&lt;=TODAY()+7,"📅 THIS WEEK","⏳ SCHEDULED"))))))</f>
        <v/>
      </c>
      <c r="K992" s="20">
        <f>IF($F992="",999,IF($G992&gt;=5,9999,IF($I992="",999,$I992-TODAY())))</f>
        <v/>
      </c>
    </row>
    <row r="993">
      <c r="A993" s="28">
        <f>ROW()-2</f>
        <v/>
      </c>
      <c r="B993" s="29" t="inlineStr">
        <is>
          <t>S8</t>
        </is>
      </c>
      <c r="C993" s="29" t="inlineStr">
        <is>
          <t>Immunopathologie - Génétique médicale - Maladies de système</t>
        </is>
      </c>
      <c r="D993" s="29" t="inlineStr">
        <is>
          <t>Génétique médicale</t>
        </is>
      </c>
      <c r="E993" s="29" t="inlineStr">
        <is>
          <t>La pathologie chromosomique</t>
        </is>
      </c>
      <c r="F993" s="18" t="n"/>
      <c r="G993" s="19" t="n"/>
      <c r="H993" s="20">
        <f>IF($G993="",1,IF($G993=0,1,IF($G993=1,3,IF($G993=2,7,IF($G993=3,14,IF($G993=4,30,60))))))</f>
        <v/>
      </c>
      <c r="I993" s="21">
        <f>IF($F993="","",$F993+$H993)</f>
        <v/>
      </c>
      <c r="J993">
        <f>IF($F993="","⚪ NEW",IF($G993&gt;=5,"✅ DONE",IF($I993&lt;TODAY(),"🔴 OVERDUE",IF($I993=TODAY(),"🟢 TODAY",IF($I993=TODAY()+1,"🔵 TOMORROW",IF($I993&lt;=TODAY()+7,"📅 THIS WEEK","⏳ SCHEDULED"))))))</f>
        <v/>
      </c>
      <c r="K993" s="20">
        <f>IF($F993="",999,IF($G993&gt;=5,9999,IF($I993="",999,$I993-TODAY())))</f>
        <v/>
      </c>
    </row>
    <row r="994">
      <c r="A994" s="28">
        <f>ROW()-2</f>
        <v/>
      </c>
      <c r="B994" s="29" t="inlineStr">
        <is>
          <t>S8</t>
        </is>
      </c>
      <c r="C994" s="29" t="inlineStr">
        <is>
          <t>Immunopathologie - Génétique médicale - Maladies de système</t>
        </is>
      </c>
      <c r="D994" s="29" t="inlineStr">
        <is>
          <t>Génétique médicale</t>
        </is>
      </c>
      <c r="E994" s="29" t="inlineStr">
        <is>
          <t>Exemples de pathologies autosomiques et gonosomiques</t>
        </is>
      </c>
      <c r="F994" s="18" t="n"/>
      <c r="G994" s="19" t="n"/>
      <c r="H994" s="20">
        <f>IF($G994="",1,IF($G994=0,1,IF($G994=1,3,IF($G994=2,7,IF($G994=3,14,IF($G994=4,30,60))))))</f>
        <v/>
      </c>
      <c r="I994" s="21">
        <f>IF($F994="","",$F994+$H994)</f>
        <v/>
      </c>
      <c r="J994">
        <f>IF($F994="","⚪ NEW",IF($G994&gt;=5,"✅ DONE",IF($I994&lt;TODAY(),"🔴 OVERDUE",IF($I994=TODAY(),"🟢 TODAY",IF($I994=TODAY()+1,"🔵 TOMORROW",IF($I994&lt;=TODAY()+7,"📅 THIS WEEK","⏳ SCHEDULED"))))))</f>
        <v/>
      </c>
      <c r="K994" s="20">
        <f>IF($F994="",999,IF($G994&gt;=5,9999,IF($I994="",999,$I994-TODAY())))</f>
        <v/>
      </c>
    </row>
    <row r="995">
      <c r="A995" s="28">
        <f>ROW()-2</f>
        <v/>
      </c>
      <c r="B995" s="29" t="inlineStr">
        <is>
          <t>S8</t>
        </is>
      </c>
      <c r="C995" s="29" t="inlineStr">
        <is>
          <t>Immunopathologie - Génétique médicale - Maladies de système</t>
        </is>
      </c>
      <c r="D995" s="29" t="inlineStr">
        <is>
          <t>Génétique médicale</t>
        </is>
      </c>
      <c r="E995" s="29" t="inlineStr">
        <is>
          <t>Syndrome de Turner</t>
        </is>
      </c>
      <c r="F995" s="18" t="n"/>
      <c r="G995" s="19" t="n"/>
      <c r="H995" s="20">
        <f>IF($G995="",1,IF($G995=0,1,IF($G995=1,3,IF($G995=2,7,IF($G995=3,14,IF($G995=4,30,60))))))</f>
        <v/>
      </c>
      <c r="I995" s="21">
        <f>IF($F995="","",$F995+$H995)</f>
        <v/>
      </c>
      <c r="J995">
        <f>IF($F995="","⚪ NEW",IF($G995&gt;=5,"✅ DONE",IF($I995&lt;TODAY(),"🔴 OVERDUE",IF($I995=TODAY(),"🟢 TODAY",IF($I995=TODAY()+1,"🔵 TOMORROW",IF($I995&lt;=TODAY()+7,"📅 THIS WEEK","⏳ SCHEDULED"))))))</f>
        <v/>
      </c>
      <c r="K995" s="20">
        <f>IF($F995="",999,IF($G995&gt;=5,9999,IF($I995="",999,$I995-TODAY())))</f>
        <v/>
      </c>
    </row>
    <row r="996">
      <c r="A996" s="28">
        <f>ROW()-2</f>
        <v/>
      </c>
      <c r="B996" s="29" t="inlineStr">
        <is>
          <t>S8</t>
        </is>
      </c>
      <c r="C996" s="29" t="inlineStr">
        <is>
          <t>Immunopathologie - Génétique médicale - Maladies de système</t>
        </is>
      </c>
      <c r="D996" s="29" t="inlineStr">
        <is>
          <t>Génétique médicale</t>
        </is>
      </c>
      <c r="E996" s="29" t="inlineStr">
        <is>
          <t>Syndrome de Klinefelter</t>
        </is>
      </c>
      <c r="F996" s="18" t="n"/>
      <c r="G996" s="19" t="n"/>
      <c r="H996" s="20">
        <f>IF($G996="",1,IF($G996=0,1,IF($G996=1,3,IF($G996=2,7,IF($G996=3,14,IF($G996=4,30,60))))))</f>
        <v/>
      </c>
      <c r="I996" s="21">
        <f>IF($F996="","",$F996+$H996)</f>
        <v/>
      </c>
      <c r="J996">
        <f>IF($F996="","⚪ NEW",IF($G996&gt;=5,"✅ DONE",IF($I996&lt;TODAY(),"🔴 OVERDUE",IF($I996=TODAY(),"🟢 TODAY",IF($I996=TODAY()+1,"🔵 TOMORROW",IF($I996&lt;=TODAY()+7,"📅 THIS WEEK","⏳ SCHEDULED"))))))</f>
        <v/>
      </c>
      <c r="K996" s="20">
        <f>IF($F996="",999,IF($G996&gt;=5,9999,IF($I996="",999,$I996-TODAY())))</f>
        <v/>
      </c>
    </row>
    <row r="997">
      <c r="A997" s="28">
        <f>ROW()-2</f>
        <v/>
      </c>
      <c r="B997" s="29" t="inlineStr">
        <is>
          <t>S8</t>
        </is>
      </c>
      <c r="C997" s="29" t="inlineStr">
        <is>
          <t>Immunopathologie - Génétique médicale - Maladies de système</t>
        </is>
      </c>
      <c r="D997" s="29" t="inlineStr">
        <is>
          <t>Génétique médicale</t>
        </is>
      </c>
      <c r="E997" s="29" t="inlineStr">
        <is>
          <t>Conseil génétique</t>
        </is>
      </c>
      <c r="F997" s="18" t="n"/>
      <c r="G997" s="19" t="n"/>
      <c r="H997" s="20">
        <f>IF($G997="",1,IF($G997=0,1,IF($G997=1,3,IF($G997=2,7,IF($G997=3,14,IF($G997=4,30,60))))))</f>
        <v/>
      </c>
      <c r="I997" s="21">
        <f>IF($F997="","",$F997+$H997)</f>
        <v/>
      </c>
      <c r="J997">
        <f>IF($F997="","⚪ NEW",IF($G997&gt;=5,"✅ DONE",IF($I997&lt;TODAY(),"🔴 OVERDUE",IF($I997=TODAY(),"🟢 TODAY",IF($I997=TODAY()+1,"🔵 TOMORROW",IF($I997&lt;=TODAY()+7,"📅 THIS WEEK","⏳ SCHEDULED"))))))</f>
        <v/>
      </c>
      <c r="K997" s="20">
        <f>IF($F997="",999,IF($G997&gt;=5,9999,IF($I997="",999,$I997-TODAY())))</f>
        <v/>
      </c>
    </row>
    <row r="998">
      <c r="A998" s="28">
        <f>ROW()-2</f>
        <v/>
      </c>
      <c r="B998" s="29" t="inlineStr">
        <is>
          <t>S8</t>
        </is>
      </c>
      <c r="C998" s="29" t="inlineStr">
        <is>
          <t>Immunopathologie - Génétique médicale - Maladies de système</t>
        </is>
      </c>
      <c r="D998" s="29" t="inlineStr">
        <is>
          <t>Génétique médicale</t>
        </is>
      </c>
      <c r="E998" s="29" t="inlineStr">
        <is>
          <t>Diagnostic anténatal</t>
        </is>
      </c>
      <c r="F998" s="18" t="n"/>
      <c r="G998" s="19" t="n"/>
      <c r="H998" s="20">
        <f>IF($G998="",1,IF($G998=0,1,IF($G998=1,3,IF($G998=2,7,IF($G998=3,14,IF($G998=4,30,60))))))</f>
        <v/>
      </c>
      <c r="I998" s="21">
        <f>IF($F998="","",$F998+$H998)</f>
        <v/>
      </c>
      <c r="J998">
        <f>IF($F998="","⚪ NEW",IF($G998&gt;=5,"✅ DONE",IF($I998&lt;TODAY(),"🔴 OVERDUE",IF($I998=TODAY(),"🟢 TODAY",IF($I998=TODAY()+1,"🔵 TOMORROW",IF($I998&lt;=TODAY()+7,"📅 THIS WEEK","⏳ SCHEDULED"))))))</f>
        <v/>
      </c>
      <c r="K998" s="20">
        <f>IF($F998="",999,IF($G998&gt;=5,9999,IF($I998="",999,$I998-TODAY())))</f>
        <v/>
      </c>
    </row>
    <row r="999">
      <c r="A999" s="28">
        <f>ROW()-2</f>
        <v/>
      </c>
      <c r="B999" s="29" t="inlineStr">
        <is>
          <t>S8</t>
        </is>
      </c>
      <c r="C999" s="29" t="inlineStr">
        <is>
          <t>Immunopathologie - Génétique médicale - Maladies de système</t>
        </is>
      </c>
      <c r="D999" s="29" t="inlineStr">
        <is>
          <t>Génétique médicale</t>
        </is>
      </c>
      <c r="E999" s="29" t="inlineStr">
        <is>
          <t>Amyotrophie spinale (SMA)</t>
        </is>
      </c>
      <c r="F999" s="18" t="n"/>
      <c r="G999" s="19" t="n"/>
      <c r="H999" s="20">
        <f>IF($G999="",1,IF($G999=0,1,IF($G999=1,3,IF($G999=2,7,IF($G999=3,14,IF($G999=4,30,60))))))</f>
        <v/>
      </c>
      <c r="I999" s="21">
        <f>IF($F999="","",$F999+$H999)</f>
        <v/>
      </c>
      <c r="J999">
        <f>IF($F999="","⚪ NEW",IF($G999&gt;=5,"✅ DONE",IF($I999&lt;TODAY(),"🔴 OVERDUE",IF($I999=TODAY(),"🟢 TODAY",IF($I999=TODAY()+1,"🔵 TOMORROW",IF($I999&lt;=TODAY()+7,"📅 THIS WEEK","⏳ SCHEDULED"))))))</f>
        <v/>
      </c>
      <c r="K999" s="20">
        <f>IF($F999="",999,IF($G999&gt;=5,9999,IF($I999="",999,$I999-TODAY())))</f>
        <v/>
      </c>
    </row>
    <row r="1000">
      <c r="A1000" s="28">
        <f>ROW()-2</f>
        <v/>
      </c>
      <c r="B1000" s="29" t="inlineStr">
        <is>
          <t>S8</t>
        </is>
      </c>
      <c r="C1000" s="29" t="inlineStr">
        <is>
          <t>Immunopathologie - Génétique médicale - Maladies de système</t>
        </is>
      </c>
      <c r="D1000" s="29" t="inlineStr">
        <is>
          <t>Génétique médicale</t>
        </is>
      </c>
      <c r="E1000" s="29" t="inlineStr">
        <is>
          <t>Syndrome de l'X fragile</t>
        </is>
      </c>
      <c r="F1000" s="18" t="n"/>
      <c r="G1000" s="19" t="n"/>
      <c r="H1000" s="20">
        <f>IF($G1000="",1,IF($G1000=0,1,IF($G1000=1,3,IF($G1000=2,7,IF($G1000=3,14,IF($G1000=4,30,60))))))</f>
        <v/>
      </c>
      <c r="I1000" s="21">
        <f>IF($F1000="","",$F1000+$H1000)</f>
        <v/>
      </c>
      <c r="J1000">
        <f>IF($F1000="","⚪ NEW",IF($G1000&gt;=5,"✅ DONE",IF($I1000&lt;TODAY(),"🔴 OVERDUE",IF($I1000=TODAY(),"🟢 TODAY",IF($I1000=TODAY()+1,"🔵 TOMORROW",IF($I1000&lt;=TODAY()+7,"📅 THIS WEEK","⏳ SCHEDULED"))))))</f>
        <v/>
      </c>
      <c r="K1000" s="20">
        <f>IF($F1000="",999,IF($G1000&gt;=5,9999,IF($I1000="",999,$I1000-TODAY())))</f>
        <v/>
      </c>
    </row>
    <row r="1001">
      <c r="A1001" s="28">
        <f>ROW()-2</f>
        <v/>
      </c>
      <c r="B1001" s="29" t="inlineStr">
        <is>
          <t>S8</t>
        </is>
      </c>
      <c r="C1001" s="29" t="inlineStr">
        <is>
          <t>Immunopathologie - Génétique médicale - Maladies de système</t>
        </is>
      </c>
      <c r="D1001" s="29" t="inlineStr">
        <is>
          <t>Génétique médicale</t>
        </is>
      </c>
      <c r="E1001" s="29" t="inlineStr">
        <is>
          <t>Syndrome de Prader-Willi</t>
        </is>
      </c>
      <c r="F1001" s="18" t="n"/>
      <c r="G1001" s="19" t="n"/>
      <c r="H1001" s="20">
        <f>IF($G1001="",1,IF($G1001=0,1,IF($G1001=1,3,IF($G1001=2,7,IF($G1001=3,14,IF($G1001=4,30,60))))))</f>
        <v/>
      </c>
      <c r="I1001" s="21">
        <f>IF($F1001="","",$F1001+$H1001)</f>
        <v/>
      </c>
      <c r="J1001">
        <f>IF($F1001="","⚪ NEW",IF($G1001&gt;=5,"✅ DONE",IF($I1001&lt;TODAY(),"🔴 OVERDUE",IF($I1001=TODAY(),"🟢 TODAY",IF($I1001=TODAY()+1,"🔵 TOMORROW",IF($I1001&lt;=TODAY()+7,"📅 THIS WEEK","⏳ SCHEDULED"))))))</f>
        <v/>
      </c>
      <c r="K1001" s="20">
        <f>IF($F1001="",999,IF($G1001&gt;=5,9999,IF($I1001="",999,$I1001-TODAY())))</f>
        <v/>
      </c>
    </row>
    <row r="1002">
      <c r="A1002" s="28">
        <f>ROW()-2</f>
        <v/>
      </c>
      <c r="B1002" s="29" t="inlineStr">
        <is>
          <t>S8</t>
        </is>
      </c>
      <c r="C1002" s="29" t="inlineStr">
        <is>
          <t>Immunopathologie - Génétique médicale - Maladies de système</t>
        </is>
      </c>
      <c r="D1002" s="29" t="inlineStr">
        <is>
          <t>Maladies de système</t>
        </is>
      </c>
      <c r="E1002" s="29" t="inlineStr">
        <is>
          <t>Introduction aux vascularites systémiques</t>
        </is>
      </c>
      <c r="F1002" s="18" t="n"/>
      <c r="G1002" s="19" t="n"/>
      <c r="H1002" s="20">
        <f>IF($G1002="",1,IF($G1002=0,1,IF($G1002=1,3,IF($G1002=2,7,IF($G1002=3,14,IF($G1002=4,30,60))))))</f>
        <v/>
      </c>
      <c r="I1002" s="21">
        <f>IF($F1002="","",$F1002+$H1002)</f>
        <v/>
      </c>
      <c r="J1002">
        <f>IF($F1002="","⚪ NEW",IF($G1002&gt;=5,"✅ DONE",IF($I1002&lt;TODAY(),"🔴 OVERDUE",IF($I1002=TODAY(),"🟢 TODAY",IF($I1002=TODAY()+1,"🔵 TOMORROW",IF($I1002&lt;=TODAY()+7,"📅 THIS WEEK","⏳ SCHEDULED"))))))</f>
        <v/>
      </c>
      <c r="K1002" s="20">
        <f>IF($F1002="",999,IF($G1002&gt;=5,9999,IF($I1002="",999,$I1002-TODAY())))</f>
        <v/>
      </c>
    </row>
    <row r="1003">
      <c r="A1003" s="28">
        <f>ROW()-2</f>
        <v/>
      </c>
      <c r="B1003" s="29" t="inlineStr">
        <is>
          <t>S8</t>
        </is>
      </c>
      <c r="C1003" s="29" t="inlineStr">
        <is>
          <t>Immunopathologie - Génétique médicale - Maladies de système</t>
        </is>
      </c>
      <c r="D1003" s="29" t="inlineStr">
        <is>
          <t>Maladies de système</t>
        </is>
      </c>
      <c r="E1003" s="29" t="inlineStr">
        <is>
          <t>Vascularites systémiques</t>
        </is>
      </c>
      <c r="F1003" s="18" t="n"/>
      <c r="G1003" s="19" t="n"/>
      <c r="H1003" s="20">
        <f>IF($G1003="",1,IF($G1003=0,1,IF($G1003=1,3,IF($G1003=2,7,IF($G1003=3,14,IF($G1003=4,30,60))))))</f>
        <v/>
      </c>
      <c r="I1003" s="21">
        <f>IF($F1003="","",$F1003+$H1003)</f>
        <v/>
      </c>
      <c r="J1003">
        <f>IF($F1003="","⚪ NEW",IF($G1003&gt;=5,"✅ DONE",IF($I1003&lt;TODAY(),"🔴 OVERDUE",IF($I1003=TODAY(),"🟢 TODAY",IF($I1003=TODAY()+1,"🔵 TOMORROW",IF($I1003&lt;=TODAY()+7,"📅 THIS WEEK","⏳ SCHEDULED"))))))</f>
        <v/>
      </c>
      <c r="K1003" s="20">
        <f>IF($F1003="",999,IF($G1003&gt;=5,9999,IF($I1003="",999,$I1003-TODAY())))</f>
        <v/>
      </c>
    </row>
    <row r="1004">
      <c r="A1004" s="28">
        <f>ROW()-2</f>
        <v/>
      </c>
      <c r="B1004" s="29" t="inlineStr">
        <is>
          <t>S8</t>
        </is>
      </c>
      <c r="C1004" s="29" t="inlineStr">
        <is>
          <t>Immunopathologie - Génétique médicale - Maladies de système</t>
        </is>
      </c>
      <c r="D1004" s="29" t="inlineStr">
        <is>
          <t>Maladies de système</t>
        </is>
      </c>
      <c r="E1004" s="29" t="inlineStr">
        <is>
          <t>Artérite à cellules géantes</t>
        </is>
      </c>
      <c r="F1004" s="18" t="n"/>
      <c r="G1004" s="19" t="n"/>
      <c r="H1004" s="20">
        <f>IF($G1004="",1,IF($G1004=0,1,IF($G1004=1,3,IF($G1004=2,7,IF($G1004=3,14,IF($G1004=4,30,60))))))</f>
        <v/>
      </c>
      <c r="I1004" s="21">
        <f>IF($F1004="","",$F1004+$H1004)</f>
        <v/>
      </c>
      <c r="J1004">
        <f>IF($F1004="","⚪ NEW",IF($G1004&gt;=5,"✅ DONE",IF($I1004&lt;TODAY(),"🔴 OVERDUE",IF($I1004=TODAY(),"🟢 TODAY",IF($I1004=TODAY()+1,"🔵 TOMORROW",IF($I1004&lt;=TODAY()+7,"📅 THIS WEEK","⏳ SCHEDULED"))))))</f>
        <v/>
      </c>
      <c r="K1004" s="20">
        <f>IF($F1004="",999,IF($G1004&gt;=5,9999,IF($I1004="",999,$I1004-TODAY())))</f>
        <v/>
      </c>
    </row>
    <row r="1005">
      <c r="A1005" s="28">
        <f>ROW()-2</f>
        <v/>
      </c>
      <c r="B1005" s="29" t="inlineStr">
        <is>
          <t>S8</t>
        </is>
      </c>
      <c r="C1005" s="29" t="inlineStr">
        <is>
          <t>Immunopathologie - Génétique médicale - Maladies de système</t>
        </is>
      </c>
      <c r="D1005" s="29" t="inlineStr">
        <is>
          <t>Maladies de système</t>
        </is>
      </c>
      <c r="E1005" s="29" t="inlineStr">
        <is>
          <t>Maladie de Takayasu</t>
        </is>
      </c>
      <c r="F1005" s="18" t="n"/>
      <c r="G1005" s="19" t="n"/>
      <c r="H1005" s="20">
        <f>IF($G1005="",1,IF($G1005=0,1,IF($G1005=1,3,IF($G1005=2,7,IF($G1005=3,14,IF($G1005=4,30,60))))))</f>
        <v/>
      </c>
      <c r="I1005" s="21">
        <f>IF($F1005="","",$F1005+$H1005)</f>
        <v/>
      </c>
      <c r="J1005">
        <f>IF($F1005="","⚪ NEW",IF($G1005&gt;=5,"✅ DONE",IF($I1005&lt;TODAY(),"🔴 OVERDUE",IF($I1005=TODAY(),"🟢 TODAY",IF($I1005=TODAY()+1,"🔵 TOMORROW",IF($I1005&lt;=TODAY()+7,"📅 THIS WEEK","⏳ SCHEDULED"))))))</f>
        <v/>
      </c>
      <c r="K1005" s="20">
        <f>IF($F1005="",999,IF($G1005&gt;=5,9999,IF($I1005="",999,$I1005-TODAY())))</f>
        <v/>
      </c>
    </row>
    <row r="1006">
      <c r="A1006" s="28">
        <f>ROW()-2</f>
        <v/>
      </c>
      <c r="B1006" s="29" t="inlineStr">
        <is>
          <t>S8</t>
        </is>
      </c>
      <c r="C1006" s="29" t="inlineStr">
        <is>
          <t>Immunopathologie - Génétique médicale - Maladies de système</t>
        </is>
      </c>
      <c r="D1006" s="29" t="inlineStr">
        <is>
          <t>Maladies de système</t>
        </is>
      </c>
      <c r="E1006" s="29" t="inlineStr">
        <is>
          <t>Phénomène de Raynaud</t>
        </is>
      </c>
      <c r="F1006" s="18" t="n"/>
      <c r="G1006" s="19" t="n"/>
      <c r="H1006" s="20">
        <f>IF($G1006="",1,IF($G1006=0,1,IF($G1006=1,3,IF($G1006=2,7,IF($G1006=3,14,IF($G1006=4,30,60))))))</f>
        <v/>
      </c>
      <c r="I1006" s="21">
        <f>IF($F1006="","",$F1006+$H1006)</f>
        <v/>
      </c>
      <c r="J1006">
        <f>IF($F1006="","⚪ NEW",IF($G1006&gt;=5,"✅ DONE",IF($I1006&lt;TODAY(),"🔴 OVERDUE",IF($I1006=TODAY(),"🟢 TODAY",IF($I1006=TODAY()+1,"🔵 TOMORROW",IF($I1006&lt;=TODAY()+7,"📅 THIS WEEK","⏳ SCHEDULED"))))))</f>
        <v/>
      </c>
      <c r="K1006" s="20">
        <f>IF($F1006="",999,IF($G1006&gt;=5,9999,IF($I1006="",999,$I1006-TODAY())))</f>
        <v/>
      </c>
    </row>
    <row r="1007">
      <c r="A1007" s="28">
        <f>ROW()-2</f>
        <v/>
      </c>
      <c r="B1007" s="29" t="inlineStr">
        <is>
          <t>S8</t>
        </is>
      </c>
      <c r="C1007" s="29" t="inlineStr">
        <is>
          <t>Immunopathologie - Génétique médicale - Maladies de système</t>
        </is>
      </c>
      <c r="D1007" s="29" t="inlineStr">
        <is>
          <t>Maladies de système</t>
        </is>
      </c>
      <c r="E1007" s="29" t="inlineStr">
        <is>
          <t>Syndrome des anti-phospholipides (SAPL)</t>
        </is>
      </c>
      <c r="F1007" s="18" t="n"/>
      <c r="G1007" s="19" t="n"/>
      <c r="H1007" s="20">
        <f>IF($G1007="",1,IF($G1007=0,1,IF($G1007=1,3,IF($G1007=2,7,IF($G1007=3,14,IF($G1007=4,30,60))))))</f>
        <v/>
      </c>
      <c r="I1007" s="21">
        <f>IF($F1007="","",$F1007+$H1007)</f>
        <v/>
      </c>
      <c r="J1007">
        <f>IF($F1007="","⚪ NEW",IF($G1007&gt;=5,"✅ DONE",IF($I1007&lt;TODAY(),"🔴 OVERDUE",IF($I1007=TODAY(),"🟢 TODAY",IF($I1007=TODAY()+1,"🔵 TOMORROW",IF($I1007&lt;=TODAY()+7,"📅 THIS WEEK","⏳ SCHEDULED"))))))</f>
        <v/>
      </c>
      <c r="K1007" s="20">
        <f>IF($F1007="",999,IF($G1007&gt;=5,9999,IF($I1007="",999,$I1007-TODAY())))</f>
        <v/>
      </c>
    </row>
    <row r="1008">
      <c r="A1008" s="28">
        <f>ROW()-2</f>
        <v/>
      </c>
      <c r="B1008" s="29" t="inlineStr">
        <is>
          <t>S8</t>
        </is>
      </c>
      <c r="C1008" s="29" t="inlineStr">
        <is>
          <t>Immunopathologie - Génétique médicale - Maladies de système</t>
        </is>
      </c>
      <c r="D1008" s="29" t="inlineStr">
        <is>
          <t>Maladies de système</t>
        </is>
      </c>
      <c r="E1008" s="29" t="inlineStr">
        <is>
          <t>Les myopathies inflammatoires acquises idiopathiques</t>
        </is>
      </c>
      <c r="F1008" s="18" t="n"/>
      <c r="G1008" s="19" t="n"/>
      <c r="H1008" s="20">
        <f>IF($G1008="",1,IF($G1008=0,1,IF($G1008=1,3,IF($G1008=2,7,IF($G1008=3,14,IF($G1008=4,30,60))))))</f>
        <v/>
      </c>
      <c r="I1008" s="21">
        <f>IF($F1008="","",$F1008+$H1008)</f>
        <v/>
      </c>
      <c r="J1008">
        <f>IF($F1008="","⚪ NEW",IF($G1008&gt;=5,"✅ DONE",IF($I1008&lt;TODAY(),"🔴 OVERDUE",IF($I1008=TODAY(),"🟢 TODAY",IF($I1008=TODAY()+1,"🔵 TOMORROW",IF($I1008&lt;=TODAY()+7,"📅 THIS WEEK","⏳ SCHEDULED"))))))</f>
        <v/>
      </c>
      <c r="K1008" s="20">
        <f>IF($F1008="",999,IF($G1008&gt;=5,9999,IF($I1008="",999,$I1008-TODAY())))</f>
        <v/>
      </c>
    </row>
    <row r="1009">
      <c r="A1009" s="28">
        <f>ROW()-2</f>
        <v/>
      </c>
      <c r="B1009" s="29" t="inlineStr">
        <is>
          <t>S8</t>
        </is>
      </c>
      <c r="C1009" s="29" t="inlineStr">
        <is>
          <t>Immunopathologie - Génétique médicale - Maladies de système</t>
        </is>
      </c>
      <c r="D1009" s="29" t="inlineStr">
        <is>
          <t>Maladies de système</t>
        </is>
      </c>
      <c r="E1009" s="29" t="inlineStr">
        <is>
          <t>Lupus érythémateux systémique</t>
        </is>
      </c>
      <c r="F1009" s="18" t="n"/>
      <c r="G1009" s="19" t="n"/>
      <c r="H1009" s="20">
        <f>IF($G1009="",1,IF($G1009=0,1,IF($G1009=1,3,IF($G1009=2,7,IF($G1009=3,14,IF($G1009=4,30,60))))))</f>
        <v/>
      </c>
      <c r="I1009" s="21">
        <f>IF($F1009="","",$F1009+$H1009)</f>
        <v/>
      </c>
      <c r="J1009">
        <f>IF($F1009="","⚪ NEW",IF($G1009&gt;=5,"✅ DONE",IF($I1009&lt;TODAY(),"🔴 OVERDUE",IF($I1009=TODAY(),"🟢 TODAY",IF($I1009=TODAY()+1,"🔵 TOMORROW",IF($I1009&lt;=TODAY()+7,"📅 THIS WEEK","⏳ SCHEDULED"))))))</f>
        <v/>
      </c>
      <c r="K1009" s="20">
        <f>IF($F1009="",999,IF($G1009&gt;=5,9999,IF($I1009="",999,$I1009-TODAY())))</f>
        <v/>
      </c>
    </row>
    <row r="1010">
      <c r="A1010" s="28">
        <f>ROW()-2</f>
        <v/>
      </c>
      <c r="B1010" s="29" t="inlineStr">
        <is>
          <t>S8</t>
        </is>
      </c>
      <c r="C1010" s="29" t="inlineStr">
        <is>
          <t>Immunopathologie - Génétique médicale - Maladies de système</t>
        </is>
      </c>
      <c r="D1010" s="29" t="inlineStr">
        <is>
          <t>Maladies de système</t>
        </is>
      </c>
      <c r="E1010" s="29" t="inlineStr">
        <is>
          <t>Sclérodermie systémique</t>
        </is>
      </c>
      <c r="F1010" s="18" t="n"/>
      <c r="G1010" s="19" t="n"/>
      <c r="H1010" s="20">
        <f>IF($G1010="",1,IF($G1010=0,1,IF($G1010=1,3,IF($G1010=2,7,IF($G1010=3,14,IF($G1010=4,30,60))))))</f>
        <v/>
      </c>
      <c r="I1010" s="21">
        <f>IF($F1010="","",$F1010+$H1010)</f>
        <v/>
      </c>
      <c r="J1010">
        <f>IF($F1010="","⚪ NEW",IF($G1010&gt;=5,"✅ DONE",IF($I1010&lt;TODAY(),"🔴 OVERDUE",IF($I1010=TODAY(),"🟢 TODAY",IF($I1010=TODAY()+1,"🔵 TOMORROW",IF($I1010&lt;=TODAY()+7,"📅 THIS WEEK","⏳ SCHEDULED"))))))</f>
        <v/>
      </c>
      <c r="K1010" s="20">
        <f>IF($F1010="",999,IF($G1010&gt;=5,9999,IF($I1010="",999,$I1010-TODAY())))</f>
        <v/>
      </c>
    </row>
    <row r="1011">
      <c r="A1011" s="28">
        <f>ROW()-2</f>
        <v/>
      </c>
      <c r="B1011" s="29" t="inlineStr">
        <is>
          <t>S8</t>
        </is>
      </c>
      <c r="C1011" s="29" t="inlineStr">
        <is>
          <t>Immunopathologie - Génétique médicale - Maladies de système</t>
        </is>
      </c>
      <c r="D1011" s="29" t="inlineStr">
        <is>
          <t>Maladies de système</t>
        </is>
      </c>
      <c r="E1011" s="29" t="inlineStr">
        <is>
          <t>Maladie de Behçet</t>
        </is>
      </c>
      <c r="F1011" s="18" t="n"/>
      <c r="G1011" s="19" t="n"/>
      <c r="H1011" s="20">
        <f>IF($G1011="",1,IF($G1011=0,1,IF($G1011=1,3,IF($G1011=2,7,IF($G1011=3,14,IF($G1011=4,30,60))))))</f>
        <v/>
      </c>
      <c r="I1011" s="21">
        <f>IF($F1011="","",$F1011+$H1011)</f>
        <v/>
      </c>
      <c r="J1011">
        <f>IF($F1011="","⚪ NEW",IF($G1011&gt;=5,"✅ DONE",IF($I1011&lt;TODAY(),"🔴 OVERDUE",IF($I1011=TODAY(),"🟢 TODAY",IF($I1011=TODAY()+1,"🔵 TOMORROW",IF($I1011&lt;=TODAY()+7,"📅 THIS WEEK","⏳ SCHEDULED"))))))</f>
        <v/>
      </c>
      <c r="K1011" s="20">
        <f>IF($F1011="",999,IF($G1011&gt;=5,9999,IF($I1011="",999,$I1011-TODAY())))</f>
        <v/>
      </c>
    </row>
    <row r="1012">
      <c r="A1012" s="28">
        <f>ROW()-2</f>
        <v/>
      </c>
      <c r="B1012" s="29" t="inlineStr">
        <is>
          <t>S8</t>
        </is>
      </c>
      <c r="C1012" s="29" t="inlineStr">
        <is>
          <t>Immunopathologie - Génétique médicale - Maladies de système</t>
        </is>
      </c>
      <c r="D1012" s="29" t="inlineStr">
        <is>
          <t>Maladies de système</t>
        </is>
      </c>
      <c r="E1012" s="29" t="inlineStr">
        <is>
          <t>Syndrome de Gougerot-Sjögren</t>
        </is>
      </c>
      <c r="F1012" s="18" t="n"/>
      <c r="G1012" s="19" t="n"/>
      <c r="H1012" s="20">
        <f>IF($G1012="",1,IF($G1012=0,1,IF($G1012=1,3,IF($G1012=2,7,IF($G1012=3,14,IF($G1012=4,30,60))))))</f>
        <v/>
      </c>
      <c r="I1012" s="21">
        <f>IF($F1012="","",$F1012+$H1012)</f>
        <v/>
      </c>
      <c r="J1012">
        <f>IF($F1012="","⚪ NEW",IF($G1012&gt;=5,"✅ DONE",IF($I1012&lt;TODAY(),"🔴 OVERDUE",IF($I1012=TODAY(),"🟢 TODAY",IF($I1012=TODAY()+1,"🔵 TOMORROW",IF($I1012&lt;=TODAY()+7,"📅 THIS WEEK","⏳ SCHEDULED"))))))</f>
        <v/>
      </c>
      <c r="K1012" s="20">
        <f>IF($F1012="",999,IF($G1012&gt;=5,9999,IF($I1012="",999,$I1012-TODAY())))</f>
        <v/>
      </c>
    </row>
    <row r="1013">
      <c r="A1013" s="30">
        <f>ROW()-2</f>
        <v/>
      </c>
      <c r="B1013" s="31" t="inlineStr">
        <is>
          <t>S8</t>
        </is>
      </c>
      <c r="C1013" s="31" t="inlineStr">
        <is>
          <t>Anatomie pathologique II</t>
        </is>
      </c>
      <c r="D1013" s="31" t="inlineStr"/>
      <c r="E1013" s="31" t="inlineStr">
        <is>
          <t>Comment remplir une fiche de demande d'examen anatomopathologique</t>
        </is>
      </c>
      <c r="F1013" s="18" t="n"/>
      <c r="G1013" s="19" t="n"/>
      <c r="H1013" s="20">
        <f>IF($G1013="",1,IF($G1013=0,1,IF($G1013=1,3,IF($G1013=2,7,IF($G1013=3,14,IF($G1013=4,30,60))))))</f>
        <v/>
      </c>
      <c r="I1013" s="21">
        <f>IF($F1013="","",$F1013+$H1013)</f>
        <v/>
      </c>
      <c r="J1013">
        <f>IF($F1013="","⚪ NEW",IF($G1013&gt;=5,"✅ DONE",IF($I1013&lt;TODAY(),"🔴 OVERDUE",IF($I1013=TODAY(),"🟢 TODAY",IF($I1013=TODAY()+1,"🔵 TOMORROW",IF($I1013&lt;=TODAY()+7,"📅 THIS WEEK","⏳ SCHEDULED"))))))</f>
        <v/>
      </c>
      <c r="K1013" s="20">
        <f>IF($F1013="",999,IF($G1013&gt;=5,9999,IF($I1013="",999,$I1013-TODAY())))</f>
        <v/>
      </c>
    </row>
    <row r="1014">
      <c r="A1014" s="30">
        <f>ROW()-2</f>
        <v/>
      </c>
      <c r="B1014" s="31" t="inlineStr">
        <is>
          <t>S8</t>
        </is>
      </c>
      <c r="C1014" s="31" t="inlineStr">
        <is>
          <t>Anatomie pathologique II</t>
        </is>
      </c>
      <c r="D1014" s="31" t="inlineStr"/>
      <c r="E1014" s="31" t="inlineStr">
        <is>
          <t>Lecture critique d'un compte rendu anatomopathologique</t>
        </is>
      </c>
      <c r="F1014" s="18" t="n"/>
      <c r="G1014" s="19" t="n"/>
      <c r="H1014" s="20">
        <f>IF($G1014="",1,IF($G1014=0,1,IF($G1014=1,3,IF($G1014=2,7,IF($G1014=3,14,IF($G1014=4,30,60))))))</f>
        <v/>
      </c>
      <c r="I1014" s="21">
        <f>IF($F1014="","",$F1014+$H1014)</f>
        <v/>
      </c>
      <c r="J1014">
        <f>IF($F1014="","⚪ NEW",IF($G1014&gt;=5,"✅ DONE",IF($I1014&lt;TODAY(),"🔴 OVERDUE",IF($I1014=TODAY(),"🟢 TODAY",IF($I1014=TODAY()+1,"🔵 TOMORROW",IF($I1014&lt;=TODAY()+7,"📅 THIS WEEK","⏳ SCHEDULED"))))))</f>
        <v/>
      </c>
      <c r="K1014" s="20">
        <f>IF($F1014="",999,IF($G1014&gt;=5,9999,IF($I1014="",999,$I1014-TODAY())))</f>
        <v/>
      </c>
    </row>
    <row r="1015">
      <c r="A1015" s="30">
        <f>ROW()-2</f>
        <v/>
      </c>
      <c r="B1015" s="31" t="inlineStr">
        <is>
          <t>S8</t>
        </is>
      </c>
      <c r="C1015" s="31" t="inlineStr">
        <is>
          <t>Anatomie pathologique II</t>
        </is>
      </c>
      <c r="D1015" s="31" t="inlineStr"/>
      <c r="E1015" s="31" t="inlineStr">
        <is>
          <t>Tumeurs du foie</t>
        </is>
      </c>
      <c r="F1015" s="18" t="n"/>
      <c r="G1015" s="19" t="n"/>
      <c r="H1015" s="20">
        <f>IF($G1015="",1,IF($G1015=0,1,IF($G1015=1,3,IF($G1015=2,7,IF($G1015=3,14,IF($G1015=4,30,60))))))</f>
        <v/>
      </c>
      <c r="I1015" s="21">
        <f>IF($F1015="","",$F1015+$H1015)</f>
        <v/>
      </c>
      <c r="J1015">
        <f>IF($F1015="","⚪ NEW",IF($G1015&gt;=5,"✅ DONE",IF($I1015&lt;TODAY(),"🔴 OVERDUE",IF($I1015=TODAY(),"🟢 TODAY",IF($I1015=TODAY()+1,"🔵 TOMORROW",IF($I1015&lt;=TODAY()+7,"📅 THIS WEEK","⏳ SCHEDULED"))))))</f>
        <v/>
      </c>
      <c r="K1015" s="20">
        <f>IF($F1015="",999,IF($G1015&gt;=5,9999,IF($I1015="",999,$I1015-TODAY())))</f>
        <v/>
      </c>
    </row>
    <row r="1016">
      <c r="A1016" s="30">
        <f>ROW()-2</f>
        <v/>
      </c>
      <c r="B1016" s="31" t="inlineStr">
        <is>
          <t>S8</t>
        </is>
      </c>
      <c r="C1016" s="31" t="inlineStr">
        <is>
          <t>Anatomie pathologique II</t>
        </is>
      </c>
      <c r="D1016" s="31" t="inlineStr"/>
      <c r="E1016" s="31" t="inlineStr">
        <is>
          <t>Polypes et polyposes digestives</t>
        </is>
      </c>
      <c r="F1016" s="18" t="n"/>
      <c r="G1016" s="19" t="n"/>
      <c r="H1016" s="20">
        <f>IF($G1016="",1,IF($G1016=0,1,IF($G1016=1,3,IF($G1016=2,7,IF($G1016=3,14,IF($G1016=4,30,60))))))</f>
        <v/>
      </c>
      <c r="I1016" s="21">
        <f>IF($F1016="","",$F1016+$H1016)</f>
        <v/>
      </c>
      <c r="J1016">
        <f>IF($F1016="","⚪ NEW",IF($G1016&gt;=5,"✅ DONE",IF($I1016&lt;TODAY(),"🔴 OVERDUE",IF($I1016=TODAY(),"🟢 TODAY",IF($I1016=TODAY()+1,"🔵 TOMORROW",IF($I1016&lt;=TODAY()+7,"📅 THIS WEEK","⏳ SCHEDULED"))))))</f>
        <v/>
      </c>
      <c r="K1016" s="20">
        <f>IF($F1016="",999,IF($G1016&gt;=5,9999,IF($I1016="",999,$I1016-TODAY())))</f>
        <v/>
      </c>
    </row>
    <row r="1017">
      <c r="A1017" s="30">
        <f>ROW()-2</f>
        <v/>
      </c>
      <c r="B1017" s="31" t="inlineStr">
        <is>
          <t>S8</t>
        </is>
      </c>
      <c r="C1017" s="31" t="inlineStr">
        <is>
          <t>Anatomie pathologique II</t>
        </is>
      </c>
      <c r="D1017" s="31" t="inlineStr"/>
      <c r="E1017" s="31" t="inlineStr">
        <is>
          <t>Cancers colo-rectaux</t>
        </is>
      </c>
      <c r="F1017" s="18" t="n"/>
      <c r="G1017" s="19" t="n"/>
      <c r="H1017" s="20">
        <f>IF($G1017="",1,IF($G1017=0,1,IF($G1017=1,3,IF($G1017=2,7,IF($G1017=3,14,IF($G1017=4,30,60))))))</f>
        <v/>
      </c>
      <c r="I1017" s="21">
        <f>IF($F1017="","",$F1017+$H1017)</f>
        <v/>
      </c>
      <c r="J1017">
        <f>IF($F1017="","⚪ NEW",IF($G1017&gt;=5,"✅ DONE",IF($I1017&lt;TODAY(),"🔴 OVERDUE",IF($I1017=TODAY(),"🟢 TODAY",IF($I1017=TODAY()+1,"🔵 TOMORROW",IF($I1017&lt;=TODAY()+7,"📅 THIS WEEK","⏳ SCHEDULED"))))))</f>
        <v/>
      </c>
      <c r="K1017" s="20">
        <f>IF($F1017="",999,IF($G1017&gt;=5,9999,IF($I1017="",999,$I1017-TODAY())))</f>
        <v/>
      </c>
    </row>
    <row r="1018">
      <c r="A1018" s="30">
        <f>ROW()-2</f>
        <v/>
      </c>
      <c r="B1018" s="31" t="inlineStr">
        <is>
          <t>S8</t>
        </is>
      </c>
      <c r="C1018" s="31" t="inlineStr">
        <is>
          <t>Anatomie pathologique II</t>
        </is>
      </c>
      <c r="D1018" s="31" t="inlineStr"/>
      <c r="E1018" s="31" t="inlineStr">
        <is>
          <t>Pathologies de l'œsophage</t>
        </is>
      </c>
      <c r="F1018" s="18" t="n"/>
      <c r="G1018" s="19" t="n"/>
      <c r="H1018" s="20">
        <f>IF($G1018="",1,IF($G1018=0,1,IF($G1018=1,3,IF($G1018=2,7,IF($G1018=3,14,IF($G1018=4,30,60))))))</f>
        <v/>
      </c>
      <c r="I1018" s="21">
        <f>IF($F1018="","",$F1018+$H1018)</f>
        <v/>
      </c>
      <c r="J1018">
        <f>IF($F1018="","⚪ NEW",IF($G1018&gt;=5,"✅ DONE",IF($I1018&lt;TODAY(),"🔴 OVERDUE",IF($I1018=TODAY(),"🟢 TODAY",IF($I1018=TODAY()+1,"🔵 TOMORROW",IF($I1018&lt;=TODAY()+7,"📅 THIS WEEK","⏳ SCHEDULED"))))))</f>
        <v/>
      </c>
      <c r="K1018" s="20">
        <f>IF($F1018="",999,IF($G1018&gt;=5,9999,IF($I1018="",999,$I1018-TODAY())))</f>
        <v/>
      </c>
    </row>
    <row r="1019">
      <c r="A1019" s="30">
        <f>ROW()-2</f>
        <v/>
      </c>
      <c r="B1019" s="31" t="inlineStr">
        <is>
          <t>S8</t>
        </is>
      </c>
      <c r="C1019" s="31" t="inlineStr">
        <is>
          <t>Anatomie pathologique II</t>
        </is>
      </c>
      <c r="D1019" s="31" t="inlineStr"/>
      <c r="E1019" s="31" t="inlineStr">
        <is>
          <t>Tumeurs de l'estomac</t>
        </is>
      </c>
      <c r="F1019" s="18" t="n">
        <v>46076</v>
      </c>
      <c r="G1019" s="19" t="n">
        <v>0</v>
      </c>
      <c r="H1019" s="20">
        <f>IF($G1019="",1,IF($G1019=0,1,IF($G1019=1,3,IF($G1019=2,7,IF($G1019=3,14,IF($G1019=4,30,60))))))</f>
        <v/>
      </c>
      <c r="I1019" s="21">
        <f>IF($F1019="","",$F1019+$H1019)</f>
        <v/>
      </c>
      <c r="J1019">
        <f>IF($F1019="","⚪ NEW",IF($G1019&gt;=5,"✅ DONE",IF($I1019&lt;TODAY(),"🔴 OVERDUE",IF($I1019=TODAY(),"🟢 TODAY",IF($I1019=TODAY()+1,"🔵 TOMORROW",IF($I1019&lt;=TODAY()+7,"📅 THIS WEEK","⏳ SCHEDULED"))))))</f>
        <v/>
      </c>
      <c r="K1019" s="20">
        <f>IF($F1019="",999,IF($G1019&gt;=5,9999,IF($I1019="",999,$I1019-TODAY())))</f>
        <v/>
      </c>
    </row>
    <row r="1020">
      <c r="A1020" s="30">
        <f>ROW()-2</f>
        <v/>
      </c>
      <c r="B1020" s="31" t="inlineStr">
        <is>
          <t>S8</t>
        </is>
      </c>
      <c r="C1020" s="31" t="inlineStr">
        <is>
          <t>Anatomie pathologique II</t>
        </is>
      </c>
      <c r="D1020" s="31" t="inlineStr"/>
      <c r="E1020" s="31" t="inlineStr">
        <is>
          <t>Démarche diagnostique devant une métastase hépatique d'un primitif inconnu</t>
        </is>
      </c>
      <c r="F1020" s="18" t="n"/>
      <c r="G1020" s="19" t="n"/>
      <c r="H1020" s="20">
        <f>IF($G1020="",1,IF($G1020=0,1,IF($G1020=1,3,IF($G1020=2,7,IF($G1020=3,14,IF($G1020=4,30,60))))))</f>
        <v/>
      </c>
      <c r="I1020" s="21">
        <f>IF($F1020="","",$F1020+$H1020)</f>
        <v/>
      </c>
      <c r="J1020">
        <f>IF($F1020="","⚪ NEW",IF($G1020&gt;=5,"✅ DONE",IF($I1020&lt;TODAY(),"🔴 OVERDUE",IF($I1020=TODAY(),"🟢 TODAY",IF($I1020=TODAY()+1,"🔵 TOMORROW",IF($I1020&lt;=TODAY()+7,"📅 THIS WEEK","⏳ SCHEDULED"))))))</f>
        <v/>
      </c>
      <c r="K1020" s="20">
        <f>IF($F1020="",999,IF($G1020&gt;=5,9999,IF($I1020="",999,$I1020-TODAY())))</f>
        <v/>
      </c>
    </row>
    <row r="1021">
      <c r="A1021" s="30">
        <f>ROW()-2</f>
        <v/>
      </c>
      <c r="B1021" s="31" t="inlineStr">
        <is>
          <t>S8</t>
        </is>
      </c>
      <c r="C1021" s="31" t="inlineStr">
        <is>
          <t>Anatomie pathologique II</t>
        </is>
      </c>
      <c r="D1021" s="31" t="inlineStr"/>
      <c r="E1021" s="31" t="inlineStr">
        <is>
          <t>Cancer du sein</t>
        </is>
      </c>
      <c r="F1021" s="18" t="n"/>
      <c r="G1021" s="19" t="n"/>
      <c r="H1021" s="20">
        <f>IF($G1021="",1,IF($G1021=0,1,IF($G1021=1,3,IF($G1021=2,7,IF($G1021=3,14,IF($G1021=4,30,60))))))</f>
        <v/>
      </c>
      <c r="I1021" s="21">
        <f>IF($F1021="","",$F1021+$H1021)</f>
        <v/>
      </c>
      <c r="J1021">
        <f>IF($F1021="","⚪ NEW",IF($G1021&gt;=5,"✅ DONE",IF($I1021&lt;TODAY(),"🔴 OVERDUE",IF($I1021=TODAY(),"🟢 TODAY",IF($I1021=TODAY()+1,"🔵 TOMORROW",IF($I1021&lt;=TODAY()+7,"📅 THIS WEEK","⏳ SCHEDULED"))))))</f>
        <v/>
      </c>
      <c r="K1021" s="20">
        <f>IF($F1021="",999,IF($G1021&gt;=5,9999,IF($I1021="",999,$I1021-TODAY())))</f>
        <v/>
      </c>
    </row>
    <row r="1022">
      <c r="A1022" s="30">
        <f>ROW()-2</f>
        <v/>
      </c>
      <c r="B1022" s="31" t="inlineStr">
        <is>
          <t>S8</t>
        </is>
      </c>
      <c r="C1022" s="31" t="inlineStr">
        <is>
          <t>Anatomie pathologique II</t>
        </is>
      </c>
      <c r="D1022" s="31" t="inlineStr"/>
      <c r="E1022" s="31" t="inlineStr">
        <is>
          <t>Mastopathies bénignes</t>
        </is>
      </c>
      <c r="F1022" s="18" t="n"/>
      <c r="G1022" s="19" t="n"/>
      <c r="H1022" s="20">
        <f>IF($G1022="",1,IF($G1022=0,1,IF($G1022=1,3,IF($G1022=2,7,IF($G1022=3,14,IF($G1022=4,30,60))))))</f>
        <v/>
      </c>
      <c r="I1022" s="21">
        <f>IF($F1022="","",$F1022+$H1022)</f>
        <v/>
      </c>
      <c r="J1022">
        <f>IF($F1022="","⚪ NEW",IF($G1022&gt;=5,"✅ DONE",IF($I1022&lt;TODAY(),"🔴 OVERDUE",IF($I1022=TODAY(),"🟢 TODAY",IF($I1022=TODAY()+1,"🔵 TOMORROW",IF($I1022&lt;=TODAY()+7,"📅 THIS WEEK","⏳ SCHEDULED"))))))</f>
        <v/>
      </c>
      <c r="K1022" s="20">
        <f>IF($F1022="",999,IF($G1022&gt;=5,9999,IF($I1022="",999,$I1022-TODAY())))</f>
        <v/>
      </c>
    </row>
    <row r="1023">
      <c r="A1023" s="30">
        <f>ROW()-2</f>
        <v/>
      </c>
      <c r="B1023" s="31" t="inlineStr">
        <is>
          <t>S8</t>
        </is>
      </c>
      <c r="C1023" s="31" t="inlineStr">
        <is>
          <t>Anatomie pathologique II</t>
        </is>
      </c>
      <c r="D1023" s="31" t="inlineStr"/>
      <c r="E1023" s="31" t="inlineStr">
        <is>
          <t>Tumeurs broncho-pulmonaires</t>
        </is>
      </c>
      <c r="F1023" s="18" t="n"/>
      <c r="G1023" s="19" t="n"/>
      <c r="H1023" s="20">
        <f>IF($G1023="",1,IF($G1023=0,1,IF($G1023=1,3,IF($G1023=2,7,IF($G1023=3,14,IF($G1023=4,30,60))))))</f>
        <v/>
      </c>
      <c r="I1023" s="21">
        <f>IF($F1023="","",$F1023+$H1023)</f>
        <v/>
      </c>
      <c r="J1023">
        <f>IF($F1023="","⚪ NEW",IF($G1023&gt;=5,"✅ DONE",IF($I1023&lt;TODAY(),"🔴 OVERDUE",IF($I1023=TODAY(),"🟢 TODAY",IF($I1023=TODAY()+1,"🔵 TOMORROW",IF($I1023&lt;=TODAY()+7,"📅 THIS WEEK","⏳ SCHEDULED"))))))</f>
        <v/>
      </c>
      <c r="K1023" s="20">
        <f>IF($F1023="",999,IF($G1023&gt;=5,9999,IF($I1023="",999,$I1023-TODAY())))</f>
        <v/>
      </c>
    </row>
    <row r="1024">
      <c r="A1024" s="30">
        <f>ROW()-2</f>
        <v/>
      </c>
      <c r="B1024" s="31" t="inlineStr">
        <is>
          <t>S8</t>
        </is>
      </c>
      <c r="C1024" s="31" t="inlineStr">
        <is>
          <t>Anatomie pathologique II</t>
        </is>
      </c>
      <c r="D1024" s="31" t="inlineStr"/>
      <c r="E1024" s="31" t="inlineStr">
        <is>
          <t>Tumeur de l'ovaire</t>
        </is>
      </c>
      <c r="F1024" s="18" t="n"/>
      <c r="G1024" s="19" t="n"/>
      <c r="H1024" s="20">
        <f>IF($G1024="",1,IF($G1024=0,1,IF($G1024=1,3,IF($G1024=2,7,IF($G1024=3,14,IF($G1024=4,30,60))))))</f>
        <v/>
      </c>
      <c r="I1024" s="21">
        <f>IF($F1024="","",$F1024+$H1024)</f>
        <v/>
      </c>
      <c r="J1024">
        <f>IF($F1024="","⚪ NEW",IF($G1024&gt;=5,"✅ DONE",IF($I1024&lt;TODAY(),"🔴 OVERDUE",IF($I1024=TODAY(),"🟢 TODAY",IF($I1024=TODAY()+1,"🔵 TOMORROW",IF($I1024&lt;=TODAY()+7,"📅 THIS WEEK","⏳ SCHEDULED"))))))</f>
        <v/>
      </c>
      <c r="K1024" s="20">
        <f>IF($F1024="",999,IF($G1024&gt;=5,9999,IF($I1024="",999,$I1024-TODAY())))</f>
        <v/>
      </c>
    </row>
    <row r="1025">
      <c r="A1025" s="30">
        <f>ROW()-2</f>
        <v/>
      </c>
      <c r="B1025" s="31" t="inlineStr">
        <is>
          <t>S8</t>
        </is>
      </c>
      <c r="C1025" s="31" t="inlineStr">
        <is>
          <t>Anatomie pathologique II</t>
        </is>
      </c>
      <c r="D1025" s="31" t="inlineStr"/>
      <c r="E1025" s="31" t="inlineStr">
        <is>
          <t>Cancer du col utérin</t>
        </is>
      </c>
      <c r="F1025" s="18" t="n"/>
      <c r="G1025" s="19" t="n"/>
      <c r="H1025" s="20">
        <f>IF($G1025="",1,IF($G1025=0,1,IF($G1025=1,3,IF($G1025=2,7,IF($G1025=3,14,IF($G1025=4,30,60))))))</f>
        <v/>
      </c>
      <c r="I1025" s="21">
        <f>IF($F1025="","",$F1025+$H1025)</f>
        <v/>
      </c>
      <c r="J1025">
        <f>IF($F1025="","⚪ NEW",IF($G1025&gt;=5,"✅ DONE",IF($I1025&lt;TODAY(),"🔴 OVERDUE",IF($I1025=TODAY(),"🟢 TODAY",IF($I1025=TODAY()+1,"🔵 TOMORROW",IF($I1025&lt;=TODAY()+7,"📅 THIS WEEK","⏳ SCHEDULED"))))))</f>
        <v/>
      </c>
      <c r="K1025" s="20">
        <f>IF($F1025="",999,IF($G1025&gt;=5,9999,IF($I1025="",999,$I1025-TODAY())))</f>
        <v/>
      </c>
    </row>
    <row r="1026">
      <c r="A1026" s="30">
        <f>ROW()-2</f>
        <v/>
      </c>
      <c r="B1026" s="31" t="inlineStr">
        <is>
          <t>S8</t>
        </is>
      </c>
      <c r="C1026" s="31" t="inlineStr">
        <is>
          <t>Anatomie pathologique II</t>
        </is>
      </c>
      <c r="D1026" s="31" t="inlineStr"/>
      <c r="E1026" s="31" t="inlineStr">
        <is>
          <t>Tumeurs de la vessie</t>
        </is>
      </c>
      <c r="F1026" s="18" t="n"/>
      <c r="G1026" s="19" t="n"/>
      <c r="H1026" s="20">
        <f>IF($G1026="",1,IF($G1026=0,1,IF($G1026=1,3,IF($G1026=2,7,IF($G1026=3,14,IF($G1026=4,30,60))))))</f>
        <v/>
      </c>
      <c r="I1026" s="21">
        <f>IF($F1026="","",$F1026+$H1026)</f>
        <v/>
      </c>
      <c r="J1026">
        <f>IF($F1026="","⚪ NEW",IF($G1026&gt;=5,"✅ DONE",IF($I1026&lt;TODAY(),"🔴 OVERDUE",IF($I1026=TODAY(),"🟢 TODAY",IF($I1026=TODAY()+1,"🔵 TOMORROW",IF($I1026&lt;=TODAY()+7,"📅 THIS WEEK","⏳ SCHEDULED"))))))</f>
        <v/>
      </c>
      <c r="K1026" s="20">
        <f>IF($F1026="",999,IF($G1026&gt;=5,9999,IF($I1026="",999,$I1026-TODAY())))</f>
        <v/>
      </c>
    </row>
    <row r="1027">
      <c r="A1027" s="30">
        <f>ROW()-2</f>
        <v/>
      </c>
      <c r="B1027" s="31" t="inlineStr">
        <is>
          <t>S8</t>
        </is>
      </c>
      <c r="C1027" s="31" t="inlineStr">
        <is>
          <t>Anatomie pathologique II</t>
        </is>
      </c>
      <c r="D1027" s="31" t="inlineStr"/>
      <c r="E1027" s="31" t="inlineStr">
        <is>
          <t>Cancer de la prostate</t>
        </is>
      </c>
      <c r="F1027" s="18" t="n"/>
      <c r="G1027" s="19" t="n"/>
      <c r="H1027" s="20">
        <f>IF($G1027="",1,IF($G1027=0,1,IF($G1027=1,3,IF($G1027=2,7,IF($G1027=3,14,IF($G1027=4,30,60))))))</f>
        <v/>
      </c>
      <c r="I1027" s="21">
        <f>IF($F1027="","",$F1027+$H1027)</f>
        <v/>
      </c>
      <c r="J1027">
        <f>IF($F1027="","⚪ NEW",IF($G1027&gt;=5,"✅ DONE",IF($I1027&lt;TODAY(),"🔴 OVERDUE",IF($I1027=TODAY(),"🟢 TODAY",IF($I1027=TODAY()+1,"🔵 TOMORROW",IF($I1027&lt;=TODAY()+7,"📅 THIS WEEK","⏳ SCHEDULED"))))))</f>
        <v/>
      </c>
      <c r="K1027" s="20">
        <f>IF($F1027="",999,IF($G1027&gt;=5,9999,IF($I1027="",999,$I1027-TODAY())))</f>
        <v/>
      </c>
    </row>
    <row r="1028">
      <c r="A1028" s="30">
        <f>ROW()-2</f>
        <v/>
      </c>
      <c r="B1028" s="31" t="inlineStr">
        <is>
          <t>S8</t>
        </is>
      </c>
      <c r="C1028" s="31" t="inlineStr">
        <is>
          <t>Anatomie pathologique II</t>
        </is>
      </c>
      <c r="D1028" s="31" t="inlineStr"/>
      <c r="E1028" s="31" t="inlineStr">
        <is>
          <t>Cancer du testicule</t>
        </is>
      </c>
      <c r="F1028" s="18" t="n"/>
      <c r="G1028" s="19" t="n"/>
      <c r="H1028" s="20">
        <f>IF($G1028="",1,IF($G1028=0,1,IF($G1028=1,3,IF($G1028=2,7,IF($G1028=3,14,IF($G1028=4,30,60))))))</f>
        <v/>
      </c>
      <c r="I1028" s="21">
        <f>IF($F1028="","",$F1028+$H1028)</f>
        <v/>
      </c>
      <c r="J1028">
        <f>IF($F1028="","⚪ NEW",IF($G1028&gt;=5,"✅ DONE",IF($I1028&lt;TODAY(),"🔴 OVERDUE",IF($I1028=TODAY(),"🟢 TODAY",IF($I1028=TODAY()+1,"🔵 TOMORROW",IF($I1028&lt;=TODAY()+7,"📅 THIS WEEK","⏳ SCHEDULED"))))))</f>
        <v/>
      </c>
      <c r="K1028" s="20">
        <f>IF($F1028="",999,IF($G1028&gt;=5,9999,IF($I1028="",999,$I1028-TODAY())))</f>
        <v/>
      </c>
    </row>
    <row r="1029">
      <c r="A1029" s="30">
        <f>ROW()-2</f>
        <v/>
      </c>
      <c r="B1029" s="31" t="inlineStr">
        <is>
          <t>S8</t>
        </is>
      </c>
      <c r="C1029" s="31" t="inlineStr">
        <is>
          <t>Anatomie pathologique II</t>
        </is>
      </c>
      <c r="D1029" s="31" t="inlineStr"/>
      <c r="E1029" s="31" t="inlineStr">
        <is>
          <t>Tumeurs du rein</t>
        </is>
      </c>
      <c r="F1029" s="18" t="n"/>
      <c r="G1029" s="19" t="n"/>
      <c r="H1029" s="20">
        <f>IF($G1029="",1,IF($G1029=0,1,IF($G1029=1,3,IF($G1029=2,7,IF($G1029=3,14,IF($G1029=4,30,60))))))</f>
        <v/>
      </c>
      <c r="I1029" s="21">
        <f>IF($F1029="","",$F1029+$H1029)</f>
        <v/>
      </c>
      <c r="J1029">
        <f>IF($F1029="","⚪ NEW",IF($G1029&gt;=5,"✅ DONE",IF($I1029&lt;TODAY(),"🔴 OVERDUE",IF($I1029=TODAY(),"🟢 TODAY",IF($I1029=TODAY()+1,"🔵 TOMORROW",IF($I1029&lt;=TODAY()+7,"📅 THIS WEEK","⏳ SCHEDULED"))))))</f>
        <v/>
      </c>
      <c r="K1029" s="20">
        <f>IF($F1029="",999,IF($G1029&gt;=5,9999,IF($I1029="",999,$I1029-TODAY())))</f>
        <v/>
      </c>
    </row>
    <row r="1030">
      <c r="A1030" s="30">
        <f>ROW()-2</f>
        <v/>
      </c>
      <c r="B1030" s="31" t="inlineStr">
        <is>
          <t>S8</t>
        </is>
      </c>
      <c r="C1030" s="31" t="inlineStr">
        <is>
          <t>Anatomie pathologique II</t>
        </is>
      </c>
      <c r="D1030" s="31" t="inlineStr"/>
      <c r="E1030" s="31" t="inlineStr">
        <is>
          <t>Lymphome de Hodgkin</t>
        </is>
      </c>
      <c r="F1030" s="18" t="n"/>
      <c r="G1030" s="19" t="n"/>
      <c r="H1030" s="20">
        <f>IF($G1030="",1,IF($G1030=0,1,IF($G1030=1,3,IF($G1030=2,7,IF($G1030=3,14,IF($G1030=4,30,60))))))</f>
        <v/>
      </c>
      <c r="I1030" s="21">
        <f>IF($F1030="","",$F1030+$H1030)</f>
        <v/>
      </c>
      <c r="J1030">
        <f>IF($F1030="","⚪ NEW",IF($G1030&gt;=5,"✅ DONE",IF($I1030&lt;TODAY(),"🔴 OVERDUE",IF($I1030=TODAY(),"🟢 TODAY",IF($I1030=TODAY()+1,"🔵 TOMORROW",IF($I1030&lt;=TODAY()+7,"📅 THIS WEEK","⏳ SCHEDULED"))))))</f>
        <v/>
      </c>
      <c r="K1030" s="20">
        <f>IF($F1030="",999,IF($G1030&gt;=5,9999,IF($I1030="",999,$I1030-TODAY())))</f>
        <v/>
      </c>
    </row>
    <row r="1031">
      <c r="A1031" s="32">
        <f>ROW()-2</f>
        <v/>
      </c>
      <c r="B1031" s="33" t="inlineStr">
        <is>
          <t>S9</t>
        </is>
      </c>
      <c r="C1031" s="33" t="inlineStr">
        <is>
          <t>Gynécologie - Obstétrique</t>
        </is>
      </c>
      <c r="D1031" s="33" t="inlineStr">
        <is>
          <t>Gynécologie</t>
        </is>
      </c>
      <c r="E1031" s="33" t="inlineStr">
        <is>
          <t>Cycle menstruel</t>
        </is>
      </c>
      <c r="F1031" s="18" t="n"/>
      <c r="G1031" s="19" t="n"/>
      <c r="H1031" s="20">
        <f>IF($G1031="",1,IF($G1031=0,1,IF($G1031=1,3,IF($G1031=2,7,IF($G1031=3,14,IF($G1031=4,30,60))))))</f>
        <v/>
      </c>
      <c r="I1031" s="21">
        <f>IF($F1031="","",$F1031+$H1031)</f>
        <v/>
      </c>
      <c r="J1031">
        <f>IF($F1031="","⚪ NEW",IF($G1031&gt;=5,"✅ DONE",IF($I1031&lt;TODAY(),"🔴 OVERDUE",IF($I1031=TODAY(),"🟢 TODAY",IF($I1031=TODAY()+1,"🔵 TOMORROW",IF($I1031&lt;=TODAY()+7,"📅 THIS WEEK","⏳ SCHEDULED"))))))</f>
        <v/>
      </c>
      <c r="K1031" s="20">
        <f>IF($F1031="",999,IF($G1031&gt;=5,9999,IF($I1031="",999,$I1031-TODAY())))</f>
        <v/>
      </c>
    </row>
    <row r="1032">
      <c r="A1032" s="32">
        <f>ROW()-2</f>
        <v/>
      </c>
      <c r="B1032" s="33" t="inlineStr">
        <is>
          <t>S9</t>
        </is>
      </c>
      <c r="C1032" s="33" t="inlineStr">
        <is>
          <t>Gynécologie - Obstétrique</t>
        </is>
      </c>
      <c r="D1032" s="33" t="inlineStr">
        <is>
          <t>Gynécologie</t>
        </is>
      </c>
      <c r="E1032" s="33" t="inlineStr">
        <is>
          <t>Puberté</t>
        </is>
      </c>
      <c r="F1032" s="18" t="n"/>
      <c r="G1032" s="19" t="n"/>
      <c r="H1032" s="20">
        <f>IF($G1032="",1,IF($G1032=0,1,IF($G1032=1,3,IF($G1032=2,7,IF($G1032=3,14,IF($G1032=4,30,60))))))</f>
        <v/>
      </c>
      <c r="I1032" s="21">
        <f>IF($F1032="","",$F1032+$H1032)</f>
        <v/>
      </c>
      <c r="J1032">
        <f>IF($F1032="","⚪ NEW",IF($G1032&gt;=5,"✅ DONE",IF($I1032&lt;TODAY(),"🔴 OVERDUE",IF($I1032=TODAY(),"🟢 TODAY",IF($I1032=TODAY()+1,"🔵 TOMORROW",IF($I1032&lt;=TODAY()+7,"📅 THIS WEEK","⏳ SCHEDULED"))))))</f>
        <v/>
      </c>
      <c r="K1032" s="20">
        <f>IF($F1032="",999,IF($G1032&gt;=5,9999,IF($I1032="",999,$I1032-TODAY())))</f>
        <v/>
      </c>
    </row>
    <row r="1033">
      <c r="A1033" s="32">
        <f>ROW()-2</f>
        <v/>
      </c>
      <c r="B1033" s="33" t="inlineStr">
        <is>
          <t>S9</t>
        </is>
      </c>
      <c r="C1033" s="33" t="inlineStr">
        <is>
          <t>Gynécologie - Obstétrique</t>
        </is>
      </c>
      <c r="D1033" s="33" t="inlineStr">
        <is>
          <t>Gynécologie</t>
        </is>
      </c>
      <c r="E1033" s="33" t="inlineStr">
        <is>
          <t>Aménorrhée</t>
        </is>
      </c>
      <c r="F1033" s="18" t="n"/>
      <c r="G1033" s="19" t="n"/>
      <c r="H1033" s="20">
        <f>IF($G1033="",1,IF($G1033=0,1,IF($G1033=1,3,IF($G1033=2,7,IF($G1033=3,14,IF($G1033=4,30,60))))))</f>
        <v/>
      </c>
      <c r="I1033" s="21">
        <f>IF($F1033="","",$F1033+$H1033)</f>
        <v/>
      </c>
      <c r="J1033">
        <f>IF($F1033="","⚪ NEW",IF($G1033&gt;=5,"✅ DONE",IF($I1033&lt;TODAY(),"🔴 OVERDUE",IF($I1033=TODAY(),"🟢 TODAY",IF($I1033=TODAY()+1,"🔵 TOMORROW",IF($I1033&lt;=TODAY()+7,"📅 THIS WEEK","⏳ SCHEDULED"))))))</f>
        <v/>
      </c>
      <c r="K1033" s="20">
        <f>IF($F1033="",999,IF($G1033&gt;=5,9999,IF($I1033="",999,$I1033-TODAY())))</f>
        <v/>
      </c>
    </row>
    <row r="1034">
      <c r="A1034" s="32">
        <f>ROW()-2</f>
        <v/>
      </c>
      <c r="B1034" s="33" t="inlineStr">
        <is>
          <t>S9</t>
        </is>
      </c>
      <c r="C1034" s="33" t="inlineStr">
        <is>
          <t>Gynécologie - Obstétrique</t>
        </is>
      </c>
      <c r="D1034" s="33" t="inlineStr">
        <is>
          <t>Gynécologie</t>
        </is>
      </c>
      <c r="E1034" s="33" t="inlineStr">
        <is>
          <t>Contraception</t>
        </is>
      </c>
      <c r="F1034" s="18" t="n"/>
      <c r="G1034" s="19" t="n"/>
      <c r="H1034" s="20">
        <f>IF($G1034="",1,IF($G1034=0,1,IF($G1034=1,3,IF($G1034=2,7,IF($G1034=3,14,IF($G1034=4,30,60))))))</f>
        <v/>
      </c>
      <c r="I1034" s="21">
        <f>IF($F1034="","",$F1034+$H1034)</f>
        <v/>
      </c>
      <c r="J1034">
        <f>IF($F1034="","⚪ NEW",IF($G1034&gt;=5,"✅ DONE",IF($I1034&lt;TODAY(),"🔴 OVERDUE",IF($I1034=TODAY(),"🟢 TODAY",IF($I1034=TODAY()+1,"🔵 TOMORROW",IF($I1034&lt;=TODAY()+7,"📅 THIS WEEK","⏳ SCHEDULED"))))))</f>
        <v/>
      </c>
      <c r="K1034" s="20">
        <f>IF($F1034="",999,IF($G1034&gt;=5,9999,IF($I1034="",999,$I1034-TODAY())))</f>
        <v/>
      </c>
    </row>
    <row r="1035">
      <c r="A1035" s="32">
        <f>ROW()-2</f>
        <v/>
      </c>
      <c r="B1035" s="33" t="inlineStr">
        <is>
          <t>S9</t>
        </is>
      </c>
      <c r="C1035" s="33" t="inlineStr">
        <is>
          <t>Gynécologie - Obstétrique</t>
        </is>
      </c>
      <c r="D1035" s="33" t="inlineStr">
        <is>
          <t>Gynécologie</t>
        </is>
      </c>
      <c r="E1035" s="33" t="inlineStr">
        <is>
          <t>Ménopause</t>
        </is>
      </c>
      <c r="F1035" s="18" t="n"/>
      <c r="G1035" s="19" t="n"/>
      <c r="H1035" s="20">
        <f>IF($G1035="",1,IF($G1035=0,1,IF($G1035=1,3,IF($G1035=2,7,IF($G1035=3,14,IF($G1035=4,30,60))))))</f>
        <v/>
      </c>
      <c r="I1035" s="21">
        <f>IF($F1035="","",$F1035+$H1035)</f>
        <v/>
      </c>
      <c r="J1035">
        <f>IF($F1035="","⚪ NEW",IF($G1035&gt;=5,"✅ DONE",IF($I1035&lt;TODAY(),"🔴 OVERDUE",IF($I1035=TODAY(),"🟢 TODAY",IF($I1035=TODAY()+1,"🔵 TOMORROW",IF($I1035&lt;=TODAY()+7,"📅 THIS WEEK","⏳ SCHEDULED"))))))</f>
        <v/>
      </c>
      <c r="K1035" s="20">
        <f>IF($F1035="",999,IF($G1035&gt;=5,9999,IF($I1035="",999,$I1035-TODAY())))</f>
        <v/>
      </c>
    </row>
    <row r="1036">
      <c r="A1036" s="32">
        <f>ROW()-2</f>
        <v/>
      </c>
      <c r="B1036" s="33" t="inlineStr">
        <is>
          <t>S9</t>
        </is>
      </c>
      <c r="C1036" s="33" t="inlineStr">
        <is>
          <t>Gynécologie - Obstétrique</t>
        </is>
      </c>
      <c r="D1036" s="33" t="inlineStr">
        <is>
          <t>Gynécologie</t>
        </is>
      </c>
      <c r="E1036" s="33" t="inlineStr">
        <is>
          <t>Maladies inflammatoires du pelvis</t>
        </is>
      </c>
      <c r="F1036" s="18" t="n"/>
      <c r="G1036" s="19" t="n"/>
      <c r="H1036" s="20">
        <f>IF($G1036="",1,IF($G1036=0,1,IF($G1036=1,3,IF($G1036=2,7,IF($G1036=3,14,IF($G1036=4,30,60))))))</f>
        <v/>
      </c>
      <c r="I1036" s="21">
        <f>IF($F1036="","",$F1036+$H1036)</f>
        <v/>
      </c>
      <c r="J1036">
        <f>IF($F1036="","⚪ NEW",IF($G1036&gt;=5,"✅ DONE",IF($I1036&lt;TODAY(),"🔴 OVERDUE",IF($I1036=TODAY(),"🟢 TODAY",IF($I1036=TODAY()+1,"🔵 TOMORROW",IF($I1036&lt;=TODAY()+7,"📅 THIS WEEK","⏳ SCHEDULED"))))))</f>
        <v/>
      </c>
      <c r="K1036" s="20">
        <f>IF($F1036="",999,IF($G1036&gt;=5,9999,IF($I1036="",999,$I1036-TODAY())))</f>
        <v/>
      </c>
    </row>
    <row r="1037">
      <c r="A1037" s="32">
        <f>ROW()-2</f>
        <v/>
      </c>
      <c r="B1037" s="33" t="inlineStr">
        <is>
          <t>S9</t>
        </is>
      </c>
      <c r="C1037" s="33" t="inlineStr">
        <is>
          <t>Gynécologie - Obstétrique</t>
        </is>
      </c>
      <c r="D1037" s="33" t="inlineStr">
        <is>
          <t>Gynécologie</t>
        </is>
      </c>
      <c r="E1037" s="33" t="inlineStr">
        <is>
          <t>Infections urinaires</t>
        </is>
      </c>
      <c r="F1037" s="18" t="n"/>
      <c r="G1037" s="19" t="n"/>
      <c r="H1037" s="20">
        <f>IF($G1037="",1,IF($G1037=0,1,IF($G1037=1,3,IF($G1037=2,7,IF($G1037=3,14,IF($G1037=4,30,60))))))</f>
        <v/>
      </c>
      <c r="I1037" s="21">
        <f>IF($F1037="","",$F1037+$H1037)</f>
        <v/>
      </c>
      <c r="J1037">
        <f>IF($F1037="","⚪ NEW",IF($G1037&gt;=5,"✅ DONE",IF($I1037&lt;TODAY(),"🔴 OVERDUE",IF($I1037=TODAY(),"🟢 TODAY",IF($I1037=TODAY()+1,"🔵 TOMORROW",IF($I1037&lt;=TODAY()+7,"📅 THIS WEEK","⏳ SCHEDULED"))))))</f>
        <v/>
      </c>
      <c r="K1037" s="20">
        <f>IF($F1037="",999,IF($G1037&gt;=5,9999,IF($I1037="",999,$I1037-TODAY())))</f>
        <v/>
      </c>
    </row>
    <row r="1038">
      <c r="A1038" s="32">
        <f>ROW()-2</f>
        <v/>
      </c>
      <c r="B1038" s="33" t="inlineStr">
        <is>
          <t>S9</t>
        </is>
      </c>
      <c r="C1038" s="33" t="inlineStr">
        <is>
          <t>Gynécologie - Obstétrique</t>
        </is>
      </c>
      <c r="D1038" s="33" t="inlineStr">
        <is>
          <t>Gynécologie</t>
        </is>
      </c>
      <c r="E1038" s="33" t="inlineStr">
        <is>
          <t>Tumeurs du sein</t>
        </is>
      </c>
      <c r="F1038" s="18" t="n"/>
      <c r="G1038" s="19" t="n"/>
      <c r="H1038" s="20">
        <f>IF($G1038="",1,IF($G1038=0,1,IF($G1038=1,3,IF($G1038=2,7,IF($G1038=3,14,IF($G1038=4,30,60))))))</f>
        <v/>
      </c>
      <c r="I1038" s="21">
        <f>IF($F1038="","",$F1038+$H1038)</f>
        <v/>
      </c>
      <c r="J1038">
        <f>IF($F1038="","⚪ NEW",IF($G1038&gt;=5,"✅ DONE",IF($I1038&lt;TODAY(),"🔴 OVERDUE",IF($I1038=TODAY(),"🟢 TODAY",IF($I1038=TODAY()+1,"🔵 TOMORROW",IF($I1038&lt;=TODAY()+7,"📅 THIS WEEK","⏳ SCHEDULED"))))))</f>
        <v/>
      </c>
      <c r="K1038" s="20">
        <f>IF($F1038="",999,IF($G1038&gt;=5,9999,IF($I1038="",999,$I1038-TODAY())))</f>
        <v/>
      </c>
    </row>
    <row r="1039">
      <c r="A1039" s="32">
        <f>ROW()-2</f>
        <v/>
      </c>
      <c r="B1039" s="33" t="inlineStr">
        <is>
          <t>S9</t>
        </is>
      </c>
      <c r="C1039" s="33" t="inlineStr">
        <is>
          <t>Gynécologie - Obstétrique</t>
        </is>
      </c>
      <c r="D1039" s="33" t="inlineStr">
        <is>
          <t>Gynécologie</t>
        </is>
      </c>
      <c r="E1039" s="33" t="inlineStr">
        <is>
          <t>Fibromes utérins</t>
        </is>
      </c>
      <c r="F1039" s="18" t="n"/>
      <c r="G1039" s="19" t="n"/>
      <c r="H1039" s="20">
        <f>IF($G1039="",1,IF($G1039=0,1,IF($G1039=1,3,IF($G1039=2,7,IF($G1039=3,14,IF($G1039=4,30,60))))))</f>
        <v/>
      </c>
      <c r="I1039" s="21">
        <f>IF($F1039="","",$F1039+$H1039)</f>
        <v/>
      </c>
      <c r="J1039">
        <f>IF($F1039="","⚪ NEW",IF($G1039&gt;=5,"✅ DONE",IF($I1039&lt;TODAY(),"🔴 OVERDUE",IF($I1039=TODAY(),"🟢 TODAY",IF($I1039=TODAY()+1,"🔵 TOMORROW",IF($I1039&lt;=TODAY()+7,"📅 THIS WEEK","⏳ SCHEDULED"))))))</f>
        <v/>
      </c>
      <c r="K1039" s="20">
        <f>IF($F1039="",999,IF($G1039&gt;=5,9999,IF($I1039="",999,$I1039-TODAY())))</f>
        <v/>
      </c>
    </row>
    <row r="1040">
      <c r="A1040" s="32">
        <f>ROW()-2</f>
        <v/>
      </c>
      <c r="B1040" s="33" t="inlineStr">
        <is>
          <t>S9</t>
        </is>
      </c>
      <c r="C1040" s="33" t="inlineStr">
        <is>
          <t>Gynécologie - Obstétrique</t>
        </is>
      </c>
      <c r="D1040" s="33" t="inlineStr">
        <is>
          <t>Gynécologie</t>
        </is>
      </c>
      <c r="E1040" s="33" t="inlineStr">
        <is>
          <t>Les endométrioses</t>
        </is>
      </c>
      <c r="F1040" s="18" t="n"/>
      <c r="G1040" s="19" t="n"/>
      <c r="H1040" s="20">
        <f>IF($G1040="",1,IF($G1040=0,1,IF($G1040=1,3,IF($G1040=2,7,IF($G1040=3,14,IF($G1040=4,30,60))))))</f>
        <v/>
      </c>
      <c r="I1040" s="21">
        <f>IF($F1040="","",$F1040+$H1040)</f>
        <v/>
      </c>
      <c r="J1040">
        <f>IF($F1040="","⚪ NEW",IF($G1040&gt;=5,"✅ DONE",IF($I1040&lt;TODAY(),"🔴 OVERDUE",IF($I1040=TODAY(),"🟢 TODAY",IF($I1040=TODAY()+1,"🔵 TOMORROW",IF($I1040&lt;=TODAY()+7,"📅 THIS WEEK","⏳ SCHEDULED"))))))</f>
        <v/>
      </c>
      <c r="K1040" s="20">
        <f>IF($F1040="",999,IF($G1040&gt;=5,9999,IF($I1040="",999,$I1040-TODAY())))</f>
        <v/>
      </c>
    </row>
    <row r="1041">
      <c r="A1041" s="32">
        <f>ROW()-2</f>
        <v/>
      </c>
      <c r="B1041" s="33" t="inlineStr">
        <is>
          <t>S9</t>
        </is>
      </c>
      <c r="C1041" s="33" t="inlineStr">
        <is>
          <t>Gynécologie - Obstétrique</t>
        </is>
      </c>
      <c r="D1041" s="33" t="inlineStr">
        <is>
          <t>Gynécologie</t>
        </is>
      </c>
      <c r="E1041" s="33" t="inlineStr">
        <is>
          <t>Tumeurs de l'ovaire</t>
        </is>
      </c>
      <c r="F1041" s="18" t="n"/>
      <c r="G1041" s="19" t="n"/>
      <c r="H1041" s="20">
        <f>IF($G1041="",1,IF($G1041=0,1,IF($G1041=1,3,IF($G1041=2,7,IF($G1041=3,14,IF($G1041=4,30,60))))))</f>
        <v/>
      </c>
      <c r="I1041" s="21">
        <f>IF($F1041="","",$F1041+$H1041)</f>
        <v/>
      </c>
      <c r="J1041">
        <f>IF($F1041="","⚪ NEW",IF($G1041&gt;=5,"✅ DONE",IF($I1041&lt;TODAY(),"🔴 OVERDUE",IF($I1041=TODAY(),"🟢 TODAY",IF($I1041=TODAY()+1,"🔵 TOMORROW",IF($I1041&lt;=TODAY()+7,"📅 THIS WEEK","⏳ SCHEDULED"))))))</f>
        <v/>
      </c>
      <c r="K1041" s="20">
        <f>IF($F1041="",999,IF($G1041&gt;=5,9999,IF($I1041="",999,$I1041-TODAY())))</f>
        <v/>
      </c>
    </row>
    <row r="1042">
      <c r="A1042" s="32">
        <f>ROW()-2</f>
        <v/>
      </c>
      <c r="B1042" s="33" t="inlineStr">
        <is>
          <t>S9</t>
        </is>
      </c>
      <c r="C1042" s="33" t="inlineStr">
        <is>
          <t>Gynécologie - Obstétrique</t>
        </is>
      </c>
      <c r="D1042" s="33" t="inlineStr">
        <is>
          <t>Gynécologie</t>
        </is>
      </c>
      <c r="E1042" s="33" t="inlineStr">
        <is>
          <t>Cancer de l'endomètre</t>
        </is>
      </c>
      <c r="F1042" s="18" t="n"/>
      <c r="G1042" s="19" t="n"/>
      <c r="H1042" s="20">
        <f>IF($G1042="",1,IF($G1042=0,1,IF($G1042=1,3,IF($G1042=2,7,IF($G1042=3,14,IF($G1042=4,30,60))))))</f>
        <v/>
      </c>
      <c r="I1042" s="21">
        <f>IF($F1042="","",$F1042+$H1042)</f>
        <v/>
      </c>
      <c r="J1042">
        <f>IF($F1042="","⚪ NEW",IF($G1042&gt;=5,"✅ DONE",IF($I1042&lt;TODAY(),"🔴 OVERDUE",IF($I1042=TODAY(),"🟢 TODAY",IF($I1042=TODAY()+1,"🔵 TOMORROW",IF($I1042&lt;=TODAY()+7,"📅 THIS WEEK","⏳ SCHEDULED"))))))</f>
        <v/>
      </c>
      <c r="K1042" s="20">
        <f>IF($F1042="",999,IF($G1042&gt;=5,9999,IF($I1042="",999,$I1042-TODAY())))</f>
        <v/>
      </c>
    </row>
    <row r="1043">
      <c r="A1043" s="32">
        <f>ROW()-2</f>
        <v/>
      </c>
      <c r="B1043" s="33" t="inlineStr">
        <is>
          <t>S9</t>
        </is>
      </c>
      <c r="C1043" s="33" t="inlineStr">
        <is>
          <t>Gynécologie - Obstétrique</t>
        </is>
      </c>
      <c r="D1043" s="33" t="inlineStr">
        <is>
          <t>Gynécologie</t>
        </is>
      </c>
      <c r="E1043" s="33" t="inlineStr">
        <is>
          <t>Cancer du col de l'utérus</t>
        </is>
      </c>
      <c r="F1043" s="18" t="n"/>
      <c r="G1043" s="19" t="n"/>
      <c r="H1043" s="20">
        <f>IF($G1043="",1,IF($G1043=0,1,IF($G1043=1,3,IF($G1043=2,7,IF($G1043=3,14,IF($G1043=4,30,60))))))</f>
        <v/>
      </c>
      <c r="I1043" s="21">
        <f>IF($F1043="","",$F1043+$H1043)</f>
        <v/>
      </c>
      <c r="J1043">
        <f>IF($F1043="","⚪ NEW",IF($G1043&gt;=5,"✅ DONE",IF($I1043&lt;TODAY(),"🔴 OVERDUE",IF($I1043=TODAY(),"🟢 TODAY",IF($I1043=TODAY()+1,"🔵 TOMORROW",IF($I1043&lt;=TODAY()+7,"📅 THIS WEEK","⏳ SCHEDULED"))))))</f>
        <v/>
      </c>
      <c r="K1043" s="20">
        <f>IF($F1043="",999,IF($G1043&gt;=5,9999,IF($I1043="",999,$I1043-TODAY())))</f>
        <v/>
      </c>
    </row>
    <row r="1044">
      <c r="A1044" s="32">
        <f>ROW()-2</f>
        <v/>
      </c>
      <c r="B1044" s="33" t="inlineStr">
        <is>
          <t>S9</t>
        </is>
      </c>
      <c r="C1044" s="33" t="inlineStr">
        <is>
          <t>Gynécologie - Obstétrique</t>
        </is>
      </c>
      <c r="D1044" s="33" t="inlineStr">
        <is>
          <t>Gynécologie</t>
        </is>
      </c>
      <c r="E1044" s="33" t="inlineStr">
        <is>
          <t>Cancer de la vulve</t>
        </is>
      </c>
      <c r="F1044" s="18" t="n"/>
      <c r="G1044" s="19" t="n"/>
      <c r="H1044" s="20">
        <f>IF($G1044="",1,IF($G1044=0,1,IF($G1044=1,3,IF($G1044=2,7,IF($G1044=3,14,IF($G1044=4,30,60))))))</f>
        <v/>
      </c>
      <c r="I1044" s="21">
        <f>IF($F1044="","",$F1044+$H1044)</f>
        <v/>
      </c>
      <c r="J1044">
        <f>IF($F1044="","⚪ NEW",IF($G1044&gt;=5,"✅ DONE",IF($I1044&lt;TODAY(),"🔴 OVERDUE",IF($I1044=TODAY(),"🟢 TODAY",IF($I1044=TODAY()+1,"🔵 TOMORROW",IF($I1044&lt;=TODAY()+7,"📅 THIS WEEK","⏳ SCHEDULED"))))))</f>
        <v/>
      </c>
      <c r="K1044" s="20">
        <f>IF($F1044="",999,IF($G1044&gt;=5,9999,IF($I1044="",999,$I1044-TODAY())))</f>
        <v/>
      </c>
    </row>
    <row r="1045">
      <c r="A1045" s="32">
        <f>ROW()-2</f>
        <v/>
      </c>
      <c r="B1045" s="33" t="inlineStr">
        <is>
          <t>S9</t>
        </is>
      </c>
      <c r="C1045" s="33" t="inlineStr">
        <is>
          <t>Gynécologie - Obstétrique</t>
        </is>
      </c>
      <c r="D1045" s="33" t="inlineStr">
        <is>
          <t>Gynécologie</t>
        </is>
      </c>
      <c r="E1045" s="33" t="inlineStr">
        <is>
          <t>Maladie trophoblastique gestationnelle</t>
        </is>
      </c>
      <c r="F1045" s="18" t="n"/>
      <c r="G1045" s="19" t="n"/>
      <c r="H1045" s="20">
        <f>IF($G1045="",1,IF($G1045=0,1,IF($G1045=1,3,IF($G1045=2,7,IF($G1045=3,14,IF($G1045=4,30,60))))))</f>
        <v/>
      </c>
      <c r="I1045" s="21">
        <f>IF($F1045="","",$F1045+$H1045)</f>
        <v/>
      </c>
      <c r="J1045">
        <f>IF($F1045="","⚪ NEW",IF($G1045&gt;=5,"✅ DONE",IF($I1045&lt;TODAY(),"🔴 OVERDUE",IF($I1045=TODAY(),"🟢 TODAY",IF($I1045=TODAY()+1,"🔵 TOMORROW",IF($I1045&lt;=TODAY()+7,"📅 THIS WEEK","⏳ SCHEDULED"))))))</f>
        <v/>
      </c>
      <c r="K1045" s="20">
        <f>IF($F1045="",999,IF($G1045&gt;=5,9999,IF($I1045="",999,$I1045-TODAY())))</f>
        <v/>
      </c>
    </row>
    <row r="1046">
      <c r="A1046" s="32">
        <f>ROW()-2</f>
        <v/>
      </c>
      <c r="B1046" s="33" t="inlineStr">
        <is>
          <t>S9</t>
        </is>
      </c>
      <c r="C1046" s="33" t="inlineStr">
        <is>
          <t>Gynécologie - Obstétrique</t>
        </is>
      </c>
      <c r="D1046" s="33" t="inlineStr">
        <is>
          <t>Gynécologie</t>
        </is>
      </c>
      <c r="E1046" s="33" t="inlineStr">
        <is>
          <t>Grossesse extra-utérine (GEU)</t>
        </is>
      </c>
      <c r="F1046" s="18" t="n"/>
      <c r="G1046" s="19" t="n"/>
      <c r="H1046" s="20">
        <f>IF($G1046="",1,IF($G1046=0,1,IF($G1046=1,3,IF($G1046=2,7,IF($G1046=3,14,IF($G1046=4,30,60))))))</f>
        <v/>
      </c>
      <c r="I1046" s="21">
        <f>IF($F1046="","",$F1046+$H1046)</f>
        <v/>
      </c>
      <c r="J1046">
        <f>IF($F1046="","⚪ NEW",IF($G1046&gt;=5,"✅ DONE",IF($I1046&lt;TODAY(),"🔴 OVERDUE",IF($I1046=TODAY(),"🟢 TODAY",IF($I1046=TODAY()+1,"🔵 TOMORROW",IF($I1046&lt;=TODAY()+7,"📅 THIS WEEK","⏳ SCHEDULED"))))))</f>
        <v/>
      </c>
      <c r="K1046" s="20">
        <f>IF($F1046="",999,IF($G1046&gt;=5,9999,IF($I1046="",999,$I1046-TODAY())))</f>
        <v/>
      </c>
    </row>
    <row r="1047">
      <c r="A1047" s="32">
        <f>ROW()-2</f>
        <v/>
      </c>
      <c r="B1047" s="33" t="inlineStr">
        <is>
          <t>S9</t>
        </is>
      </c>
      <c r="C1047" s="33" t="inlineStr">
        <is>
          <t>Gynécologie - Obstétrique</t>
        </is>
      </c>
      <c r="D1047" s="33" t="inlineStr">
        <is>
          <t>Gynécologie</t>
        </is>
      </c>
      <c r="E1047" s="33" t="inlineStr">
        <is>
          <t>Prolapsus génitaux</t>
        </is>
      </c>
      <c r="F1047" s="18" t="n"/>
      <c r="G1047" s="19" t="n"/>
      <c r="H1047" s="20">
        <f>IF($G1047="",1,IF($G1047=0,1,IF($G1047=1,3,IF($G1047=2,7,IF($G1047=3,14,IF($G1047=4,30,60))))))</f>
        <v/>
      </c>
      <c r="I1047" s="21">
        <f>IF($F1047="","",$F1047+$H1047)</f>
        <v/>
      </c>
      <c r="J1047">
        <f>IF($F1047="","⚪ NEW",IF($G1047&gt;=5,"✅ DONE",IF($I1047&lt;TODAY(),"🔴 OVERDUE",IF($I1047=TODAY(),"🟢 TODAY",IF($I1047=TODAY()+1,"🔵 TOMORROW",IF($I1047&lt;=TODAY()+7,"📅 THIS WEEK","⏳ SCHEDULED"))))))</f>
        <v/>
      </c>
      <c r="K1047" s="20">
        <f>IF($F1047="",999,IF($G1047&gt;=5,9999,IF($I1047="",999,$I1047-TODAY())))</f>
        <v/>
      </c>
    </row>
    <row r="1048">
      <c r="A1048" s="32">
        <f>ROW()-2</f>
        <v/>
      </c>
      <c r="B1048" s="33" t="inlineStr">
        <is>
          <t>S9</t>
        </is>
      </c>
      <c r="C1048" s="33" t="inlineStr">
        <is>
          <t>Gynécologie - Obstétrique</t>
        </is>
      </c>
      <c r="D1048" s="33" t="inlineStr">
        <is>
          <t>Gynécologie</t>
        </is>
      </c>
      <c r="E1048" s="33" t="inlineStr">
        <is>
          <t>Tuberculose génitale</t>
        </is>
      </c>
      <c r="F1048" s="18" t="n"/>
      <c r="G1048" s="19" t="n"/>
      <c r="H1048" s="20">
        <f>IF($G1048="",1,IF($G1048=0,1,IF($G1048=1,3,IF($G1048=2,7,IF($G1048=3,14,IF($G1048=4,30,60))))))</f>
        <v/>
      </c>
      <c r="I1048" s="21">
        <f>IF($F1048="","",$F1048+$H1048)</f>
        <v/>
      </c>
      <c r="J1048">
        <f>IF($F1048="","⚪ NEW",IF($G1048&gt;=5,"✅ DONE",IF($I1048&lt;TODAY(),"🔴 OVERDUE",IF($I1048=TODAY(),"🟢 TODAY",IF($I1048=TODAY()+1,"🔵 TOMORROW",IF($I1048&lt;=TODAY()+7,"📅 THIS WEEK","⏳ SCHEDULED"))))))</f>
        <v/>
      </c>
      <c r="K1048" s="20">
        <f>IF($F1048="",999,IF($G1048&gt;=5,9999,IF($I1048="",999,$I1048-TODAY())))</f>
        <v/>
      </c>
    </row>
    <row r="1049">
      <c r="A1049" s="32">
        <f>ROW()-2</f>
        <v/>
      </c>
      <c r="B1049" s="33" t="inlineStr">
        <is>
          <t>S9</t>
        </is>
      </c>
      <c r="C1049" s="33" t="inlineStr">
        <is>
          <t>Gynécologie - Obstétrique</t>
        </is>
      </c>
      <c r="D1049" s="33" t="inlineStr">
        <is>
          <t>Obstétrique</t>
        </is>
      </c>
      <c r="E1049" s="33" t="inlineStr">
        <is>
          <t>Suivi de la grossesse et consultations prénatales</t>
        </is>
      </c>
      <c r="F1049" s="18" t="n"/>
      <c r="G1049" s="19" t="n"/>
      <c r="H1049" s="20">
        <f>IF($G1049="",1,IF($G1049=0,1,IF($G1049=1,3,IF($G1049=2,7,IF($G1049=3,14,IF($G1049=4,30,60))))))</f>
        <v/>
      </c>
      <c r="I1049" s="21">
        <f>IF($F1049="","",$F1049+$H1049)</f>
        <v/>
      </c>
      <c r="J1049">
        <f>IF($F1049="","⚪ NEW",IF($G1049&gt;=5,"✅ DONE",IF($I1049&lt;TODAY(),"🔴 OVERDUE",IF($I1049=TODAY(),"🟢 TODAY",IF($I1049=TODAY()+1,"🔵 TOMORROW",IF($I1049&lt;=TODAY()+7,"📅 THIS WEEK","⏳ SCHEDULED"))))))</f>
        <v/>
      </c>
      <c r="K1049" s="20">
        <f>IF($F1049="",999,IF($G1049&gt;=5,9999,IF($I1049="",999,$I1049-TODAY())))</f>
        <v/>
      </c>
    </row>
    <row r="1050">
      <c r="A1050" s="32">
        <f>ROW()-2</f>
        <v/>
      </c>
      <c r="B1050" s="33" t="inlineStr">
        <is>
          <t>S9</t>
        </is>
      </c>
      <c r="C1050" s="33" t="inlineStr">
        <is>
          <t>Gynécologie - Obstétrique</t>
        </is>
      </c>
      <c r="D1050" s="33" t="inlineStr">
        <is>
          <t>Obstétrique</t>
        </is>
      </c>
      <c r="E1050" s="33" t="inlineStr">
        <is>
          <t>Grossesse normale</t>
        </is>
      </c>
      <c r="F1050" s="18" t="n"/>
      <c r="G1050" s="19" t="n"/>
      <c r="H1050" s="20">
        <f>IF($G1050="",1,IF($G1050=0,1,IF($G1050=1,3,IF($G1050=2,7,IF($G1050=3,14,IF($G1050=4,30,60))))))</f>
        <v/>
      </c>
      <c r="I1050" s="21">
        <f>IF($F1050="","",$F1050+$H1050)</f>
        <v/>
      </c>
      <c r="J1050">
        <f>IF($F1050="","⚪ NEW",IF($G1050&gt;=5,"✅ DONE",IF($I1050&lt;TODAY(),"🔴 OVERDUE",IF($I1050=TODAY(),"🟢 TODAY",IF($I1050=TODAY()+1,"🔵 TOMORROW",IF($I1050&lt;=TODAY()+7,"📅 THIS WEEK","⏳ SCHEDULED"))))))</f>
        <v/>
      </c>
      <c r="K1050" s="20">
        <f>IF($F1050="",999,IF($G1050&gt;=5,9999,IF($I1050="",999,$I1050-TODAY())))</f>
        <v/>
      </c>
    </row>
    <row r="1051">
      <c r="A1051" s="32">
        <f>ROW()-2</f>
        <v/>
      </c>
      <c r="B1051" s="33" t="inlineStr">
        <is>
          <t>S9</t>
        </is>
      </c>
      <c r="C1051" s="33" t="inlineStr">
        <is>
          <t>Gynécologie - Obstétrique</t>
        </is>
      </c>
      <c r="D1051" s="33" t="inlineStr">
        <is>
          <t>Obstétrique</t>
        </is>
      </c>
      <c r="E1051" s="33" t="inlineStr">
        <is>
          <t>Travail normal</t>
        </is>
      </c>
      <c r="F1051" s="18" t="n"/>
      <c r="G1051" s="19" t="n"/>
      <c r="H1051" s="20">
        <f>IF($G1051="",1,IF($G1051=0,1,IF($G1051=1,3,IF($G1051=2,7,IF($G1051=3,14,IF($G1051=4,30,60))))))</f>
        <v/>
      </c>
      <c r="I1051" s="21">
        <f>IF($F1051="","",$F1051+$H1051)</f>
        <v/>
      </c>
      <c r="J1051">
        <f>IF($F1051="","⚪ NEW",IF($G1051&gt;=5,"✅ DONE",IF($I1051&lt;TODAY(),"🔴 OVERDUE",IF($I1051=TODAY(),"🟢 TODAY",IF($I1051=TODAY()+1,"🔵 TOMORROW",IF($I1051&lt;=TODAY()+7,"📅 THIS WEEK","⏳ SCHEDULED"))))))</f>
        <v/>
      </c>
      <c r="K1051" s="20">
        <f>IF($F1051="",999,IF($G1051&gt;=5,9999,IF($I1051="",999,$I1051-TODAY())))</f>
        <v/>
      </c>
    </row>
    <row r="1052">
      <c r="A1052" s="32">
        <f>ROW()-2</f>
        <v/>
      </c>
      <c r="B1052" s="33" t="inlineStr">
        <is>
          <t>S9</t>
        </is>
      </c>
      <c r="C1052" s="33" t="inlineStr">
        <is>
          <t>Gynécologie - Obstétrique</t>
        </is>
      </c>
      <c r="D1052" s="33" t="inlineStr">
        <is>
          <t>Obstétrique</t>
        </is>
      </c>
      <c r="E1052" s="33" t="inlineStr">
        <is>
          <t>Les éléments mécaniques de l'accouchement</t>
        </is>
      </c>
      <c r="F1052" s="18" t="n"/>
      <c r="G1052" s="19" t="n"/>
      <c r="H1052" s="20">
        <f>IF($G1052="",1,IF($G1052=0,1,IF($G1052=1,3,IF($G1052=2,7,IF($G1052=3,14,IF($G1052=4,30,60))))))</f>
        <v/>
      </c>
      <c r="I1052" s="21">
        <f>IF($F1052="","",$F1052+$H1052)</f>
        <v/>
      </c>
      <c r="J1052">
        <f>IF($F1052="","⚪ NEW",IF($G1052&gt;=5,"✅ DONE",IF($I1052&lt;TODAY(),"🔴 OVERDUE",IF($I1052=TODAY(),"🟢 TODAY",IF($I1052=TODAY()+1,"🔵 TOMORROW",IF($I1052&lt;=TODAY()+7,"📅 THIS WEEK","⏳ SCHEDULED"))))))</f>
        <v/>
      </c>
      <c r="K1052" s="20">
        <f>IF($F1052="",999,IF($G1052&gt;=5,9999,IF($I1052="",999,$I1052-TODAY())))</f>
        <v/>
      </c>
    </row>
    <row r="1053">
      <c r="A1053" s="32">
        <f>ROW()-2</f>
        <v/>
      </c>
      <c r="B1053" s="33" t="inlineStr">
        <is>
          <t>S9</t>
        </is>
      </c>
      <c r="C1053" s="33" t="inlineStr">
        <is>
          <t>Gynécologie - Obstétrique</t>
        </is>
      </c>
      <c r="D1053" s="33" t="inlineStr">
        <is>
          <t>Obstétrique</t>
        </is>
      </c>
      <c r="E1053" s="33" t="inlineStr">
        <is>
          <t>Délivrance normale et pathologique</t>
        </is>
      </c>
      <c r="F1053" s="18" t="n"/>
      <c r="G1053" s="19" t="n"/>
      <c r="H1053" s="20">
        <f>IF($G1053="",1,IF($G1053=0,1,IF($G1053=1,3,IF($G1053=2,7,IF($G1053=3,14,IF($G1053=4,30,60))))))</f>
        <v/>
      </c>
      <c r="I1053" s="21">
        <f>IF($F1053="","",$F1053+$H1053)</f>
        <v/>
      </c>
      <c r="J1053">
        <f>IF($F1053="","⚪ NEW",IF($G1053&gt;=5,"✅ DONE",IF($I1053&lt;TODAY(),"🔴 OVERDUE",IF($I1053=TODAY(),"🟢 TODAY",IF($I1053=TODAY()+1,"🔵 TOMORROW",IF($I1053&lt;=TODAY()+7,"📅 THIS WEEK","⏳ SCHEDULED"))))))</f>
        <v/>
      </c>
      <c r="K1053" s="20">
        <f>IF($F1053="",999,IF($G1053&gt;=5,9999,IF($I1053="",999,$I1053-TODAY())))</f>
        <v/>
      </c>
    </row>
    <row r="1054">
      <c r="A1054" s="32">
        <f>ROW()-2</f>
        <v/>
      </c>
      <c r="B1054" s="33" t="inlineStr">
        <is>
          <t>S9</t>
        </is>
      </c>
      <c r="C1054" s="33" t="inlineStr">
        <is>
          <t>Gynécologie - Obstétrique</t>
        </is>
      </c>
      <c r="D1054" s="33" t="inlineStr">
        <is>
          <t>Obstétrique</t>
        </is>
      </c>
      <c r="E1054" s="33" t="inlineStr">
        <is>
          <t>Les avortements spontanés</t>
        </is>
      </c>
      <c r="F1054" s="18" t="n"/>
      <c r="G1054" s="19" t="n"/>
      <c r="H1054" s="20">
        <f>IF($G1054="",1,IF($G1054=0,1,IF($G1054=1,3,IF($G1054=2,7,IF($G1054=3,14,IF($G1054=4,30,60))))))</f>
        <v/>
      </c>
      <c r="I1054" s="21">
        <f>IF($F1054="","",$F1054+$H1054)</f>
        <v/>
      </c>
      <c r="J1054">
        <f>IF($F1054="","⚪ NEW",IF($G1054&gt;=5,"✅ DONE",IF($I1054&lt;TODAY(),"🔴 OVERDUE",IF($I1054=TODAY(),"🟢 TODAY",IF($I1054=TODAY()+1,"🔵 TOMORROW",IF($I1054&lt;=TODAY()+7,"📅 THIS WEEK","⏳ SCHEDULED"))))))</f>
        <v/>
      </c>
      <c r="K1054" s="20">
        <f>IF($F1054="",999,IF($G1054&gt;=5,9999,IF($I1054="",999,$I1054-TODAY())))</f>
        <v/>
      </c>
    </row>
    <row r="1055">
      <c r="A1055" s="32">
        <f>ROW()-2</f>
        <v/>
      </c>
      <c r="B1055" s="33" t="inlineStr">
        <is>
          <t>S9</t>
        </is>
      </c>
      <c r="C1055" s="33" t="inlineStr">
        <is>
          <t>Gynécologie - Obstétrique</t>
        </is>
      </c>
      <c r="D1055" s="33" t="inlineStr">
        <is>
          <t>Obstétrique</t>
        </is>
      </c>
      <c r="E1055" s="33" t="inlineStr">
        <is>
          <t>Menace d'accouchement prématuré (MAP)</t>
        </is>
      </c>
      <c r="F1055" s="18" t="n"/>
      <c r="G1055" s="19" t="n"/>
      <c r="H1055" s="20">
        <f>IF($G1055="",1,IF($G1055=0,1,IF($G1055=1,3,IF($G1055=2,7,IF($G1055=3,14,IF($G1055=4,30,60))))))</f>
        <v/>
      </c>
      <c r="I1055" s="21">
        <f>IF($F1055="","",$F1055+$H1055)</f>
        <v/>
      </c>
      <c r="J1055">
        <f>IF($F1055="","⚪ NEW",IF($G1055&gt;=5,"✅ DONE",IF($I1055&lt;TODAY(),"🔴 OVERDUE",IF($I1055=TODAY(),"🟢 TODAY",IF($I1055=TODAY()+1,"🔵 TOMORROW",IF($I1055&lt;=TODAY()+7,"📅 THIS WEEK","⏳ SCHEDULED"))))))</f>
        <v/>
      </c>
      <c r="K1055" s="20">
        <f>IF($F1055="",999,IF($G1055&gt;=5,9999,IF($I1055="",999,$I1055-TODAY())))</f>
        <v/>
      </c>
    </row>
    <row r="1056">
      <c r="A1056" s="32">
        <f>ROW()-2</f>
        <v/>
      </c>
      <c r="B1056" s="33" t="inlineStr">
        <is>
          <t>S9</t>
        </is>
      </c>
      <c r="C1056" s="33" t="inlineStr">
        <is>
          <t>Gynécologie - Obstétrique</t>
        </is>
      </c>
      <c r="D1056" s="33" t="inlineStr">
        <is>
          <t>Obstétrique</t>
        </is>
      </c>
      <c r="E1056" s="33" t="inlineStr">
        <is>
          <t>Rupture prématurée des membranes</t>
        </is>
      </c>
      <c r="F1056" s="18" t="n"/>
      <c r="G1056" s="19" t="n"/>
      <c r="H1056" s="20">
        <f>IF($G1056="",1,IF($G1056=0,1,IF($G1056=1,3,IF($G1056=2,7,IF($G1056=3,14,IF($G1056=4,30,60))))))</f>
        <v/>
      </c>
      <c r="I1056" s="21">
        <f>IF($F1056="","",$F1056+$H1056)</f>
        <v/>
      </c>
      <c r="J1056">
        <f>IF($F1056="","⚪ NEW",IF($G1056&gt;=5,"✅ DONE",IF($I1056&lt;TODAY(),"🔴 OVERDUE",IF($I1056=TODAY(),"🟢 TODAY",IF($I1056=TODAY()+1,"🔵 TOMORROW",IF($I1056&lt;=TODAY()+7,"📅 THIS WEEK","⏳ SCHEDULED"))))))</f>
        <v/>
      </c>
      <c r="K1056" s="20">
        <f>IF($F1056="",999,IF($G1056&gt;=5,9999,IF($I1056="",999,$I1056-TODAY())))</f>
        <v/>
      </c>
    </row>
    <row r="1057">
      <c r="A1057" s="32">
        <f>ROW()-2</f>
        <v/>
      </c>
      <c r="B1057" s="33" t="inlineStr">
        <is>
          <t>S9</t>
        </is>
      </c>
      <c r="C1057" s="33" t="inlineStr">
        <is>
          <t>Gynécologie - Obstétrique</t>
        </is>
      </c>
      <c r="D1057" s="33" t="inlineStr">
        <is>
          <t>Obstétrique</t>
        </is>
      </c>
      <c r="E1057" s="33" t="inlineStr">
        <is>
          <t>Placenta praevia</t>
        </is>
      </c>
      <c r="F1057" s="18" t="n"/>
      <c r="G1057" s="19" t="n"/>
      <c r="H1057" s="20">
        <f>IF($G1057="",1,IF($G1057=0,1,IF($G1057=1,3,IF($G1057=2,7,IF($G1057=3,14,IF($G1057=4,30,60))))))</f>
        <v/>
      </c>
      <c r="I1057" s="21">
        <f>IF($F1057="","",$F1057+$H1057)</f>
        <v/>
      </c>
      <c r="J1057">
        <f>IF($F1057="","⚪ NEW",IF($G1057&gt;=5,"✅ DONE",IF($I1057&lt;TODAY(),"🔴 OVERDUE",IF($I1057=TODAY(),"🟢 TODAY",IF($I1057=TODAY()+1,"🔵 TOMORROW",IF($I1057&lt;=TODAY()+7,"📅 THIS WEEK","⏳ SCHEDULED"))))))</f>
        <v/>
      </c>
      <c r="K1057" s="20">
        <f>IF($F1057="",999,IF($G1057&gt;=5,9999,IF($I1057="",999,$I1057-TODAY())))</f>
        <v/>
      </c>
    </row>
    <row r="1058">
      <c r="A1058" s="32">
        <f>ROW()-2</f>
        <v/>
      </c>
      <c r="B1058" s="33" t="inlineStr">
        <is>
          <t>S9</t>
        </is>
      </c>
      <c r="C1058" s="33" t="inlineStr">
        <is>
          <t>Gynécologie - Obstétrique</t>
        </is>
      </c>
      <c r="D1058" s="33" t="inlineStr">
        <is>
          <t>Obstétrique</t>
        </is>
      </c>
      <c r="E1058" s="33" t="inlineStr">
        <is>
          <t>Hématome rétro-placentaire (HRP)</t>
        </is>
      </c>
      <c r="F1058" s="18" t="n"/>
      <c r="G1058" s="19" t="n"/>
      <c r="H1058" s="20">
        <f>IF($G1058="",1,IF($G1058=0,1,IF($G1058=1,3,IF($G1058=2,7,IF($G1058=3,14,IF($G1058=4,30,60))))))</f>
        <v/>
      </c>
      <c r="I1058" s="21">
        <f>IF($F1058="","",$F1058+$H1058)</f>
        <v/>
      </c>
      <c r="J1058">
        <f>IF($F1058="","⚪ NEW",IF($G1058&gt;=5,"✅ DONE",IF($I1058&lt;TODAY(),"🔴 OVERDUE",IF($I1058=TODAY(),"🟢 TODAY",IF($I1058=TODAY()+1,"🔵 TOMORROW",IF($I1058&lt;=TODAY()+7,"📅 THIS WEEK","⏳ SCHEDULED"))))))</f>
        <v/>
      </c>
      <c r="K1058" s="20">
        <f>IF($F1058="",999,IF($G1058&gt;=5,9999,IF($I1058="",999,$I1058-TODAY())))</f>
        <v/>
      </c>
    </row>
    <row r="1059">
      <c r="A1059" s="32">
        <f>ROW()-2</f>
        <v/>
      </c>
      <c r="B1059" s="33" t="inlineStr">
        <is>
          <t>S9</t>
        </is>
      </c>
      <c r="C1059" s="33" t="inlineStr">
        <is>
          <t>Gynécologie - Obstétrique</t>
        </is>
      </c>
      <c r="D1059" s="33" t="inlineStr">
        <is>
          <t>Obstétrique</t>
        </is>
      </c>
      <c r="E1059" s="33" t="inlineStr">
        <is>
          <t>Infections et grossesse</t>
        </is>
      </c>
      <c r="F1059" s="18" t="n"/>
      <c r="G1059" s="19" t="n"/>
      <c r="H1059" s="20">
        <f>IF($G1059="",1,IF($G1059=0,1,IF($G1059=1,3,IF($G1059=2,7,IF($G1059=3,14,IF($G1059=4,30,60))))))</f>
        <v/>
      </c>
      <c r="I1059" s="21">
        <f>IF($F1059="","",$F1059+$H1059)</f>
        <v/>
      </c>
      <c r="J1059">
        <f>IF($F1059="","⚪ NEW",IF($G1059&gt;=5,"✅ DONE",IF($I1059&lt;TODAY(),"🔴 OVERDUE",IF($I1059=TODAY(),"🟢 TODAY",IF($I1059=TODAY()+1,"🔵 TOMORROW",IF($I1059&lt;=TODAY()+7,"📅 THIS WEEK","⏳ SCHEDULED"))))))</f>
        <v/>
      </c>
      <c r="K1059" s="20">
        <f>IF($F1059="",999,IF($G1059&gt;=5,9999,IF($I1059="",999,$I1059-TODAY())))</f>
        <v/>
      </c>
    </row>
    <row r="1060">
      <c r="A1060" s="32">
        <f>ROW()-2</f>
        <v/>
      </c>
      <c r="B1060" s="33" t="inlineStr">
        <is>
          <t>S9</t>
        </is>
      </c>
      <c r="C1060" s="33" t="inlineStr">
        <is>
          <t>Gynécologie - Obstétrique</t>
        </is>
      </c>
      <c r="D1060" s="33" t="inlineStr">
        <is>
          <t>Obstétrique</t>
        </is>
      </c>
      <c r="E1060" s="33" t="inlineStr">
        <is>
          <t>Diabète et grossesse</t>
        </is>
      </c>
      <c r="F1060" s="18" t="n"/>
      <c r="G1060" s="19" t="n"/>
      <c r="H1060" s="20">
        <f>IF($G1060="",1,IF($G1060=0,1,IF($G1060=1,3,IF($G1060=2,7,IF($G1060=3,14,IF($G1060=4,30,60))))))</f>
        <v/>
      </c>
      <c r="I1060" s="21">
        <f>IF($F1060="","",$F1060+$H1060)</f>
        <v/>
      </c>
      <c r="J1060">
        <f>IF($F1060="","⚪ NEW",IF($G1060&gt;=5,"✅ DONE",IF($I1060&lt;TODAY(),"🔴 OVERDUE",IF($I1060=TODAY(),"🟢 TODAY",IF($I1060=TODAY()+1,"🔵 TOMORROW",IF($I1060&lt;=TODAY()+7,"📅 THIS WEEK","⏳ SCHEDULED"))))))</f>
        <v/>
      </c>
      <c r="K1060" s="20">
        <f>IF($F1060="",999,IF($G1060&gt;=5,9999,IF($I1060="",999,$I1060-TODAY())))</f>
        <v/>
      </c>
    </row>
    <row r="1061">
      <c r="A1061" s="32">
        <f>ROW()-2</f>
        <v/>
      </c>
      <c r="B1061" s="33" t="inlineStr">
        <is>
          <t>S9</t>
        </is>
      </c>
      <c r="C1061" s="33" t="inlineStr">
        <is>
          <t>Gynécologie - Obstétrique</t>
        </is>
      </c>
      <c r="D1061" s="33" t="inlineStr">
        <is>
          <t>Obstétrique</t>
        </is>
      </c>
      <c r="E1061" s="33" t="inlineStr">
        <is>
          <t>Cardiopathies et grossesse</t>
        </is>
      </c>
      <c r="F1061" s="18" t="n"/>
      <c r="G1061" s="19" t="n"/>
      <c r="H1061" s="20">
        <f>IF($G1061="",1,IF($G1061=0,1,IF($G1061=1,3,IF($G1061=2,7,IF($G1061=3,14,IF($G1061=4,30,60))))))</f>
        <v/>
      </c>
      <c r="I1061" s="21">
        <f>IF($F1061="","",$F1061+$H1061)</f>
        <v/>
      </c>
      <c r="J1061">
        <f>IF($F1061="","⚪ NEW",IF($G1061&gt;=5,"✅ DONE",IF($I1061&lt;TODAY(),"🔴 OVERDUE",IF($I1061=TODAY(),"🟢 TODAY",IF($I1061=TODAY()+1,"🔵 TOMORROW",IF($I1061&lt;=TODAY()+7,"📅 THIS WEEK","⏳ SCHEDULED"))))))</f>
        <v/>
      </c>
      <c r="K1061" s="20">
        <f>IF($F1061="",999,IF($G1061&gt;=5,9999,IF($I1061="",999,$I1061-TODAY())))</f>
        <v/>
      </c>
    </row>
    <row r="1062">
      <c r="A1062" s="32">
        <f>ROW()-2</f>
        <v/>
      </c>
      <c r="B1062" s="33" t="inlineStr">
        <is>
          <t>S9</t>
        </is>
      </c>
      <c r="C1062" s="33" t="inlineStr">
        <is>
          <t>Gynécologie - Obstétrique</t>
        </is>
      </c>
      <c r="D1062" s="33" t="inlineStr">
        <is>
          <t>Obstétrique</t>
        </is>
      </c>
      <c r="E1062" s="33" t="inlineStr">
        <is>
          <t>HTA gravidique</t>
        </is>
      </c>
      <c r="F1062" s="18" t="n"/>
      <c r="G1062" s="19" t="n"/>
      <c r="H1062" s="20">
        <f>IF($G1062="",1,IF($G1062=0,1,IF($G1062=1,3,IF($G1062=2,7,IF($G1062=3,14,IF($G1062=4,30,60))))))</f>
        <v/>
      </c>
      <c r="I1062" s="21">
        <f>IF($F1062="","",$F1062+$H1062)</f>
        <v/>
      </c>
      <c r="J1062">
        <f>IF($F1062="","⚪ NEW",IF($G1062&gt;=5,"✅ DONE",IF($I1062&lt;TODAY(),"🔴 OVERDUE",IF($I1062=TODAY(),"🟢 TODAY",IF($I1062=TODAY()+1,"🔵 TOMORROW",IF($I1062&lt;=TODAY()+7,"📅 THIS WEEK","⏳ SCHEDULED"))))))</f>
        <v/>
      </c>
      <c r="K1062" s="20">
        <f>IF($F1062="",999,IF($G1062&gt;=5,9999,IF($I1062="",999,$I1062-TODAY())))</f>
        <v/>
      </c>
    </row>
    <row r="1063">
      <c r="A1063" s="32">
        <f>ROW()-2</f>
        <v/>
      </c>
      <c r="B1063" s="33" t="inlineStr">
        <is>
          <t>S9</t>
        </is>
      </c>
      <c r="C1063" s="33" t="inlineStr">
        <is>
          <t>Gynécologie - Obstétrique</t>
        </is>
      </c>
      <c r="D1063" s="33" t="inlineStr">
        <is>
          <t>Obstétrique</t>
        </is>
      </c>
      <c r="E1063" s="33" t="inlineStr">
        <is>
          <t>Grossesses multiples</t>
        </is>
      </c>
      <c r="F1063" s="18" t="n"/>
      <c r="G1063" s="19" t="n"/>
      <c r="H1063" s="20">
        <f>IF($G1063="",1,IF($G1063=0,1,IF($G1063=1,3,IF($G1063=2,7,IF($G1063=3,14,IF($G1063=4,30,60))))))</f>
        <v/>
      </c>
      <c r="I1063" s="21">
        <f>IF($F1063="","",$F1063+$H1063)</f>
        <v/>
      </c>
      <c r="J1063">
        <f>IF($F1063="","⚪ NEW",IF($G1063&gt;=5,"✅ DONE",IF($I1063&lt;TODAY(),"🔴 OVERDUE",IF($I1063=TODAY(),"🟢 TODAY",IF($I1063=TODAY()+1,"🔵 TOMORROW",IF($I1063&lt;=TODAY()+7,"📅 THIS WEEK","⏳ SCHEDULED"))))))</f>
        <v/>
      </c>
      <c r="K1063" s="20">
        <f>IF($F1063="",999,IF($G1063&gt;=5,9999,IF($I1063="",999,$I1063-TODAY())))</f>
        <v/>
      </c>
    </row>
    <row r="1064">
      <c r="A1064" s="32">
        <f>ROW()-2</f>
        <v/>
      </c>
      <c r="B1064" s="33" t="inlineStr">
        <is>
          <t>S9</t>
        </is>
      </c>
      <c r="C1064" s="33" t="inlineStr">
        <is>
          <t>Gynécologie - Obstétrique</t>
        </is>
      </c>
      <c r="D1064" s="33" t="inlineStr">
        <is>
          <t>Obstétrique</t>
        </is>
      </c>
      <c r="E1064" s="33" t="inlineStr">
        <is>
          <t>Grossesses prolongées et dépassement de terme</t>
        </is>
      </c>
      <c r="F1064" s="18" t="n"/>
      <c r="G1064" s="19" t="n"/>
      <c r="H1064" s="20">
        <f>IF($G1064="",1,IF($G1064=0,1,IF($G1064=1,3,IF($G1064=2,7,IF($G1064=3,14,IF($G1064=4,30,60))))))</f>
        <v/>
      </c>
      <c r="I1064" s="21">
        <f>IF($F1064="","",$F1064+$H1064)</f>
        <v/>
      </c>
      <c r="J1064">
        <f>IF($F1064="","⚪ NEW",IF($G1064&gt;=5,"✅ DONE",IF($I1064&lt;TODAY(),"🔴 OVERDUE",IF($I1064=TODAY(),"🟢 TODAY",IF($I1064=TODAY()+1,"🔵 TOMORROW",IF($I1064&lt;=TODAY()+7,"📅 THIS WEEK","⏳ SCHEDULED"))))))</f>
        <v/>
      </c>
      <c r="K1064" s="20">
        <f>IF($F1064="",999,IF($G1064&gt;=5,9999,IF($I1064="",999,$I1064-TODAY())))</f>
        <v/>
      </c>
    </row>
    <row r="1065">
      <c r="A1065" s="32">
        <f>ROW()-2</f>
        <v/>
      </c>
      <c r="B1065" s="33" t="inlineStr">
        <is>
          <t>S9</t>
        </is>
      </c>
      <c r="C1065" s="33" t="inlineStr">
        <is>
          <t>Gynécologie - Obstétrique</t>
        </is>
      </c>
      <c r="D1065" s="33" t="inlineStr">
        <is>
          <t>Obstétrique</t>
        </is>
      </c>
      <c r="E1065" s="33" t="inlineStr">
        <is>
          <t>Anomalies du liquide amniotique</t>
        </is>
      </c>
      <c r="F1065" s="18" t="n"/>
      <c r="G1065" s="19" t="n"/>
      <c r="H1065" s="20">
        <f>IF($G1065="",1,IF($G1065=0,1,IF($G1065=1,3,IF($G1065=2,7,IF($G1065=3,14,IF($G1065=4,30,60))))))</f>
        <v/>
      </c>
      <c r="I1065" s="21">
        <f>IF($F1065="","",$F1065+$H1065)</f>
        <v/>
      </c>
      <c r="J1065">
        <f>IF($F1065="","⚪ NEW",IF($G1065&gt;=5,"✅ DONE",IF($I1065&lt;TODAY(),"🔴 OVERDUE",IF($I1065=TODAY(),"🟢 TODAY",IF($I1065=TODAY()+1,"🔵 TOMORROW",IF($I1065&lt;=TODAY()+7,"📅 THIS WEEK","⏳ SCHEDULED"))))))</f>
        <v/>
      </c>
      <c r="K1065" s="20">
        <f>IF($F1065="",999,IF($G1065&gt;=5,9999,IF($I1065="",999,$I1065-TODAY())))</f>
        <v/>
      </c>
    </row>
    <row r="1066">
      <c r="A1066" s="32">
        <f>ROW()-2</f>
        <v/>
      </c>
      <c r="B1066" s="33" t="inlineStr">
        <is>
          <t>S9</t>
        </is>
      </c>
      <c r="C1066" s="33" t="inlineStr">
        <is>
          <t>Gynécologie - Obstétrique</t>
        </is>
      </c>
      <c r="D1066" s="33" t="inlineStr">
        <is>
          <t>Obstétrique</t>
        </is>
      </c>
      <c r="E1066" s="33" t="inlineStr">
        <is>
          <t>Allo-immunisation fœto-maternelle</t>
        </is>
      </c>
      <c r="F1066" s="18" t="n"/>
      <c r="G1066" s="19" t="n"/>
      <c r="H1066" s="20">
        <f>IF($G1066="",1,IF($G1066=0,1,IF($G1066=1,3,IF($G1066=2,7,IF($G1066=3,14,IF($G1066=4,30,60))))))</f>
        <v/>
      </c>
      <c r="I1066" s="21">
        <f>IF($F1066="","",$F1066+$H1066)</f>
        <v/>
      </c>
      <c r="J1066">
        <f>IF($F1066="","⚪ NEW",IF($G1066&gt;=5,"✅ DONE",IF($I1066&lt;TODAY(),"🔴 OVERDUE",IF($I1066=TODAY(),"🟢 TODAY",IF($I1066=TODAY()+1,"🔵 TOMORROW",IF($I1066&lt;=TODAY()+7,"📅 THIS WEEK","⏳ SCHEDULED"))))))</f>
        <v/>
      </c>
      <c r="K1066" s="20">
        <f>IF($F1066="",999,IF($G1066&gt;=5,9999,IF($I1066="",999,$I1066-TODAY())))</f>
        <v/>
      </c>
    </row>
    <row r="1067">
      <c r="A1067" s="32">
        <f>ROW()-2</f>
        <v/>
      </c>
      <c r="B1067" s="33" t="inlineStr">
        <is>
          <t>S9</t>
        </is>
      </c>
      <c r="C1067" s="33" t="inlineStr">
        <is>
          <t>Gynécologie - Obstétrique</t>
        </is>
      </c>
      <c r="D1067" s="33" t="inlineStr">
        <is>
          <t>Obstétrique</t>
        </is>
      </c>
      <c r="E1067" s="33" t="inlineStr">
        <is>
          <t>Rythme cardiaque fœtal et hypoxie fœtale</t>
        </is>
      </c>
      <c r="F1067" s="18" t="n"/>
      <c r="G1067" s="19" t="n"/>
      <c r="H1067" s="20">
        <f>IF($G1067="",1,IF($G1067=0,1,IF($G1067=1,3,IF($G1067=2,7,IF($G1067=3,14,IF($G1067=4,30,60))))))</f>
        <v/>
      </c>
      <c r="I1067" s="21">
        <f>IF($F1067="","",$F1067+$H1067)</f>
        <v/>
      </c>
      <c r="J1067">
        <f>IF($F1067="","⚪ NEW",IF($G1067&gt;=5,"✅ DONE",IF($I1067&lt;TODAY(),"🔴 OVERDUE",IF($I1067=TODAY(),"🟢 TODAY",IF($I1067=TODAY()+1,"🔵 TOMORROW",IF($I1067&lt;=TODAY()+7,"📅 THIS WEEK","⏳ SCHEDULED"))))))</f>
        <v/>
      </c>
      <c r="K1067" s="20">
        <f>IF($F1067="",999,IF($G1067&gt;=5,9999,IF($I1067="",999,$I1067-TODAY())))</f>
        <v/>
      </c>
    </row>
    <row r="1068">
      <c r="A1068" s="32">
        <f>ROW()-2</f>
        <v/>
      </c>
      <c r="B1068" s="33" t="inlineStr">
        <is>
          <t>S9</t>
        </is>
      </c>
      <c r="C1068" s="33" t="inlineStr">
        <is>
          <t>Gynécologie - Obstétrique</t>
        </is>
      </c>
      <c r="D1068" s="33" t="inlineStr">
        <is>
          <t>Obstétrique</t>
        </is>
      </c>
      <c r="E1068" s="33" t="inlineStr">
        <is>
          <t>Asphyxie périnatale</t>
        </is>
      </c>
      <c r="F1068" s="18" t="n"/>
      <c r="G1068" s="19" t="n"/>
      <c r="H1068" s="20">
        <f>IF($G1068="",1,IF($G1068=0,1,IF($G1068=1,3,IF($G1068=2,7,IF($G1068=3,14,IF($G1068=4,30,60))))))</f>
        <v/>
      </c>
      <c r="I1068" s="21">
        <f>IF($F1068="","",$F1068+$H1068)</f>
        <v/>
      </c>
      <c r="J1068">
        <f>IF($F1068="","⚪ NEW",IF($G1068&gt;=5,"✅ DONE",IF($I1068&lt;TODAY(),"🔴 OVERDUE",IF($I1068=TODAY(),"🟢 TODAY",IF($I1068=TODAY()+1,"🔵 TOMORROW",IF($I1068&lt;=TODAY()+7,"📅 THIS WEEK","⏳ SCHEDULED"))))))</f>
        <v/>
      </c>
      <c r="K1068" s="20">
        <f>IF($F1068="",999,IF($G1068&gt;=5,9999,IF($I1068="",999,$I1068-TODAY())))</f>
        <v/>
      </c>
    </row>
    <row r="1069">
      <c r="A1069" s="32">
        <f>ROW()-2</f>
        <v/>
      </c>
      <c r="B1069" s="33" t="inlineStr">
        <is>
          <t>S9</t>
        </is>
      </c>
      <c r="C1069" s="33" t="inlineStr">
        <is>
          <t>Gynécologie - Obstétrique</t>
        </is>
      </c>
      <c r="D1069" s="33" t="inlineStr">
        <is>
          <t>Obstétrique</t>
        </is>
      </c>
      <c r="E1069" s="33" t="inlineStr">
        <is>
          <t>RCIU</t>
        </is>
      </c>
      <c r="F1069" s="18" t="n"/>
      <c r="G1069" s="19" t="n"/>
      <c r="H1069" s="20">
        <f>IF($G1069="",1,IF($G1069=0,1,IF($G1069=1,3,IF($G1069=2,7,IF($G1069=3,14,IF($G1069=4,30,60))))))</f>
        <v/>
      </c>
      <c r="I1069" s="21">
        <f>IF($F1069="","",$F1069+$H1069)</f>
        <v/>
      </c>
      <c r="J1069">
        <f>IF($F1069="","⚪ NEW",IF($G1069&gt;=5,"✅ DONE",IF($I1069&lt;TODAY(),"🔴 OVERDUE",IF($I1069=TODAY(),"🟢 TODAY",IF($I1069=TODAY()+1,"🔵 TOMORROW",IF($I1069&lt;=TODAY()+7,"📅 THIS WEEK","⏳ SCHEDULED"))))))</f>
        <v/>
      </c>
      <c r="K1069" s="20">
        <f>IF($F1069="",999,IF($G1069&gt;=5,9999,IF($I1069="",999,$I1069-TODAY())))</f>
        <v/>
      </c>
    </row>
    <row r="1070">
      <c r="A1070" s="32">
        <f>ROW()-2</f>
        <v/>
      </c>
      <c r="B1070" s="33" t="inlineStr">
        <is>
          <t>S9</t>
        </is>
      </c>
      <c r="C1070" s="33" t="inlineStr">
        <is>
          <t>Gynécologie - Obstétrique</t>
        </is>
      </c>
      <c r="D1070" s="33" t="inlineStr">
        <is>
          <t>Obstétrique</t>
        </is>
      </c>
      <c r="E1070" s="33" t="inlineStr">
        <is>
          <t>Mort fœtale intra-utérine (MFIU)</t>
        </is>
      </c>
      <c r="F1070" s="18" t="n"/>
      <c r="G1070" s="19" t="n"/>
      <c r="H1070" s="20">
        <f>IF($G1070="",1,IF($G1070=0,1,IF($G1070=1,3,IF($G1070=2,7,IF($G1070=3,14,IF($G1070=4,30,60))))))</f>
        <v/>
      </c>
      <c r="I1070" s="21">
        <f>IF($F1070="","",$F1070+$H1070)</f>
        <v/>
      </c>
      <c r="J1070">
        <f>IF($F1070="","⚪ NEW",IF($G1070&gt;=5,"✅ DONE",IF($I1070&lt;TODAY(),"🔴 OVERDUE",IF($I1070=TODAY(),"🟢 TODAY",IF($I1070=TODAY()+1,"🔵 TOMORROW",IF($I1070&lt;=TODAY()+7,"📅 THIS WEEK","⏳ SCHEDULED"))))))</f>
        <v/>
      </c>
      <c r="K1070" s="20">
        <f>IF($F1070="",999,IF($G1070&gt;=5,9999,IF($I1070="",999,$I1070-TODAY())))</f>
        <v/>
      </c>
    </row>
    <row r="1071">
      <c r="A1071" s="32">
        <f>ROW()-2</f>
        <v/>
      </c>
      <c r="B1071" s="33" t="inlineStr">
        <is>
          <t>S9</t>
        </is>
      </c>
      <c r="C1071" s="33" t="inlineStr">
        <is>
          <t>Gynécologie - Obstétrique</t>
        </is>
      </c>
      <c r="D1071" s="33" t="inlineStr">
        <is>
          <t>Obstétrique</t>
        </is>
      </c>
      <c r="E1071" s="33" t="inlineStr">
        <is>
          <t>Procidence du cordon</t>
        </is>
      </c>
      <c r="F1071" s="18" t="n"/>
      <c r="G1071" s="19" t="n"/>
      <c r="H1071" s="20">
        <f>IF($G1071="",1,IF($G1071=0,1,IF($G1071=1,3,IF($G1071=2,7,IF($G1071=3,14,IF($G1071=4,30,60))))))</f>
        <v/>
      </c>
      <c r="I1071" s="21">
        <f>IF($F1071="","",$F1071+$H1071)</f>
        <v/>
      </c>
      <c r="J1071">
        <f>IF($F1071="","⚪ NEW",IF($G1071&gt;=5,"✅ DONE",IF($I1071&lt;TODAY(),"🔴 OVERDUE",IF($I1071=TODAY(),"🟢 TODAY",IF($I1071=TODAY()+1,"🔵 TOMORROW",IF($I1071&lt;=TODAY()+7,"📅 THIS WEEK","⏳ SCHEDULED"))))))</f>
        <v/>
      </c>
      <c r="K1071" s="20">
        <f>IF($F1071="",999,IF($G1071&gt;=5,9999,IF($I1071="",999,$I1071-TODAY())))</f>
        <v/>
      </c>
    </row>
    <row r="1072">
      <c r="A1072" s="32">
        <f>ROW()-2</f>
        <v/>
      </c>
      <c r="B1072" s="33" t="inlineStr">
        <is>
          <t>S9</t>
        </is>
      </c>
      <c r="C1072" s="33" t="inlineStr">
        <is>
          <t>Gynécologie - Obstétrique</t>
        </is>
      </c>
      <c r="D1072" s="33" t="inlineStr">
        <is>
          <t>Obstétrique</t>
        </is>
      </c>
      <c r="E1072" s="33" t="inlineStr">
        <is>
          <t>Accouchement sur utérus cicatriciel</t>
        </is>
      </c>
      <c r="F1072" s="18" t="n"/>
      <c r="G1072" s="19" t="n"/>
      <c r="H1072" s="20">
        <f>IF($G1072="",1,IF($G1072=0,1,IF($G1072=1,3,IF($G1072=2,7,IF($G1072=3,14,IF($G1072=4,30,60))))))</f>
        <v/>
      </c>
      <c r="I1072" s="21">
        <f>IF($F1072="","",$F1072+$H1072)</f>
        <v/>
      </c>
      <c r="J1072">
        <f>IF($F1072="","⚪ NEW",IF($G1072&gt;=5,"✅ DONE",IF($I1072&lt;TODAY(),"🔴 OVERDUE",IF($I1072=TODAY(),"🟢 TODAY",IF($I1072=TODAY()+1,"🔵 TOMORROW",IF($I1072&lt;=TODAY()+7,"📅 THIS WEEK","⏳ SCHEDULED"))))))</f>
        <v/>
      </c>
      <c r="K1072" s="20">
        <f>IF($F1072="",999,IF($G1072&gt;=5,9999,IF($I1072="",999,$I1072-TODAY())))</f>
        <v/>
      </c>
    </row>
    <row r="1073">
      <c r="A1073" s="32">
        <f>ROW()-2</f>
        <v/>
      </c>
      <c r="B1073" s="33" t="inlineStr">
        <is>
          <t>S9</t>
        </is>
      </c>
      <c r="C1073" s="33" t="inlineStr">
        <is>
          <t>Gynécologie - Obstétrique</t>
        </is>
      </c>
      <c r="D1073" s="33" t="inlineStr">
        <is>
          <t>Obstétrique</t>
        </is>
      </c>
      <c r="E1073" s="33" t="inlineStr">
        <is>
          <t>Mort maternelle</t>
        </is>
      </c>
      <c r="F1073" s="18" t="n"/>
      <c r="G1073" s="19" t="n"/>
      <c r="H1073" s="20">
        <f>IF($G1073="",1,IF($G1073=0,1,IF($G1073=1,3,IF($G1073=2,7,IF($G1073=3,14,IF($G1073=4,30,60))))))</f>
        <v/>
      </c>
      <c r="I1073" s="21">
        <f>IF($F1073="","",$F1073+$H1073)</f>
        <v/>
      </c>
      <c r="J1073">
        <f>IF($F1073="","⚪ NEW",IF($G1073&gt;=5,"✅ DONE",IF($I1073&lt;TODAY(),"🔴 OVERDUE",IF($I1073=TODAY(),"🟢 TODAY",IF($I1073=TODAY()+1,"🔵 TOMORROW",IF($I1073&lt;=TODAY()+7,"📅 THIS WEEK","⏳ SCHEDULED"))))))</f>
        <v/>
      </c>
      <c r="K1073" s="20">
        <f>IF($F1073="",999,IF($G1073&gt;=5,9999,IF($I1073="",999,$I1073-TODAY())))</f>
        <v/>
      </c>
    </row>
    <row r="1074">
      <c r="A1074" s="32">
        <f>ROW()-2</f>
        <v/>
      </c>
      <c r="B1074" s="33" t="inlineStr">
        <is>
          <t>S9</t>
        </is>
      </c>
      <c r="C1074" s="33" t="inlineStr">
        <is>
          <t>Gynécologie - Obstétrique</t>
        </is>
      </c>
      <c r="D1074" s="33" t="inlineStr">
        <is>
          <t>Obstétrique</t>
        </is>
      </c>
      <c r="E1074" s="33" t="inlineStr">
        <is>
          <t>Suites de couches normales et pathologiques</t>
        </is>
      </c>
      <c r="F1074" s="18" t="n"/>
      <c r="G1074" s="19" t="n"/>
      <c r="H1074" s="20">
        <f>IF($G1074="",1,IF($G1074=0,1,IF($G1074=1,3,IF($G1074=2,7,IF($G1074=3,14,IF($G1074=4,30,60))))))</f>
        <v/>
      </c>
      <c r="I1074" s="21">
        <f>IF($F1074="","",$F1074+$H1074)</f>
        <v/>
      </c>
      <c r="J1074">
        <f>IF($F1074="","⚪ NEW",IF($G1074&gt;=5,"✅ DONE",IF($I1074&lt;TODAY(),"🔴 OVERDUE",IF($I1074=TODAY(),"🟢 TODAY",IF($I1074=TODAY()+1,"🔵 TOMORROW",IF($I1074&lt;=TODAY()+7,"📅 THIS WEEK","⏳ SCHEDULED"))))))</f>
        <v/>
      </c>
      <c r="K1074" s="20">
        <f>IF($F1074="",999,IF($G1074&gt;=5,9999,IF($I1074="",999,$I1074-TODAY())))</f>
        <v/>
      </c>
    </row>
    <row r="1075">
      <c r="A1075" s="32">
        <f>ROW()-2</f>
        <v/>
      </c>
      <c r="B1075" s="33" t="inlineStr">
        <is>
          <t>S9</t>
        </is>
      </c>
      <c r="C1075" s="33" t="inlineStr">
        <is>
          <t>Gynécologie - Obstétrique</t>
        </is>
      </c>
      <c r="D1075" s="33" t="inlineStr">
        <is>
          <t>Obstétrique</t>
        </is>
      </c>
      <c r="E1075" s="33" t="inlineStr">
        <is>
          <t>Présentation du sommet</t>
        </is>
      </c>
      <c r="F1075" s="18" t="n"/>
      <c r="G1075" s="19" t="n"/>
      <c r="H1075" s="20">
        <f>IF($G1075="",1,IF($G1075=0,1,IF($G1075=1,3,IF($G1075=2,7,IF($G1075=3,14,IF($G1075=4,30,60))))))</f>
        <v/>
      </c>
      <c r="I1075" s="21">
        <f>IF($F1075="","",$F1075+$H1075)</f>
        <v/>
      </c>
      <c r="J1075">
        <f>IF($F1075="","⚪ NEW",IF($G1075&gt;=5,"✅ DONE",IF($I1075&lt;TODAY(),"🔴 OVERDUE",IF($I1075=TODAY(),"🟢 TODAY",IF($I1075=TODAY()+1,"🔵 TOMORROW",IF($I1075&lt;=TODAY()+7,"📅 THIS WEEK","⏳ SCHEDULED"))))))</f>
        <v/>
      </c>
      <c r="K1075" s="20">
        <f>IF($F1075="",999,IF($G1075&gt;=5,9999,IF($I1075="",999,$I1075-TODAY())))</f>
        <v/>
      </c>
    </row>
    <row r="1076">
      <c r="A1076" s="32">
        <f>ROW()-2</f>
        <v/>
      </c>
      <c r="B1076" s="33" t="inlineStr">
        <is>
          <t>S9</t>
        </is>
      </c>
      <c r="C1076" s="33" t="inlineStr">
        <is>
          <t>Gynécologie - Obstétrique</t>
        </is>
      </c>
      <c r="D1076" s="33" t="inlineStr">
        <is>
          <t>Obstétrique</t>
        </is>
      </c>
      <c r="E1076" s="33" t="inlineStr">
        <is>
          <t>Présentations céphaliques défléchies</t>
        </is>
      </c>
      <c r="F1076" s="18" t="n"/>
      <c r="G1076" s="19" t="n"/>
      <c r="H1076" s="20">
        <f>IF($G1076="",1,IF($G1076=0,1,IF($G1076=1,3,IF($G1076=2,7,IF($G1076=3,14,IF($G1076=4,30,60))))))</f>
        <v/>
      </c>
      <c r="I1076" s="21">
        <f>IF($F1076="","",$F1076+$H1076)</f>
        <v/>
      </c>
      <c r="J1076">
        <f>IF($F1076="","⚪ NEW",IF($G1076&gt;=5,"✅ DONE",IF($I1076&lt;TODAY(),"🔴 OVERDUE",IF($I1076=TODAY(),"🟢 TODAY",IF($I1076=TODAY()+1,"🔵 TOMORROW",IF($I1076&lt;=TODAY()+7,"📅 THIS WEEK","⏳ SCHEDULED"))))))</f>
        <v/>
      </c>
      <c r="K1076" s="20">
        <f>IF($F1076="",999,IF($G1076&gt;=5,9999,IF($I1076="",999,$I1076-TODAY())))</f>
        <v/>
      </c>
    </row>
    <row r="1077">
      <c r="A1077" s="32">
        <f>ROW()-2</f>
        <v/>
      </c>
      <c r="B1077" s="33" t="inlineStr">
        <is>
          <t>S9</t>
        </is>
      </c>
      <c r="C1077" s="33" t="inlineStr">
        <is>
          <t>Gynécologie - Obstétrique</t>
        </is>
      </c>
      <c r="D1077" s="33" t="inlineStr">
        <is>
          <t>Obstétrique</t>
        </is>
      </c>
      <c r="E1077" s="33" t="inlineStr">
        <is>
          <t>Présentation de siège</t>
        </is>
      </c>
      <c r="F1077" s="18" t="n"/>
      <c r="G1077" s="19" t="n"/>
      <c r="H1077" s="20">
        <f>IF($G1077="",1,IF($G1077=0,1,IF($G1077=1,3,IF($G1077=2,7,IF($G1077=3,14,IF($G1077=4,30,60))))))</f>
        <v/>
      </c>
      <c r="I1077" s="21">
        <f>IF($F1077="","",$F1077+$H1077)</f>
        <v/>
      </c>
      <c r="J1077">
        <f>IF($F1077="","⚪ NEW",IF($G1077&gt;=5,"✅ DONE",IF($I1077&lt;TODAY(),"🔴 OVERDUE",IF($I1077=TODAY(),"🟢 TODAY",IF($I1077=TODAY()+1,"🔵 TOMORROW",IF($I1077&lt;=TODAY()+7,"📅 THIS WEEK","⏳ SCHEDULED"))))))</f>
        <v/>
      </c>
      <c r="K1077" s="20">
        <f>IF($F1077="",999,IF($G1077&gt;=5,9999,IF($I1077="",999,$I1077-TODAY())))</f>
        <v/>
      </c>
    </row>
    <row r="1078">
      <c r="A1078" s="32">
        <f>ROW()-2</f>
        <v/>
      </c>
      <c r="B1078" s="33" t="inlineStr">
        <is>
          <t>S9</t>
        </is>
      </c>
      <c r="C1078" s="33" t="inlineStr">
        <is>
          <t>Gynécologie - Obstétrique</t>
        </is>
      </c>
      <c r="D1078" s="33" t="inlineStr">
        <is>
          <t>Obstétrique</t>
        </is>
      </c>
      <c r="E1078" s="33" t="inlineStr">
        <is>
          <t>Présentation transverse (de l'épaule)</t>
        </is>
      </c>
      <c r="F1078" s="18" t="n"/>
      <c r="G1078" s="19" t="n"/>
      <c r="H1078" s="20">
        <f>IF($G1078="",1,IF($G1078=0,1,IF($G1078=1,3,IF($G1078=2,7,IF($G1078=3,14,IF($G1078=4,30,60))))))</f>
        <v/>
      </c>
      <c r="I1078" s="21">
        <f>IF($F1078="","",$F1078+$H1078)</f>
        <v/>
      </c>
      <c r="J1078">
        <f>IF($F1078="","⚪ NEW",IF($G1078&gt;=5,"✅ DONE",IF($I1078&lt;TODAY(),"🔴 OVERDUE",IF($I1078=TODAY(),"🟢 TODAY",IF($I1078=TODAY()+1,"🔵 TOMORROW",IF($I1078&lt;=TODAY()+7,"📅 THIS WEEK","⏳ SCHEDULED"))))))</f>
        <v/>
      </c>
      <c r="K1078" s="20">
        <f>IF($F1078="",999,IF($G1078&gt;=5,9999,IF($I1078="",999,$I1078-TODAY())))</f>
        <v/>
      </c>
    </row>
    <row r="1079">
      <c r="A1079" s="34">
        <f>ROW()-2</f>
        <v/>
      </c>
      <c r="B1079" s="35" t="inlineStr">
        <is>
          <t>S9</t>
        </is>
      </c>
      <c r="C1079" s="35" t="inlineStr">
        <is>
          <t>Santé mentale</t>
        </is>
      </c>
      <c r="D1079" s="35" t="inlineStr">
        <is>
          <t>Psychiatrie clinique</t>
        </is>
      </c>
      <c r="E1079" s="35" t="inlineStr">
        <is>
          <t>Histoire de la psychiatrie</t>
        </is>
      </c>
      <c r="F1079" s="18" t="n"/>
      <c r="G1079" s="19" t="n"/>
      <c r="H1079" s="20">
        <f>IF($G1079="",1,IF($G1079=0,1,IF($G1079=1,3,IF($G1079=2,7,IF($G1079=3,14,IF($G1079=4,30,60))))))</f>
        <v/>
      </c>
      <c r="I1079" s="21">
        <f>IF($F1079="","",$F1079+$H1079)</f>
        <v/>
      </c>
      <c r="J1079">
        <f>IF($F1079="","⚪ NEW",IF($G1079&gt;=5,"✅ DONE",IF($I1079&lt;TODAY(),"🔴 OVERDUE",IF($I1079=TODAY(),"🟢 TODAY",IF($I1079=TODAY()+1,"🔵 TOMORROW",IF($I1079&lt;=TODAY()+7,"📅 THIS WEEK","⏳ SCHEDULED"))))))</f>
        <v/>
      </c>
      <c r="K1079" s="20">
        <f>IF($F1079="",999,IF($G1079&gt;=5,9999,IF($I1079="",999,$I1079-TODAY())))</f>
        <v/>
      </c>
    </row>
    <row r="1080">
      <c r="A1080" s="34">
        <f>ROW()-2</f>
        <v/>
      </c>
      <c r="B1080" s="35" t="inlineStr">
        <is>
          <t>S9</t>
        </is>
      </c>
      <c r="C1080" s="35" t="inlineStr">
        <is>
          <t>Santé mentale</t>
        </is>
      </c>
      <c r="D1080" s="35" t="inlineStr">
        <is>
          <t>Psychiatrie clinique</t>
        </is>
      </c>
      <c r="E1080" s="35" t="inlineStr">
        <is>
          <t>Les états dépressifs</t>
        </is>
      </c>
      <c r="F1080" s="18" t="n"/>
      <c r="G1080" s="19" t="n"/>
      <c r="H1080" s="20">
        <f>IF($G1080="",1,IF($G1080=0,1,IF($G1080=1,3,IF($G1080=2,7,IF($G1080=3,14,IF($G1080=4,30,60))))))</f>
        <v/>
      </c>
      <c r="I1080" s="21">
        <f>IF($F1080="","",$F1080+$H1080)</f>
        <v/>
      </c>
      <c r="J1080">
        <f>IF($F1080="","⚪ NEW",IF($G1080&gt;=5,"✅ DONE",IF($I1080&lt;TODAY(),"🔴 OVERDUE",IF($I1080=TODAY(),"🟢 TODAY",IF($I1080=TODAY()+1,"🔵 TOMORROW",IF($I1080&lt;=TODAY()+7,"📅 THIS WEEK","⏳ SCHEDULED"))))))</f>
        <v/>
      </c>
      <c r="K1080" s="20">
        <f>IF($F1080="",999,IF($G1080&gt;=5,9999,IF($I1080="",999,$I1080-TODAY())))</f>
        <v/>
      </c>
    </row>
    <row r="1081">
      <c r="A1081" s="34">
        <f>ROW()-2</f>
        <v/>
      </c>
      <c r="B1081" s="35" t="inlineStr">
        <is>
          <t>S9</t>
        </is>
      </c>
      <c r="C1081" s="35" t="inlineStr">
        <is>
          <t>Santé mentale</t>
        </is>
      </c>
      <c r="D1081" s="35" t="inlineStr">
        <is>
          <t>Psychiatrie clinique</t>
        </is>
      </c>
      <c r="E1081" s="35" t="inlineStr">
        <is>
          <t>Les troubles bipolaires</t>
        </is>
      </c>
      <c r="F1081" s="18" t="n"/>
      <c r="G1081" s="19" t="n"/>
      <c r="H1081" s="20">
        <f>IF($G1081="",1,IF($G1081=0,1,IF($G1081=1,3,IF($G1081=2,7,IF($G1081=3,14,IF($G1081=4,30,60))))))</f>
        <v/>
      </c>
      <c r="I1081" s="21">
        <f>IF($F1081="","",$F1081+$H1081)</f>
        <v/>
      </c>
      <c r="J1081">
        <f>IF($F1081="","⚪ NEW",IF($G1081&gt;=5,"✅ DONE",IF($I1081&lt;TODAY(),"🔴 OVERDUE",IF($I1081=TODAY(),"🟢 TODAY",IF($I1081=TODAY()+1,"🔵 TOMORROW",IF($I1081&lt;=TODAY()+7,"📅 THIS WEEK","⏳ SCHEDULED"))))))</f>
        <v/>
      </c>
      <c r="K1081" s="20">
        <f>IF($F1081="",999,IF($G1081&gt;=5,9999,IF($I1081="",999,$I1081-TODAY())))</f>
        <v/>
      </c>
    </row>
    <row r="1082">
      <c r="A1082" s="34">
        <f>ROW()-2</f>
        <v/>
      </c>
      <c r="B1082" s="35" t="inlineStr">
        <is>
          <t>S9</t>
        </is>
      </c>
      <c r="C1082" s="35" t="inlineStr">
        <is>
          <t>Santé mentale</t>
        </is>
      </c>
      <c r="D1082" s="35" t="inlineStr">
        <is>
          <t>Psychiatrie clinique</t>
        </is>
      </c>
      <c r="E1082" s="35" t="inlineStr">
        <is>
          <t>Les schizophrénies</t>
        </is>
      </c>
      <c r="F1082" s="18" t="n"/>
      <c r="G1082" s="19" t="n"/>
      <c r="H1082" s="20">
        <f>IF($G1082="",1,IF($G1082=0,1,IF($G1082=1,3,IF($G1082=2,7,IF($G1082=3,14,IF($G1082=4,30,60))))))</f>
        <v/>
      </c>
      <c r="I1082" s="21">
        <f>IF($F1082="","",$F1082+$H1082)</f>
        <v/>
      </c>
      <c r="J1082">
        <f>IF($F1082="","⚪ NEW",IF($G1082&gt;=5,"✅ DONE",IF($I1082&lt;TODAY(),"🔴 OVERDUE",IF($I1082=TODAY(),"🟢 TODAY",IF($I1082=TODAY()+1,"🔵 TOMORROW",IF($I1082&lt;=TODAY()+7,"📅 THIS WEEK","⏳ SCHEDULED"))))))</f>
        <v/>
      </c>
      <c r="K1082" s="20">
        <f>IF($F1082="",999,IF($G1082&gt;=5,9999,IF($I1082="",999,$I1082-TODAY())))</f>
        <v/>
      </c>
    </row>
    <row r="1083">
      <c r="A1083" s="34">
        <f>ROW()-2</f>
        <v/>
      </c>
      <c r="B1083" s="35" t="inlineStr">
        <is>
          <t>S9</t>
        </is>
      </c>
      <c r="C1083" s="35" t="inlineStr">
        <is>
          <t>Santé mentale</t>
        </is>
      </c>
      <c r="D1083" s="35" t="inlineStr">
        <is>
          <t>Psychiatrie clinique</t>
        </is>
      </c>
      <c r="E1083" s="35" t="inlineStr">
        <is>
          <t>Les délires chroniques non dissociatifs</t>
        </is>
      </c>
      <c r="F1083" s="18" t="n"/>
      <c r="G1083" s="19" t="n"/>
      <c r="H1083" s="20">
        <f>IF($G1083="",1,IF($G1083=0,1,IF($G1083=1,3,IF($G1083=2,7,IF($G1083=3,14,IF($G1083=4,30,60))))))</f>
        <v/>
      </c>
      <c r="I1083" s="21">
        <f>IF($F1083="","",$F1083+$H1083)</f>
        <v/>
      </c>
      <c r="J1083">
        <f>IF($F1083="","⚪ NEW",IF($G1083&gt;=5,"✅ DONE",IF($I1083&lt;TODAY(),"🔴 OVERDUE",IF($I1083=TODAY(),"🟢 TODAY",IF($I1083=TODAY()+1,"🔵 TOMORROW",IF($I1083&lt;=TODAY()+7,"📅 THIS WEEK","⏳ SCHEDULED"))))))</f>
        <v/>
      </c>
      <c r="K1083" s="20">
        <f>IF($F1083="",999,IF($G1083&gt;=5,9999,IF($I1083="",999,$I1083-TODAY())))</f>
        <v/>
      </c>
    </row>
    <row r="1084">
      <c r="A1084" s="34">
        <f>ROW()-2</f>
        <v/>
      </c>
      <c r="B1084" s="35" t="inlineStr">
        <is>
          <t>S9</t>
        </is>
      </c>
      <c r="C1084" s="35" t="inlineStr">
        <is>
          <t>Santé mentale</t>
        </is>
      </c>
      <c r="D1084" s="35" t="inlineStr">
        <is>
          <t>Psychiatrie clinique</t>
        </is>
      </c>
      <c r="E1084" s="35" t="inlineStr">
        <is>
          <t>Accès psychotique aigu</t>
        </is>
      </c>
      <c r="F1084" s="18" t="n"/>
      <c r="G1084" s="19" t="n"/>
      <c r="H1084" s="20">
        <f>IF($G1084="",1,IF($G1084=0,1,IF($G1084=1,3,IF($G1084=2,7,IF($G1084=3,14,IF($G1084=4,30,60))))))</f>
        <v/>
      </c>
      <c r="I1084" s="21">
        <f>IF($F1084="","",$F1084+$H1084)</f>
        <v/>
      </c>
      <c r="J1084">
        <f>IF($F1084="","⚪ NEW",IF($G1084&gt;=5,"✅ DONE",IF($I1084&lt;TODAY(),"🔴 OVERDUE",IF($I1084=TODAY(),"🟢 TODAY",IF($I1084=TODAY()+1,"🔵 TOMORROW",IF($I1084&lt;=TODAY()+7,"📅 THIS WEEK","⏳ SCHEDULED"))))))</f>
        <v/>
      </c>
      <c r="K1084" s="20">
        <f>IF($F1084="",999,IF($G1084&gt;=5,9999,IF($I1084="",999,$I1084-TODAY())))</f>
        <v/>
      </c>
    </row>
    <row r="1085">
      <c r="A1085" s="34">
        <f>ROW()-2</f>
        <v/>
      </c>
      <c r="B1085" s="35" t="inlineStr">
        <is>
          <t>S9</t>
        </is>
      </c>
      <c r="C1085" s="35" t="inlineStr">
        <is>
          <t>Santé mentale</t>
        </is>
      </c>
      <c r="D1085" s="35" t="inlineStr">
        <is>
          <t>Psychiatrie clinique</t>
        </is>
      </c>
      <c r="E1085" s="35" t="inlineStr">
        <is>
          <t>Troubles anxieux : généralités</t>
        </is>
      </c>
      <c r="F1085" s="18" t="n"/>
      <c r="G1085" s="19" t="n"/>
      <c r="H1085" s="20">
        <f>IF($G1085="",1,IF($G1085=0,1,IF($G1085=1,3,IF($G1085=2,7,IF($G1085=3,14,IF($G1085=4,30,60))))))</f>
        <v/>
      </c>
      <c r="I1085" s="21">
        <f>IF($F1085="","",$F1085+$H1085)</f>
        <v/>
      </c>
      <c r="J1085">
        <f>IF($F1085="","⚪ NEW",IF($G1085&gt;=5,"✅ DONE",IF($I1085&lt;TODAY(),"🔴 OVERDUE",IF($I1085=TODAY(),"🟢 TODAY",IF($I1085=TODAY()+1,"🔵 TOMORROW",IF($I1085&lt;=TODAY()+7,"📅 THIS WEEK","⏳ SCHEDULED"))))))</f>
        <v/>
      </c>
      <c r="K1085" s="20">
        <f>IF($F1085="",999,IF($G1085&gt;=5,9999,IF($I1085="",999,$I1085-TODAY())))</f>
        <v/>
      </c>
    </row>
    <row r="1086">
      <c r="A1086" s="34">
        <f>ROW()-2</f>
        <v/>
      </c>
      <c r="B1086" s="35" t="inlineStr">
        <is>
          <t>S9</t>
        </is>
      </c>
      <c r="C1086" s="35" t="inlineStr">
        <is>
          <t>Santé mentale</t>
        </is>
      </c>
      <c r="D1086" s="35" t="inlineStr">
        <is>
          <t>Psychiatrie clinique</t>
        </is>
      </c>
      <c r="E1086" s="35" t="inlineStr">
        <is>
          <t>Trouble anxieux généralisé (TAG)</t>
        </is>
      </c>
      <c r="F1086" s="18" t="n"/>
      <c r="G1086" s="19" t="n"/>
      <c r="H1086" s="20">
        <f>IF($G1086="",1,IF($G1086=0,1,IF($G1086=1,3,IF($G1086=2,7,IF($G1086=3,14,IF($G1086=4,30,60))))))</f>
        <v/>
      </c>
      <c r="I1086" s="21">
        <f>IF($F1086="","",$F1086+$H1086)</f>
        <v/>
      </c>
      <c r="J1086">
        <f>IF($F1086="","⚪ NEW",IF($G1086&gt;=5,"✅ DONE",IF($I1086&lt;TODAY(),"🔴 OVERDUE",IF($I1086=TODAY(),"🟢 TODAY",IF($I1086=TODAY()+1,"🔵 TOMORROW",IF($I1086&lt;=TODAY()+7,"📅 THIS WEEK","⏳ SCHEDULED"))))))</f>
        <v/>
      </c>
      <c r="K1086" s="20">
        <f>IF($F1086="",999,IF($G1086&gt;=5,9999,IF($I1086="",999,$I1086-TODAY())))</f>
        <v/>
      </c>
    </row>
    <row r="1087">
      <c r="A1087" s="34">
        <f>ROW()-2</f>
        <v/>
      </c>
      <c r="B1087" s="35" t="inlineStr">
        <is>
          <t>S9</t>
        </is>
      </c>
      <c r="C1087" s="35" t="inlineStr">
        <is>
          <t>Santé mentale</t>
        </is>
      </c>
      <c r="D1087" s="35" t="inlineStr">
        <is>
          <t>Psychiatrie clinique</t>
        </is>
      </c>
      <c r="E1087" s="35" t="inlineStr">
        <is>
          <t>Trouble panique</t>
        </is>
      </c>
      <c r="F1087" s="18" t="n"/>
      <c r="G1087" s="19" t="n"/>
      <c r="H1087" s="20">
        <f>IF($G1087="",1,IF($G1087=0,1,IF($G1087=1,3,IF($G1087=2,7,IF($G1087=3,14,IF($G1087=4,30,60))))))</f>
        <v/>
      </c>
      <c r="I1087" s="21">
        <f>IF($F1087="","",$F1087+$H1087)</f>
        <v/>
      </c>
      <c r="J1087">
        <f>IF($F1087="","⚪ NEW",IF($G1087&gt;=5,"✅ DONE",IF($I1087&lt;TODAY(),"🔴 OVERDUE",IF($I1087=TODAY(),"🟢 TODAY",IF($I1087=TODAY()+1,"🔵 TOMORROW",IF($I1087&lt;=TODAY()+7,"📅 THIS WEEK","⏳ SCHEDULED"))))))</f>
        <v/>
      </c>
      <c r="K1087" s="20">
        <f>IF($F1087="",999,IF($G1087&gt;=5,9999,IF($I1087="",999,$I1087-TODAY())))</f>
        <v/>
      </c>
    </row>
    <row r="1088">
      <c r="A1088" s="34">
        <f>ROW()-2</f>
        <v/>
      </c>
      <c r="B1088" s="35" t="inlineStr">
        <is>
          <t>S9</t>
        </is>
      </c>
      <c r="C1088" s="35" t="inlineStr">
        <is>
          <t>Santé mentale</t>
        </is>
      </c>
      <c r="D1088" s="35" t="inlineStr">
        <is>
          <t>Psychiatrie clinique</t>
        </is>
      </c>
      <c r="E1088" s="35" t="inlineStr">
        <is>
          <t>Troubles phobiques</t>
        </is>
      </c>
      <c r="F1088" s="18" t="n"/>
      <c r="G1088" s="19" t="n"/>
      <c r="H1088" s="20">
        <f>IF($G1088="",1,IF($G1088=0,1,IF($G1088=1,3,IF($G1088=2,7,IF($G1088=3,14,IF($G1088=4,30,60))))))</f>
        <v/>
      </c>
      <c r="I1088" s="21">
        <f>IF($F1088="","",$F1088+$H1088)</f>
        <v/>
      </c>
      <c r="J1088">
        <f>IF($F1088="","⚪ NEW",IF($G1088&gt;=5,"✅ DONE",IF($I1088&lt;TODAY(),"🔴 OVERDUE",IF($I1088=TODAY(),"🟢 TODAY",IF($I1088=TODAY()+1,"🔵 TOMORROW",IF($I1088&lt;=TODAY()+7,"📅 THIS WEEK","⏳ SCHEDULED"))))))</f>
        <v/>
      </c>
      <c r="K1088" s="20">
        <f>IF($F1088="",999,IF($G1088&gt;=5,9999,IF($I1088="",999,$I1088-TODAY())))</f>
        <v/>
      </c>
    </row>
    <row r="1089">
      <c r="A1089" s="34">
        <f>ROW()-2</f>
        <v/>
      </c>
      <c r="B1089" s="35" t="inlineStr">
        <is>
          <t>S9</t>
        </is>
      </c>
      <c r="C1089" s="35" t="inlineStr">
        <is>
          <t>Santé mentale</t>
        </is>
      </c>
      <c r="D1089" s="35" t="inlineStr">
        <is>
          <t>Psychiatrie clinique</t>
        </is>
      </c>
      <c r="E1089" s="35" t="inlineStr">
        <is>
          <t>Trouble obsessionnel compulsif (TOC)</t>
        </is>
      </c>
      <c r="F1089" s="18" t="n"/>
      <c r="G1089" s="19" t="n"/>
      <c r="H1089" s="20">
        <f>IF($G1089="",1,IF($G1089=0,1,IF($G1089=1,3,IF($G1089=2,7,IF($G1089=3,14,IF($G1089=4,30,60))))))</f>
        <v/>
      </c>
      <c r="I1089" s="21">
        <f>IF($F1089="","",$F1089+$H1089)</f>
        <v/>
      </c>
      <c r="J1089">
        <f>IF($F1089="","⚪ NEW",IF($G1089&gt;=5,"✅ DONE",IF($I1089&lt;TODAY(),"🔴 OVERDUE",IF($I1089=TODAY(),"🟢 TODAY",IF($I1089=TODAY()+1,"🔵 TOMORROW",IF($I1089&lt;=TODAY()+7,"📅 THIS WEEK","⏳ SCHEDULED"))))))</f>
        <v/>
      </c>
      <c r="K1089" s="20">
        <f>IF($F1089="",999,IF($G1089&gt;=5,9999,IF($I1089="",999,$I1089-TODAY())))</f>
        <v/>
      </c>
    </row>
    <row r="1090">
      <c r="A1090" s="34">
        <f>ROW()-2</f>
        <v/>
      </c>
      <c r="B1090" s="35" t="inlineStr">
        <is>
          <t>S9</t>
        </is>
      </c>
      <c r="C1090" s="35" t="inlineStr">
        <is>
          <t>Santé mentale</t>
        </is>
      </c>
      <c r="D1090" s="35" t="inlineStr">
        <is>
          <t>Psychiatrie clinique</t>
        </is>
      </c>
      <c r="E1090" s="35" t="inlineStr">
        <is>
          <t>Trouble de stress post-traumatique (PTSD)</t>
        </is>
      </c>
      <c r="F1090" s="18" t="n"/>
      <c r="G1090" s="19" t="n"/>
      <c r="H1090" s="20">
        <f>IF($G1090="",1,IF($G1090=0,1,IF($G1090=1,3,IF($G1090=2,7,IF($G1090=3,14,IF($G1090=4,30,60))))))</f>
        <v/>
      </c>
      <c r="I1090" s="21">
        <f>IF($F1090="","",$F1090+$H1090)</f>
        <v/>
      </c>
      <c r="J1090">
        <f>IF($F1090="","⚪ NEW",IF($G1090&gt;=5,"✅ DONE",IF($I1090&lt;TODAY(),"🔴 OVERDUE",IF($I1090=TODAY(),"🟢 TODAY",IF($I1090=TODAY()+1,"🔵 TOMORROW",IF($I1090&lt;=TODAY()+7,"📅 THIS WEEK","⏳ SCHEDULED"))))))</f>
        <v/>
      </c>
      <c r="K1090" s="20">
        <f>IF($F1090="",999,IF($G1090&gt;=5,9999,IF($I1090="",999,$I1090-TODAY())))</f>
        <v/>
      </c>
    </row>
    <row r="1091">
      <c r="A1091" s="34">
        <f>ROW()-2</f>
        <v/>
      </c>
      <c r="B1091" s="35" t="inlineStr">
        <is>
          <t>S9</t>
        </is>
      </c>
      <c r="C1091" s="35" t="inlineStr">
        <is>
          <t>Santé mentale</t>
        </is>
      </c>
      <c r="D1091" s="35" t="inlineStr">
        <is>
          <t>Psychiatrie clinique</t>
        </is>
      </c>
      <c r="E1091" s="35" t="inlineStr">
        <is>
          <t>Les addictions aux produits</t>
        </is>
      </c>
      <c r="F1091" s="18" t="n"/>
      <c r="G1091" s="19" t="n"/>
      <c r="H1091" s="20">
        <f>IF($G1091="",1,IF($G1091=0,1,IF($G1091=1,3,IF($G1091=2,7,IF($G1091=3,14,IF($G1091=4,30,60))))))</f>
        <v/>
      </c>
      <c r="I1091" s="21">
        <f>IF($F1091="","",$F1091+$H1091)</f>
        <v/>
      </c>
      <c r="J1091">
        <f>IF($F1091="","⚪ NEW",IF($G1091&gt;=5,"✅ DONE",IF($I1091&lt;TODAY(),"🔴 OVERDUE",IF($I1091=TODAY(),"🟢 TODAY",IF($I1091=TODAY()+1,"🔵 TOMORROW",IF($I1091&lt;=TODAY()+7,"📅 THIS WEEK","⏳ SCHEDULED"))))))</f>
        <v/>
      </c>
      <c r="K1091" s="20">
        <f>IF($F1091="",999,IF($G1091&gt;=5,9999,IF($I1091="",999,$I1091-TODAY())))</f>
        <v/>
      </c>
    </row>
    <row r="1092">
      <c r="A1092" s="34">
        <f>ROW()-2</f>
        <v/>
      </c>
      <c r="B1092" s="35" t="inlineStr">
        <is>
          <t>S9</t>
        </is>
      </c>
      <c r="C1092" s="35" t="inlineStr">
        <is>
          <t>Santé mentale</t>
        </is>
      </c>
      <c r="D1092" s="35" t="inlineStr">
        <is>
          <t>Psychiatrie clinique</t>
        </is>
      </c>
      <c r="E1092" s="35" t="inlineStr">
        <is>
          <t>Alcoolisme</t>
        </is>
      </c>
      <c r="F1092" s="18" t="n"/>
      <c r="G1092" s="19" t="n"/>
      <c r="H1092" s="20">
        <f>IF($G1092="",1,IF($G1092=0,1,IF($G1092=1,3,IF($G1092=2,7,IF($G1092=3,14,IF($G1092=4,30,60))))))</f>
        <v/>
      </c>
      <c r="I1092" s="21">
        <f>IF($F1092="","",$F1092+$H1092)</f>
        <v/>
      </c>
      <c r="J1092">
        <f>IF($F1092="","⚪ NEW",IF($G1092&gt;=5,"✅ DONE",IF($I1092&lt;TODAY(),"🔴 OVERDUE",IF($I1092=TODAY(),"🟢 TODAY",IF($I1092=TODAY()+1,"🔵 TOMORROW",IF($I1092&lt;=TODAY()+7,"📅 THIS WEEK","⏳ SCHEDULED"))))))</f>
        <v/>
      </c>
      <c r="K1092" s="20">
        <f>IF($F1092="",999,IF($G1092&gt;=5,9999,IF($I1092="",999,$I1092-TODAY())))</f>
        <v/>
      </c>
    </row>
    <row r="1093">
      <c r="A1093" s="34">
        <f>ROW()-2</f>
        <v/>
      </c>
      <c r="B1093" s="35" t="inlineStr">
        <is>
          <t>S9</t>
        </is>
      </c>
      <c r="C1093" s="35" t="inlineStr">
        <is>
          <t>Santé mentale</t>
        </is>
      </c>
      <c r="D1093" s="35" t="inlineStr">
        <is>
          <t>Psychiatrie clinique</t>
        </is>
      </c>
      <c r="E1093" s="35" t="inlineStr">
        <is>
          <t>Delirium tremens</t>
        </is>
      </c>
      <c r="F1093" s="18" t="n"/>
      <c r="G1093" s="19" t="n"/>
      <c r="H1093" s="20">
        <f>IF($G1093="",1,IF($G1093=0,1,IF($G1093=1,3,IF($G1093=2,7,IF($G1093=3,14,IF($G1093=4,30,60))))))</f>
        <v/>
      </c>
      <c r="I1093" s="21">
        <f>IF($F1093="","",$F1093+$H1093)</f>
        <v/>
      </c>
      <c r="J1093">
        <f>IF($F1093="","⚪ NEW",IF($G1093&gt;=5,"✅ DONE",IF($I1093&lt;TODAY(),"🔴 OVERDUE",IF($I1093=TODAY(),"🟢 TODAY",IF($I1093=TODAY()+1,"🔵 TOMORROW",IF($I1093&lt;=TODAY()+7,"📅 THIS WEEK","⏳ SCHEDULED"))))))</f>
        <v/>
      </c>
      <c r="K1093" s="20">
        <f>IF($F1093="",999,IF($G1093&gt;=5,9999,IF($I1093="",999,$I1093-TODAY())))</f>
        <v/>
      </c>
    </row>
    <row r="1094">
      <c r="A1094" s="34">
        <f>ROW()-2</f>
        <v/>
      </c>
      <c r="B1094" s="35" t="inlineStr">
        <is>
          <t>S9</t>
        </is>
      </c>
      <c r="C1094" s="35" t="inlineStr">
        <is>
          <t>Santé mentale</t>
        </is>
      </c>
      <c r="D1094" s="35" t="inlineStr">
        <is>
          <t>Psychiatrie clinique</t>
        </is>
      </c>
      <c r="E1094" s="35" t="inlineStr">
        <is>
          <t>Risques et conduites suicidaires</t>
        </is>
      </c>
      <c r="F1094" s="18" t="n"/>
      <c r="G1094" s="19" t="n"/>
      <c r="H1094" s="20">
        <f>IF($G1094="",1,IF($G1094=0,1,IF($G1094=1,3,IF($G1094=2,7,IF($G1094=3,14,IF($G1094=4,30,60))))))</f>
        <v/>
      </c>
      <c r="I1094" s="21">
        <f>IF($F1094="","",$F1094+$H1094)</f>
        <v/>
      </c>
      <c r="J1094">
        <f>IF($F1094="","⚪ NEW",IF($G1094&gt;=5,"✅ DONE",IF($I1094&lt;TODAY(),"🔴 OVERDUE",IF($I1094=TODAY(),"🟢 TODAY",IF($I1094=TODAY()+1,"🔵 TOMORROW",IF($I1094&lt;=TODAY()+7,"📅 THIS WEEK","⏳ SCHEDULED"))))))</f>
        <v/>
      </c>
      <c r="K1094" s="20">
        <f>IF($F1094="",999,IF($G1094&gt;=5,9999,IF($I1094="",999,$I1094-TODAY())))</f>
        <v/>
      </c>
    </row>
    <row r="1095">
      <c r="A1095" s="34">
        <f>ROW()-2</f>
        <v/>
      </c>
      <c r="B1095" s="35" t="inlineStr">
        <is>
          <t>S9</t>
        </is>
      </c>
      <c r="C1095" s="35" t="inlineStr">
        <is>
          <t>Santé mentale</t>
        </is>
      </c>
      <c r="D1095" s="35" t="inlineStr">
        <is>
          <t>Psychiatrie clinique</t>
        </is>
      </c>
      <c r="E1095" s="35" t="inlineStr">
        <is>
          <t>Troubles de la personnalité</t>
        </is>
      </c>
      <c r="F1095" s="18" t="n"/>
      <c r="G1095" s="19" t="n"/>
      <c r="H1095" s="20">
        <f>IF($G1095="",1,IF($G1095=0,1,IF($G1095=1,3,IF($G1095=2,7,IF($G1095=3,14,IF($G1095=4,30,60))))))</f>
        <v/>
      </c>
      <c r="I1095" s="21">
        <f>IF($F1095="","",$F1095+$H1095)</f>
        <v/>
      </c>
      <c r="J1095">
        <f>IF($F1095="","⚪ NEW",IF($G1095&gt;=5,"✅ DONE",IF($I1095&lt;TODAY(),"🔴 OVERDUE",IF($I1095=TODAY(),"🟢 TODAY",IF($I1095=TODAY()+1,"🔵 TOMORROW",IF($I1095&lt;=TODAY()+7,"📅 THIS WEEK","⏳ SCHEDULED"))))))</f>
        <v/>
      </c>
      <c r="K1095" s="20">
        <f>IF($F1095="",999,IF($G1095&gt;=5,9999,IF($I1095="",999,$I1095-TODAY())))</f>
        <v/>
      </c>
    </row>
    <row r="1096">
      <c r="A1096" s="34">
        <f>ROW()-2</f>
        <v/>
      </c>
      <c r="B1096" s="35" t="inlineStr">
        <is>
          <t>S9</t>
        </is>
      </c>
      <c r="C1096" s="35" t="inlineStr">
        <is>
          <t>Santé mentale</t>
        </is>
      </c>
      <c r="D1096" s="35" t="inlineStr">
        <is>
          <t>Psychiatrie clinique</t>
        </is>
      </c>
      <c r="E1096" s="35" t="inlineStr">
        <is>
          <t>Hystérie</t>
        </is>
      </c>
      <c r="F1096" s="18" t="n"/>
      <c r="G1096" s="19" t="n"/>
      <c r="H1096" s="20">
        <f>IF($G1096="",1,IF($G1096=0,1,IF($G1096=1,3,IF($G1096=2,7,IF($G1096=3,14,IF($G1096=4,30,60))))))</f>
        <v/>
      </c>
      <c r="I1096" s="21">
        <f>IF($F1096="","",$F1096+$H1096)</f>
        <v/>
      </c>
      <c r="J1096">
        <f>IF($F1096="","⚪ NEW",IF($G1096&gt;=5,"✅ DONE",IF($I1096&lt;TODAY(),"🔴 OVERDUE",IF($I1096=TODAY(),"🟢 TODAY",IF($I1096=TODAY()+1,"🔵 TOMORROW",IF($I1096&lt;=TODAY()+7,"📅 THIS WEEK","⏳ SCHEDULED"))))))</f>
        <v/>
      </c>
      <c r="K1096" s="20">
        <f>IF($F1096="",999,IF($G1096&gt;=5,9999,IF($I1096="",999,$I1096-TODAY())))</f>
        <v/>
      </c>
    </row>
    <row r="1097">
      <c r="A1097" s="34">
        <f>ROW()-2</f>
        <v/>
      </c>
      <c r="B1097" s="35" t="inlineStr">
        <is>
          <t>S9</t>
        </is>
      </c>
      <c r="C1097" s="35" t="inlineStr">
        <is>
          <t>Santé mentale</t>
        </is>
      </c>
      <c r="D1097" s="35" t="inlineStr">
        <is>
          <t>Psychiatrie clinique</t>
        </is>
      </c>
      <c r="E1097" s="35" t="inlineStr">
        <is>
          <t>Troubles des conduites alimentaires (TCA)</t>
        </is>
      </c>
      <c r="F1097" s="18" t="n"/>
      <c r="G1097" s="19" t="n"/>
      <c r="H1097" s="20">
        <f>IF($G1097="",1,IF($G1097=0,1,IF($G1097=1,3,IF($G1097=2,7,IF($G1097=3,14,IF($G1097=4,30,60))))))</f>
        <v/>
      </c>
      <c r="I1097" s="21">
        <f>IF($F1097="","",$F1097+$H1097)</f>
        <v/>
      </c>
      <c r="J1097">
        <f>IF($F1097="","⚪ NEW",IF($G1097&gt;=5,"✅ DONE",IF($I1097&lt;TODAY(),"🔴 OVERDUE",IF($I1097=TODAY(),"🟢 TODAY",IF($I1097=TODAY()+1,"🔵 TOMORROW",IF($I1097&lt;=TODAY()+7,"📅 THIS WEEK","⏳ SCHEDULED"))))))</f>
        <v/>
      </c>
      <c r="K1097" s="20">
        <f>IF($F1097="",999,IF($G1097&gt;=5,9999,IF($I1097="",999,$I1097-TODAY())))</f>
        <v/>
      </c>
    </row>
    <row r="1098">
      <c r="A1098" s="34">
        <f>ROW()-2</f>
        <v/>
      </c>
      <c r="B1098" s="35" t="inlineStr">
        <is>
          <t>S9</t>
        </is>
      </c>
      <c r="C1098" s="35" t="inlineStr">
        <is>
          <t>Santé mentale</t>
        </is>
      </c>
      <c r="D1098" s="35" t="inlineStr">
        <is>
          <t>Psychiatrie clinique</t>
        </is>
      </c>
      <c r="E1098" s="35" t="inlineStr">
        <is>
          <t>Les troubles psychosomatiques</t>
        </is>
      </c>
      <c r="F1098" s="18" t="n"/>
      <c r="G1098" s="19" t="n"/>
      <c r="H1098" s="20">
        <f>IF($G1098="",1,IF($G1098=0,1,IF($G1098=1,3,IF($G1098=2,7,IF($G1098=3,14,IF($G1098=4,30,60))))))</f>
        <v/>
      </c>
      <c r="I1098" s="21">
        <f>IF($F1098="","",$F1098+$H1098)</f>
        <v/>
      </c>
      <c r="J1098">
        <f>IF($F1098="","⚪ NEW",IF($G1098&gt;=5,"✅ DONE",IF($I1098&lt;TODAY(),"🔴 OVERDUE",IF($I1098=TODAY(),"🟢 TODAY",IF($I1098=TODAY()+1,"🔵 TOMORROW",IF($I1098&lt;=TODAY()+7,"📅 THIS WEEK","⏳ SCHEDULED"))))))</f>
        <v/>
      </c>
      <c r="K1098" s="20">
        <f>IF($F1098="",999,IF($G1098&gt;=5,9999,IF($I1098="",999,$I1098-TODAY())))</f>
        <v/>
      </c>
    </row>
    <row r="1099">
      <c r="A1099" s="34">
        <f>ROW()-2</f>
        <v/>
      </c>
      <c r="B1099" s="35" t="inlineStr">
        <is>
          <t>S9</t>
        </is>
      </c>
      <c r="C1099" s="35" t="inlineStr">
        <is>
          <t>Santé mentale</t>
        </is>
      </c>
      <c r="D1099" s="35" t="inlineStr">
        <is>
          <t>Psychiatrie clinique</t>
        </is>
      </c>
      <c r="E1099" s="35" t="inlineStr">
        <is>
          <t>Les troubles psychologiques de la grossesse et du post-partum</t>
        </is>
      </c>
      <c r="F1099" s="18" t="n"/>
      <c r="G1099" s="19" t="n"/>
      <c r="H1099" s="20">
        <f>IF($G1099="",1,IF($G1099=0,1,IF($G1099=1,3,IF($G1099=2,7,IF($G1099=3,14,IF($G1099=4,30,60))))))</f>
        <v/>
      </c>
      <c r="I1099" s="21">
        <f>IF($F1099="","",$F1099+$H1099)</f>
        <v/>
      </c>
      <c r="J1099">
        <f>IF($F1099="","⚪ NEW",IF($G1099&gt;=5,"✅ DONE",IF($I1099&lt;TODAY(),"🔴 OVERDUE",IF($I1099=TODAY(),"🟢 TODAY",IF($I1099=TODAY()+1,"🔵 TOMORROW",IF($I1099&lt;=TODAY()+7,"📅 THIS WEEK","⏳ SCHEDULED"))))))</f>
        <v/>
      </c>
      <c r="K1099" s="20">
        <f>IF($F1099="",999,IF($G1099&gt;=5,9999,IF($I1099="",999,$I1099-TODAY())))</f>
        <v/>
      </c>
    </row>
    <row r="1100">
      <c r="A1100" s="34">
        <f>ROW()-2</f>
        <v/>
      </c>
      <c r="B1100" s="35" t="inlineStr">
        <is>
          <t>S9</t>
        </is>
      </c>
      <c r="C1100" s="35" t="inlineStr">
        <is>
          <t>Santé mentale</t>
        </is>
      </c>
      <c r="D1100" s="35" t="inlineStr">
        <is>
          <t>Psychiatrie clinique</t>
        </is>
      </c>
      <c r="E1100" s="35" t="inlineStr">
        <is>
          <t>Les troubles des conduites sexuelles</t>
        </is>
      </c>
      <c r="F1100" s="18" t="n"/>
      <c r="G1100" s="19" t="n"/>
      <c r="H1100" s="20">
        <f>IF($G1100="",1,IF($G1100=0,1,IF($G1100=1,3,IF($G1100=2,7,IF($G1100=3,14,IF($G1100=4,30,60))))))</f>
        <v/>
      </c>
      <c r="I1100" s="21">
        <f>IF($F1100="","",$F1100+$H1100)</f>
        <v/>
      </c>
      <c r="J1100">
        <f>IF($F1100="","⚪ NEW",IF($G1100&gt;=5,"✅ DONE",IF($I1100&lt;TODAY(),"🔴 OVERDUE",IF($I1100=TODAY(),"🟢 TODAY",IF($I1100=TODAY()+1,"🔵 TOMORROW",IF($I1100&lt;=TODAY()+7,"📅 THIS WEEK","⏳ SCHEDULED"))))))</f>
        <v/>
      </c>
      <c r="K1100" s="20">
        <f>IF($F1100="",999,IF($G1100&gt;=5,9999,IF($I1100="",999,$I1100-TODAY())))</f>
        <v/>
      </c>
    </row>
    <row r="1101">
      <c r="A1101" s="34">
        <f>ROW()-2</f>
        <v/>
      </c>
      <c r="B1101" s="35" t="inlineStr">
        <is>
          <t>S9</t>
        </is>
      </c>
      <c r="C1101" s="35" t="inlineStr">
        <is>
          <t>Santé mentale</t>
        </is>
      </c>
      <c r="D1101" s="35" t="inlineStr">
        <is>
          <t>Psychiatrie clinique</t>
        </is>
      </c>
      <c r="E1101" s="35" t="inlineStr">
        <is>
          <t>Manifestations psychiatriques de l'épilepsie</t>
        </is>
      </c>
      <c r="F1101" s="18" t="n"/>
      <c r="G1101" s="19" t="n"/>
      <c r="H1101" s="20">
        <f>IF($G1101="",1,IF($G1101=0,1,IF($G1101=1,3,IF($G1101=2,7,IF($G1101=3,14,IF($G1101=4,30,60))))))</f>
        <v/>
      </c>
      <c r="I1101" s="21">
        <f>IF($F1101="","",$F1101+$H1101)</f>
        <v/>
      </c>
      <c r="J1101">
        <f>IF($F1101="","⚪ NEW",IF($G1101&gt;=5,"✅ DONE",IF($I1101&lt;TODAY(),"🔴 OVERDUE",IF($I1101=TODAY(),"🟢 TODAY",IF($I1101=TODAY()+1,"🔵 TOMORROW",IF($I1101&lt;=TODAY()+7,"📅 THIS WEEK","⏳ SCHEDULED"))))))</f>
        <v/>
      </c>
      <c r="K1101" s="20">
        <f>IF($F1101="",999,IF($G1101&gt;=5,9999,IF($I1101="",999,$I1101-TODAY())))</f>
        <v/>
      </c>
    </row>
    <row r="1102">
      <c r="A1102" s="34">
        <f>ROW()-2</f>
        <v/>
      </c>
      <c r="B1102" s="35" t="inlineStr">
        <is>
          <t>S9</t>
        </is>
      </c>
      <c r="C1102" s="35" t="inlineStr">
        <is>
          <t>Santé mentale</t>
        </is>
      </c>
      <c r="D1102" s="35" t="inlineStr">
        <is>
          <t>Psychiatrie clinique</t>
        </is>
      </c>
      <c r="E1102" s="35" t="inlineStr">
        <is>
          <t>Manifestations psychiatriques de la neurosyphilis</t>
        </is>
      </c>
      <c r="F1102" s="18" t="n"/>
      <c r="G1102" s="19" t="n"/>
      <c r="H1102" s="20">
        <f>IF($G1102="",1,IF($G1102=0,1,IF($G1102=1,3,IF($G1102=2,7,IF($G1102=3,14,IF($G1102=4,30,60))))))</f>
        <v/>
      </c>
      <c r="I1102" s="21">
        <f>IF($F1102="","",$F1102+$H1102)</f>
        <v/>
      </c>
      <c r="J1102">
        <f>IF($F1102="","⚪ NEW",IF($G1102&gt;=5,"✅ DONE",IF($I1102&lt;TODAY(),"🔴 OVERDUE",IF($I1102=TODAY(),"🟢 TODAY",IF($I1102=TODAY()+1,"🔵 TOMORROW",IF($I1102&lt;=TODAY()+7,"📅 THIS WEEK","⏳ SCHEDULED"))))))</f>
        <v/>
      </c>
      <c r="K1102" s="20">
        <f>IF($F1102="",999,IF($G1102&gt;=5,9999,IF($I1102="",999,$I1102-TODAY())))</f>
        <v/>
      </c>
    </row>
    <row r="1103">
      <c r="A1103" s="34">
        <f>ROW()-2</f>
        <v/>
      </c>
      <c r="B1103" s="35" t="inlineStr">
        <is>
          <t>S9</t>
        </is>
      </c>
      <c r="C1103" s="35" t="inlineStr">
        <is>
          <t>Santé mentale</t>
        </is>
      </c>
      <c r="D1103" s="35" t="inlineStr">
        <is>
          <t>Psychiatrie clinique</t>
        </is>
      </c>
      <c r="E1103" s="35" t="inlineStr">
        <is>
          <t>Psychothérapie</t>
        </is>
      </c>
      <c r="F1103" s="18" t="n"/>
      <c r="G1103" s="19" t="n"/>
      <c r="H1103" s="20">
        <f>IF($G1103="",1,IF($G1103=0,1,IF($G1103=1,3,IF($G1103=2,7,IF($G1103=3,14,IF($G1103=4,30,60))))))</f>
        <v/>
      </c>
      <c r="I1103" s="21">
        <f>IF($F1103="","",$F1103+$H1103)</f>
        <v/>
      </c>
      <c r="J1103">
        <f>IF($F1103="","⚪ NEW",IF($G1103&gt;=5,"✅ DONE",IF($I1103&lt;TODAY(),"🔴 OVERDUE",IF($I1103=TODAY(),"🟢 TODAY",IF($I1103=TODAY()+1,"🔵 TOMORROW",IF($I1103&lt;=TODAY()+7,"📅 THIS WEEK","⏳ SCHEDULED"))))))</f>
        <v/>
      </c>
      <c r="K1103" s="20">
        <f>IF($F1103="",999,IF($G1103&gt;=5,9999,IF($I1103="",999,$I1103-TODAY())))</f>
        <v/>
      </c>
    </row>
    <row r="1104">
      <c r="A1104" s="34">
        <f>ROW()-2</f>
        <v/>
      </c>
      <c r="B1104" s="35" t="inlineStr">
        <is>
          <t>S9</t>
        </is>
      </c>
      <c r="C1104" s="35" t="inlineStr">
        <is>
          <t>Santé mentale</t>
        </is>
      </c>
      <c r="D1104" s="35" t="inlineStr">
        <is>
          <t>Psychiatrie clinique</t>
        </is>
      </c>
      <c r="E1104" s="35" t="inlineStr">
        <is>
          <t>Trouble du spectre de l'autisme (TSA)</t>
        </is>
      </c>
      <c r="F1104" s="18" t="n"/>
      <c r="G1104" s="19" t="n"/>
      <c r="H1104" s="20">
        <f>IF($G1104="",1,IF($G1104=0,1,IF($G1104=1,3,IF($G1104=2,7,IF($G1104=3,14,IF($G1104=4,30,60))))))</f>
        <v/>
      </c>
      <c r="I1104" s="21">
        <f>IF($F1104="","",$F1104+$H1104)</f>
        <v/>
      </c>
      <c r="J1104">
        <f>IF($F1104="","⚪ NEW",IF($G1104&gt;=5,"✅ DONE",IF($I1104&lt;TODAY(),"🔴 OVERDUE",IF($I1104=TODAY(),"🟢 TODAY",IF($I1104=TODAY()+1,"🔵 TOMORROW",IF($I1104&lt;=TODAY()+7,"📅 THIS WEEK","⏳ SCHEDULED"))))))</f>
        <v/>
      </c>
      <c r="K1104" s="20">
        <f>IF($F1104="",999,IF($G1104&gt;=5,9999,IF($I1104="",999,$I1104-TODAY())))</f>
        <v/>
      </c>
    </row>
    <row r="1105">
      <c r="A1105" s="34">
        <f>ROW()-2</f>
        <v/>
      </c>
      <c r="B1105" s="35" t="inlineStr">
        <is>
          <t>S9</t>
        </is>
      </c>
      <c r="C1105" s="35" t="inlineStr">
        <is>
          <t>Santé mentale</t>
        </is>
      </c>
      <c r="D1105" s="35" t="inlineStr">
        <is>
          <t>Psychiatrie clinique</t>
        </is>
      </c>
      <c r="E1105" s="35" t="inlineStr">
        <is>
          <t>Dépression de l'enfant et de l'adolescent</t>
        </is>
      </c>
      <c r="F1105" s="18" t="n"/>
      <c r="G1105" s="19" t="n"/>
      <c r="H1105" s="20">
        <f>IF($G1105="",1,IF($G1105=0,1,IF($G1105=1,3,IF($G1105=2,7,IF($G1105=3,14,IF($G1105=4,30,60))))))</f>
        <v/>
      </c>
      <c r="I1105" s="21">
        <f>IF($F1105="","",$F1105+$H1105)</f>
        <v/>
      </c>
      <c r="J1105">
        <f>IF($F1105="","⚪ NEW",IF($G1105&gt;=5,"✅ DONE",IF($I1105&lt;TODAY(),"🔴 OVERDUE",IF($I1105=TODAY(),"🟢 TODAY",IF($I1105=TODAY()+1,"🔵 TOMORROW",IF($I1105&lt;=TODAY()+7,"📅 THIS WEEK","⏳ SCHEDULED"))))))</f>
        <v/>
      </c>
      <c r="K1105" s="20">
        <f>IF($F1105="",999,IF($G1105&gt;=5,9999,IF($I1105="",999,$I1105-TODAY())))</f>
        <v/>
      </c>
    </row>
    <row r="1106">
      <c r="A1106" s="34">
        <f>ROW()-2</f>
        <v/>
      </c>
      <c r="B1106" s="35" t="inlineStr">
        <is>
          <t>S9</t>
        </is>
      </c>
      <c r="C1106" s="35" t="inlineStr">
        <is>
          <t>Santé mentale</t>
        </is>
      </c>
      <c r="D1106" s="35" t="inlineStr">
        <is>
          <t>Psychiatrie clinique</t>
        </is>
      </c>
      <c r="E1106" s="35" t="inlineStr">
        <is>
          <t>Maltraitance et sévices</t>
        </is>
      </c>
      <c r="F1106" s="18" t="n"/>
      <c r="G1106" s="19" t="n"/>
      <c r="H1106" s="20">
        <f>IF($G1106="",1,IF($G1106=0,1,IF($G1106=1,3,IF($G1106=2,7,IF($G1106=3,14,IF($G1106=4,30,60))))))</f>
        <v/>
      </c>
      <c r="I1106" s="21">
        <f>IF($F1106="","",$F1106+$H1106)</f>
        <v/>
      </c>
      <c r="J1106">
        <f>IF($F1106="","⚪ NEW",IF($G1106&gt;=5,"✅ DONE",IF($I1106&lt;TODAY(),"🔴 OVERDUE",IF($I1106=TODAY(),"🟢 TODAY",IF($I1106=TODAY()+1,"🔵 TOMORROW",IF($I1106&lt;=TODAY()+7,"📅 THIS WEEK","⏳ SCHEDULED"))))))</f>
        <v/>
      </c>
      <c r="K1106" s="20">
        <f>IF($F1106="",999,IF($G1106&gt;=5,9999,IF($I1106="",999,$I1106-TODAY())))</f>
        <v/>
      </c>
    </row>
    <row r="1107">
      <c r="A1107" s="34">
        <f>ROW()-2</f>
        <v/>
      </c>
      <c r="B1107" s="35" t="inlineStr">
        <is>
          <t>S9</t>
        </is>
      </c>
      <c r="C1107" s="35" t="inlineStr">
        <is>
          <t>Santé mentale</t>
        </is>
      </c>
      <c r="D1107" s="35" t="inlineStr">
        <is>
          <t>Psychiatrie clinique</t>
        </is>
      </c>
      <c r="E1107" s="35" t="inlineStr">
        <is>
          <t>TDAH</t>
        </is>
      </c>
      <c r="F1107" s="18" t="n"/>
      <c r="G1107" s="19" t="n"/>
      <c r="H1107" s="20">
        <f>IF($G1107="",1,IF($G1107=0,1,IF($G1107=1,3,IF($G1107=2,7,IF($G1107=3,14,IF($G1107=4,30,60))))))</f>
        <v/>
      </c>
      <c r="I1107" s="21">
        <f>IF($F1107="","",$F1107+$H1107)</f>
        <v/>
      </c>
      <c r="J1107">
        <f>IF($F1107="","⚪ NEW",IF($G1107&gt;=5,"✅ DONE",IF($I1107&lt;TODAY(),"🔴 OVERDUE",IF($I1107=TODAY(),"🟢 TODAY",IF($I1107=TODAY()+1,"🔵 TOMORROW",IF($I1107&lt;=TODAY()+7,"📅 THIS WEEK","⏳ SCHEDULED"))))))</f>
        <v/>
      </c>
      <c r="K1107" s="20">
        <f>IF($F1107="",999,IF($G1107&gt;=5,9999,IF($I1107="",999,$I1107-TODAY())))</f>
        <v/>
      </c>
    </row>
    <row r="1108">
      <c r="A1108" s="34">
        <f>ROW()-2</f>
        <v/>
      </c>
      <c r="B1108" s="35" t="inlineStr">
        <is>
          <t>S9</t>
        </is>
      </c>
      <c r="C1108" s="35" t="inlineStr">
        <is>
          <t>Santé mentale</t>
        </is>
      </c>
      <c r="D1108" s="35" t="inlineStr">
        <is>
          <t>Psychiatrie clinique</t>
        </is>
      </c>
      <c r="E1108" s="35" t="inlineStr">
        <is>
          <t>L'échec scolaire (difficultés scolaires)</t>
        </is>
      </c>
      <c r="F1108" s="18" t="n"/>
      <c r="G1108" s="19" t="n"/>
      <c r="H1108" s="20">
        <f>IF($G1108="",1,IF($G1108=0,1,IF($G1108=1,3,IF($G1108=2,7,IF($G1108=3,14,IF($G1108=4,30,60))))))</f>
        <v/>
      </c>
      <c r="I1108" s="21">
        <f>IF($F1108="","",$F1108+$H1108)</f>
        <v/>
      </c>
      <c r="J1108">
        <f>IF($F1108="","⚪ NEW",IF($G1108&gt;=5,"✅ DONE",IF($I1108&lt;TODAY(),"🔴 OVERDUE",IF($I1108=TODAY(),"🟢 TODAY",IF($I1108=TODAY()+1,"🔵 TOMORROW",IF($I1108&lt;=TODAY()+7,"📅 THIS WEEK","⏳ SCHEDULED"))))))</f>
        <v/>
      </c>
      <c r="K1108" s="20">
        <f>IF($F1108="",999,IF($G1108&gt;=5,9999,IF($I1108="",999,$I1108-TODAY())))</f>
        <v/>
      </c>
    </row>
    <row r="1109">
      <c r="A1109" s="34">
        <f>ROW()-2</f>
        <v/>
      </c>
      <c r="B1109" s="35" t="inlineStr">
        <is>
          <t>S9</t>
        </is>
      </c>
      <c r="C1109" s="35" t="inlineStr">
        <is>
          <t>Santé mentale</t>
        </is>
      </c>
      <c r="D1109" s="35" t="inlineStr">
        <is>
          <t>Psychopharmacologie</t>
        </is>
      </c>
      <c r="E1109" s="35" t="inlineStr">
        <is>
          <t>Les antidépresseurs</t>
        </is>
      </c>
      <c r="F1109" s="18" t="n"/>
      <c r="G1109" s="19" t="n"/>
      <c r="H1109" s="20">
        <f>IF($G1109="",1,IF($G1109=0,1,IF($G1109=1,3,IF($G1109=2,7,IF($G1109=3,14,IF($G1109=4,30,60))))))</f>
        <v/>
      </c>
      <c r="I1109" s="21">
        <f>IF($F1109="","",$F1109+$H1109)</f>
        <v/>
      </c>
      <c r="J1109">
        <f>IF($F1109="","⚪ NEW",IF($G1109&gt;=5,"✅ DONE",IF($I1109&lt;TODAY(),"🔴 OVERDUE",IF($I1109=TODAY(),"🟢 TODAY",IF($I1109=TODAY()+1,"🔵 TOMORROW",IF($I1109&lt;=TODAY()+7,"📅 THIS WEEK","⏳ SCHEDULED"))))))</f>
        <v/>
      </c>
      <c r="K1109" s="20">
        <f>IF($F1109="",999,IF($G1109&gt;=5,9999,IF($I1109="",999,$I1109-TODAY())))</f>
        <v/>
      </c>
    </row>
    <row r="1110">
      <c r="A1110" s="34">
        <f>ROW()-2</f>
        <v/>
      </c>
      <c r="B1110" s="35" t="inlineStr">
        <is>
          <t>S9</t>
        </is>
      </c>
      <c r="C1110" s="35" t="inlineStr">
        <is>
          <t>Santé mentale</t>
        </is>
      </c>
      <c r="D1110" s="35" t="inlineStr">
        <is>
          <t>Psychopharmacologie</t>
        </is>
      </c>
      <c r="E1110" s="35" t="inlineStr">
        <is>
          <t>Les antipsychotiques</t>
        </is>
      </c>
      <c r="F1110" s="18" t="n"/>
      <c r="G1110" s="19" t="n"/>
      <c r="H1110" s="20">
        <f>IF($G1110="",1,IF($G1110=0,1,IF($G1110=1,3,IF($G1110=2,7,IF($G1110=3,14,IF($G1110=4,30,60))))))</f>
        <v/>
      </c>
      <c r="I1110" s="21">
        <f>IF($F1110="","",$F1110+$H1110)</f>
        <v/>
      </c>
      <c r="J1110">
        <f>IF($F1110="","⚪ NEW",IF($G1110&gt;=5,"✅ DONE",IF($I1110&lt;TODAY(),"🔴 OVERDUE",IF($I1110=TODAY(),"🟢 TODAY",IF($I1110=TODAY()+1,"🔵 TOMORROW",IF($I1110&lt;=TODAY()+7,"📅 THIS WEEK","⏳ SCHEDULED"))))))</f>
        <v/>
      </c>
      <c r="K1110" s="20">
        <f>IF($F1110="",999,IF($G1110&gt;=5,9999,IF($I1110="",999,$I1110-TODAY())))</f>
        <v/>
      </c>
    </row>
    <row r="1111">
      <c r="A1111" s="34">
        <f>ROW()-2</f>
        <v/>
      </c>
      <c r="B1111" s="35" t="inlineStr">
        <is>
          <t>S9</t>
        </is>
      </c>
      <c r="C1111" s="35" t="inlineStr">
        <is>
          <t>Santé mentale</t>
        </is>
      </c>
      <c r="D1111" s="35" t="inlineStr">
        <is>
          <t>Psychopharmacologie</t>
        </is>
      </c>
      <c r="E1111" s="35" t="inlineStr">
        <is>
          <t>Les anxiolytiques</t>
        </is>
      </c>
      <c r="F1111" s="18" t="n"/>
      <c r="G1111" s="19" t="n"/>
      <c r="H1111" s="20">
        <f>IF($G1111="",1,IF($G1111=0,1,IF($G1111=1,3,IF($G1111=2,7,IF($G1111=3,14,IF($G1111=4,30,60))))))</f>
        <v/>
      </c>
      <c r="I1111" s="21">
        <f>IF($F1111="","",$F1111+$H1111)</f>
        <v/>
      </c>
      <c r="J1111">
        <f>IF($F1111="","⚪ NEW",IF($G1111&gt;=5,"✅ DONE",IF($I1111&lt;TODAY(),"🔴 OVERDUE",IF($I1111=TODAY(),"🟢 TODAY",IF($I1111=TODAY()+1,"🔵 TOMORROW",IF($I1111&lt;=TODAY()+7,"📅 THIS WEEK","⏳ SCHEDULED"))))))</f>
        <v/>
      </c>
      <c r="K1111" s="20">
        <f>IF($F1111="",999,IF($G1111&gt;=5,9999,IF($I1111="",999,$I1111-TODAY())))</f>
        <v/>
      </c>
    </row>
    <row r="1112">
      <c r="A1112" s="34">
        <f>ROW()-2</f>
        <v/>
      </c>
      <c r="B1112" s="35" t="inlineStr">
        <is>
          <t>S9</t>
        </is>
      </c>
      <c r="C1112" s="35" t="inlineStr">
        <is>
          <t>Santé mentale</t>
        </is>
      </c>
      <c r="D1112" s="35" t="inlineStr">
        <is>
          <t>Psychopharmacologie</t>
        </is>
      </c>
      <c r="E1112" s="35" t="inlineStr">
        <is>
          <t>Les hypnotiques</t>
        </is>
      </c>
      <c r="F1112" s="18" t="n"/>
      <c r="G1112" s="19" t="n"/>
      <c r="H1112" s="20">
        <f>IF($G1112="",1,IF($G1112=0,1,IF($G1112=1,3,IF($G1112=2,7,IF($G1112=3,14,IF($G1112=4,30,60))))))</f>
        <v/>
      </c>
      <c r="I1112" s="21">
        <f>IF($F1112="","",$F1112+$H1112)</f>
        <v/>
      </c>
      <c r="J1112">
        <f>IF($F1112="","⚪ NEW",IF($G1112&gt;=5,"✅ DONE",IF($I1112&lt;TODAY(),"🔴 OVERDUE",IF($I1112=TODAY(),"🟢 TODAY",IF($I1112=TODAY()+1,"🔵 TOMORROW",IF($I1112&lt;=TODAY()+7,"📅 THIS WEEK","⏳ SCHEDULED"))))))</f>
        <v/>
      </c>
      <c r="K1112" s="20">
        <f>IF($F1112="",999,IF($G1112&gt;=5,9999,IF($I1112="",999,$I1112-TODAY())))</f>
        <v/>
      </c>
    </row>
    <row r="1113">
      <c r="A1113" s="34">
        <f>ROW()-2</f>
        <v/>
      </c>
      <c r="B1113" s="35" t="inlineStr">
        <is>
          <t>S9</t>
        </is>
      </c>
      <c r="C1113" s="35" t="inlineStr">
        <is>
          <t>Santé mentale</t>
        </is>
      </c>
      <c r="D1113" s="35" t="inlineStr">
        <is>
          <t>Psychopharmacologie</t>
        </is>
      </c>
      <c r="E1113" s="35" t="inlineStr">
        <is>
          <t>Les thymorégulateurs</t>
        </is>
      </c>
      <c r="F1113" s="18" t="n"/>
      <c r="G1113" s="19" t="n"/>
      <c r="H1113" s="20">
        <f>IF($G1113="",1,IF($G1113=0,1,IF($G1113=1,3,IF($G1113=2,7,IF($G1113=3,14,IF($G1113=4,30,60))))))</f>
        <v/>
      </c>
      <c r="I1113" s="21">
        <f>IF($F1113="","",$F1113+$H1113)</f>
        <v/>
      </c>
      <c r="J1113">
        <f>IF($F1113="","⚪ NEW",IF($G1113&gt;=5,"✅ DONE",IF($I1113&lt;TODAY(),"🔴 OVERDUE",IF($I1113=TODAY(),"🟢 TODAY",IF($I1113=TODAY()+1,"🔵 TOMORROW",IF($I1113&lt;=TODAY()+7,"📅 THIS WEEK","⏳ SCHEDULED"))))))</f>
        <v/>
      </c>
      <c r="K1113" s="20">
        <f>IF($F1113="",999,IF($G1113&gt;=5,9999,IF($I1113="",999,$I1113-TODAY())))</f>
        <v/>
      </c>
    </row>
    <row r="1114">
      <c r="A1114" s="34">
        <f>ROW()-2</f>
        <v/>
      </c>
      <c r="B1114" s="35" t="inlineStr">
        <is>
          <t>S9</t>
        </is>
      </c>
      <c r="C1114" s="35" t="inlineStr">
        <is>
          <t>Santé mentale</t>
        </is>
      </c>
      <c r="D1114" s="35" t="inlineStr">
        <is>
          <t>Psychopharmacologie</t>
        </is>
      </c>
      <c r="E1114" s="35" t="inlineStr">
        <is>
          <t>Sismothérapie et stimulation magnétique transcrânienne (SMT)</t>
        </is>
      </c>
      <c r="F1114" s="18" t="n"/>
      <c r="G1114" s="19" t="n"/>
      <c r="H1114" s="20">
        <f>IF($G1114="",1,IF($G1114=0,1,IF($G1114=1,3,IF($G1114=2,7,IF($G1114=3,14,IF($G1114=4,30,60))))))</f>
        <v/>
      </c>
      <c r="I1114" s="21">
        <f>IF($F1114="","",$F1114+$H1114)</f>
        <v/>
      </c>
      <c r="J1114">
        <f>IF($F1114="","⚪ NEW",IF($G1114&gt;=5,"✅ DONE",IF($I1114&lt;TODAY(),"🔴 OVERDUE",IF($I1114=TODAY(),"🟢 TODAY",IF($I1114=TODAY()+1,"🔵 TOMORROW",IF($I1114&lt;=TODAY()+7,"📅 THIS WEEK","⏳ SCHEDULED"))))))</f>
        <v/>
      </c>
      <c r="K1114" s="20">
        <f>IF($F1114="",999,IF($G1114&gt;=5,9999,IF($I1114="",999,$I1114-TODAY())))</f>
        <v/>
      </c>
    </row>
    <row r="1115">
      <c r="A1115" s="36">
        <f>ROW()-2</f>
        <v/>
      </c>
      <c r="B1115" s="37" t="inlineStr">
        <is>
          <t>S9</t>
        </is>
      </c>
      <c r="C1115" s="37" t="inlineStr">
        <is>
          <t>ORL - Maxillo-facial - Ophtalmologie</t>
        </is>
      </c>
      <c r="D1115" s="37" t="inlineStr">
        <is>
          <t>Maxillo-facial</t>
        </is>
      </c>
      <c r="E1115" s="37" t="inlineStr">
        <is>
          <t>Les cellulites cervico-faciales d'origine dentaire</t>
        </is>
      </c>
      <c r="F1115" s="18" t="n"/>
      <c r="G1115" s="19" t="n"/>
      <c r="H1115" s="20">
        <f>IF($G1115="",1,IF($G1115=0,1,IF($G1115=1,3,IF($G1115=2,7,IF($G1115=3,14,IF($G1115=4,30,60))))))</f>
        <v/>
      </c>
      <c r="I1115" s="21">
        <f>IF($F1115="","",$F1115+$H1115)</f>
        <v/>
      </c>
      <c r="J1115">
        <f>IF($F1115="","⚪ NEW",IF($G1115&gt;=5,"✅ DONE",IF($I1115&lt;TODAY(),"🔴 OVERDUE",IF($I1115=TODAY(),"🟢 TODAY",IF($I1115=TODAY()+1,"🔵 TOMORROW",IF($I1115&lt;=TODAY()+7,"📅 THIS WEEK","⏳ SCHEDULED"))))))</f>
        <v/>
      </c>
      <c r="K1115" s="20">
        <f>IF($F1115="",999,IF($G1115&gt;=5,9999,IF($I1115="",999,$I1115-TODAY())))</f>
        <v/>
      </c>
    </row>
    <row r="1116">
      <c r="A1116" s="36">
        <f>ROW()-2</f>
        <v/>
      </c>
      <c r="B1116" s="37" t="inlineStr">
        <is>
          <t>S9</t>
        </is>
      </c>
      <c r="C1116" s="37" t="inlineStr">
        <is>
          <t>ORL - Maxillo-facial - Ophtalmologie</t>
        </is>
      </c>
      <c r="D1116" s="37" t="inlineStr">
        <is>
          <t>Maxillo-facial</t>
        </is>
      </c>
      <c r="E1116" s="37" t="inlineStr">
        <is>
          <t>Les tumeurs bénignes des maxillaires</t>
        </is>
      </c>
      <c r="F1116" s="18" t="n"/>
      <c r="G1116" s="19" t="n"/>
      <c r="H1116" s="20">
        <f>IF($G1116="",1,IF($G1116=0,1,IF($G1116=1,3,IF($G1116=2,7,IF($G1116=3,14,IF($G1116=4,30,60))))))</f>
        <v/>
      </c>
      <c r="I1116" s="21">
        <f>IF($F1116="","",$F1116+$H1116)</f>
        <v/>
      </c>
      <c r="J1116">
        <f>IF($F1116="","⚪ NEW",IF($G1116&gt;=5,"✅ DONE",IF($I1116&lt;TODAY(),"🔴 OVERDUE",IF($I1116=TODAY(),"🟢 TODAY",IF($I1116=TODAY()+1,"🔵 TOMORROW",IF($I1116&lt;=TODAY()+7,"📅 THIS WEEK","⏳ SCHEDULED"))))))</f>
        <v/>
      </c>
      <c r="K1116" s="20">
        <f>IF($F1116="",999,IF($G1116&gt;=5,9999,IF($I1116="",999,$I1116-TODAY())))</f>
        <v/>
      </c>
    </row>
    <row r="1117">
      <c r="A1117" s="36">
        <f>ROW()-2</f>
        <v/>
      </c>
      <c r="B1117" s="37" t="inlineStr">
        <is>
          <t>S9</t>
        </is>
      </c>
      <c r="C1117" s="37" t="inlineStr">
        <is>
          <t>ORL - Maxillo-facial - Ophtalmologie</t>
        </is>
      </c>
      <c r="D1117" s="37" t="inlineStr">
        <is>
          <t>Maxillo-facial</t>
        </is>
      </c>
      <c r="E1117" s="37" t="inlineStr">
        <is>
          <t>Les tumeurs malignes des maxillaires</t>
        </is>
      </c>
      <c r="F1117" s="18" t="n"/>
      <c r="G1117" s="19" t="n"/>
      <c r="H1117" s="20">
        <f>IF($G1117="",1,IF($G1117=0,1,IF($G1117=1,3,IF($G1117=2,7,IF($G1117=3,14,IF($G1117=4,30,60))))))</f>
        <v/>
      </c>
      <c r="I1117" s="21">
        <f>IF($F1117="","",$F1117+$H1117)</f>
        <v/>
      </c>
      <c r="J1117">
        <f>IF($F1117="","⚪ NEW",IF($G1117&gt;=5,"✅ DONE",IF($I1117&lt;TODAY(),"🔴 OVERDUE",IF($I1117=TODAY(),"🟢 TODAY",IF($I1117=TODAY()+1,"🔵 TOMORROW",IF($I1117&lt;=TODAY()+7,"📅 THIS WEEK","⏳ SCHEDULED"))))))</f>
        <v/>
      </c>
      <c r="K1117" s="20">
        <f>IF($F1117="",999,IF($G1117&gt;=5,9999,IF($I1117="",999,$I1117-TODAY())))</f>
        <v/>
      </c>
    </row>
    <row r="1118">
      <c r="A1118" s="36">
        <f>ROW()-2</f>
        <v/>
      </c>
      <c r="B1118" s="37" t="inlineStr">
        <is>
          <t>S9</t>
        </is>
      </c>
      <c r="C1118" s="37" t="inlineStr">
        <is>
          <t>ORL - Maxillo-facial - Ophtalmologie</t>
        </is>
      </c>
      <c r="D1118" s="37" t="inlineStr">
        <is>
          <t>Maxillo-facial</t>
        </is>
      </c>
      <c r="E1118" s="37" t="inlineStr">
        <is>
          <t>La pathologie des glandes salivaires</t>
        </is>
      </c>
      <c r="F1118" s="18" t="n"/>
      <c r="G1118" s="19" t="n"/>
      <c r="H1118" s="20">
        <f>IF($G1118="",1,IF($G1118=0,1,IF($G1118=1,3,IF($G1118=2,7,IF($G1118=3,14,IF($G1118=4,30,60))))))</f>
        <v/>
      </c>
      <c r="I1118" s="21">
        <f>IF($F1118="","",$F1118+$H1118)</f>
        <v/>
      </c>
      <c r="J1118">
        <f>IF($F1118="","⚪ NEW",IF($G1118&gt;=5,"✅ DONE",IF($I1118&lt;TODAY(),"🔴 OVERDUE",IF($I1118=TODAY(),"🟢 TODAY",IF($I1118=TODAY()+1,"🔵 TOMORROW",IF($I1118&lt;=TODAY()+7,"📅 THIS WEEK","⏳ SCHEDULED"))))))</f>
        <v/>
      </c>
      <c r="K1118" s="20">
        <f>IF($F1118="",999,IF($G1118&gt;=5,9999,IF($I1118="",999,$I1118-TODAY())))</f>
        <v/>
      </c>
    </row>
    <row r="1119">
      <c r="A1119" s="36">
        <f>ROW()-2</f>
        <v/>
      </c>
      <c r="B1119" s="37" t="inlineStr">
        <is>
          <t>S9</t>
        </is>
      </c>
      <c r="C1119" s="37" t="inlineStr">
        <is>
          <t>ORL - Maxillo-facial - Ophtalmologie</t>
        </is>
      </c>
      <c r="D1119" s="37" t="inlineStr">
        <is>
          <t>Maxillo-facial</t>
        </is>
      </c>
      <c r="E1119" s="37" t="inlineStr">
        <is>
          <t>Limitation de l'ouverture buccale</t>
        </is>
      </c>
      <c r="F1119" s="18" t="n"/>
      <c r="G1119" s="19" t="n"/>
      <c r="H1119" s="20">
        <f>IF($G1119="",1,IF($G1119=0,1,IF($G1119=1,3,IF($G1119=2,7,IF($G1119=3,14,IF($G1119=4,30,60))))))</f>
        <v/>
      </c>
      <c r="I1119" s="21">
        <f>IF($F1119="","",$F1119+$H1119)</f>
        <v/>
      </c>
      <c r="J1119">
        <f>IF($F1119="","⚪ NEW",IF($G1119&gt;=5,"✅ DONE",IF($I1119&lt;TODAY(),"🔴 OVERDUE",IF($I1119=TODAY(),"🟢 TODAY",IF($I1119=TODAY()+1,"🔵 TOMORROW",IF($I1119&lt;=TODAY()+7,"📅 THIS WEEK","⏳ SCHEDULED"))))))</f>
        <v/>
      </c>
      <c r="K1119" s="20">
        <f>IF($F1119="",999,IF($G1119&gt;=5,9999,IF($I1119="",999,$I1119-TODAY())))</f>
        <v/>
      </c>
    </row>
    <row r="1120">
      <c r="A1120" s="36">
        <f>ROW()-2</f>
        <v/>
      </c>
      <c r="B1120" s="37" t="inlineStr">
        <is>
          <t>S9</t>
        </is>
      </c>
      <c r="C1120" s="37" t="inlineStr">
        <is>
          <t>ORL - Maxillo-facial - Ophtalmologie</t>
        </is>
      </c>
      <c r="D1120" s="37" t="inlineStr">
        <is>
          <t>Maxillo-facial</t>
        </is>
      </c>
      <c r="E1120" s="37" t="inlineStr">
        <is>
          <t>Ankylose temporo-mandibulaire</t>
        </is>
      </c>
      <c r="F1120" s="18" t="n"/>
      <c r="G1120" s="19" t="n"/>
      <c r="H1120" s="20">
        <f>IF($G1120="",1,IF($G1120=0,1,IF($G1120=1,3,IF($G1120=2,7,IF($G1120=3,14,IF($G1120=4,30,60))))))</f>
        <v/>
      </c>
      <c r="I1120" s="21">
        <f>IF($F1120="","",$F1120+$H1120)</f>
        <v/>
      </c>
      <c r="J1120">
        <f>IF($F1120="","⚪ NEW",IF($G1120&gt;=5,"✅ DONE",IF($I1120&lt;TODAY(),"🔴 OVERDUE",IF($I1120=TODAY(),"🟢 TODAY",IF($I1120=TODAY()+1,"🔵 TOMORROW",IF($I1120&lt;=TODAY()+7,"📅 THIS WEEK","⏳ SCHEDULED"))))))</f>
        <v/>
      </c>
      <c r="K1120" s="20">
        <f>IF($F1120="",999,IF($G1120&gt;=5,9999,IF($I1120="",999,$I1120-TODAY())))</f>
        <v/>
      </c>
    </row>
    <row r="1121">
      <c r="A1121" s="36">
        <f>ROW()-2</f>
        <v/>
      </c>
      <c r="B1121" s="37" t="inlineStr">
        <is>
          <t>S9</t>
        </is>
      </c>
      <c r="C1121" s="37" t="inlineStr">
        <is>
          <t>ORL - Maxillo-facial - Ophtalmologie</t>
        </is>
      </c>
      <c r="D1121" s="37" t="inlineStr">
        <is>
          <t>Maxillo-facial</t>
        </is>
      </c>
      <c r="E1121" s="37" t="inlineStr">
        <is>
          <t>Cancers de la cavité buccale</t>
        </is>
      </c>
      <c r="F1121" s="18" t="n"/>
      <c r="G1121" s="19" t="n"/>
      <c r="H1121" s="20">
        <f>IF($G1121="",1,IF($G1121=0,1,IF($G1121=1,3,IF($G1121=2,7,IF($G1121=3,14,IF($G1121=4,30,60))))))</f>
        <v/>
      </c>
      <c r="I1121" s="21">
        <f>IF($F1121="","",$F1121+$H1121)</f>
        <v/>
      </c>
      <c r="J1121">
        <f>IF($F1121="","⚪ NEW",IF($G1121&gt;=5,"✅ DONE",IF($I1121&lt;TODAY(),"🔴 OVERDUE",IF($I1121=TODAY(),"🟢 TODAY",IF($I1121=TODAY()+1,"🔵 TOMORROW",IF($I1121&lt;=TODAY()+7,"📅 THIS WEEK","⏳ SCHEDULED"))))))</f>
        <v/>
      </c>
      <c r="K1121" s="20">
        <f>IF($F1121="",999,IF($G1121&gt;=5,9999,IF($I1121="",999,$I1121-TODAY())))</f>
        <v/>
      </c>
    </row>
    <row r="1122">
      <c r="A1122" s="36">
        <f>ROW()-2</f>
        <v/>
      </c>
      <c r="B1122" s="37" t="inlineStr">
        <is>
          <t>S9</t>
        </is>
      </c>
      <c r="C1122" s="37" t="inlineStr">
        <is>
          <t>ORL - Maxillo-facial - Ophtalmologie</t>
        </is>
      </c>
      <c r="D1122" s="37" t="inlineStr">
        <is>
          <t>Maxillo-facial</t>
        </is>
      </c>
      <c r="E1122" s="37" t="inlineStr">
        <is>
          <t>Urgences faciales</t>
        </is>
      </c>
      <c r="F1122" s="18" t="n"/>
      <c r="G1122" s="19" t="n"/>
      <c r="H1122" s="20">
        <f>IF($G1122="",1,IF($G1122=0,1,IF($G1122=1,3,IF($G1122=2,7,IF($G1122=3,14,IF($G1122=4,30,60))))))</f>
        <v/>
      </c>
      <c r="I1122" s="21">
        <f>IF($F1122="","",$F1122+$H1122)</f>
        <v/>
      </c>
      <c r="J1122">
        <f>IF($F1122="","⚪ NEW",IF($G1122&gt;=5,"✅ DONE",IF($I1122&lt;TODAY(),"🔴 OVERDUE",IF($I1122=TODAY(),"🟢 TODAY",IF($I1122=TODAY()+1,"🔵 TOMORROW",IF($I1122&lt;=TODAY()+7,"📅 THIS WEEK","⏳ SCHEDULED"))))))</f>
        <v/>
      </c>
      <c r="K1122" s="20">
        <f>IF($F1122="",999,IF($G1122&gt;=5,9999,IF($I1122="",999,$I1122-TODAY())))</f>
        <v/>
      </c>
    </row>
    <row r="1123">
      <c r="A1123" s="36">
        <f>ROW()-2</f>
        <v/>
      </c>
      <c r="B1123" s="37" t="inlineStr">
        <is>
          <t>S9</t>
        </is>
      </c>
      <c r="C1123" s="37" t="inlineStr">
        <is>
          <t>ORL - Maxillo-facial - Ophtalmologie</t>
        </is>
      </c>
      <c r="D1123" s="37" t="inlineStr">
        <is>
          <t>Maxillo-facial</t>
        </is>
      </c>
      <c r="E1123" s="37" t="inlineStr">
        <is>
          <t>Fractures du massif facial</t>
        </is>
      </c>
      <c r="F1123" s="18" t="n"/>
      <c r="G1123" s="19" t="n"/>
      <c r="H1123" s="20">
        <f>IF($G1123="",1,IF($G1123=0,1,IF($G1123=1,3,IF($G1123=2,7,IF($G1123=3,14,IF($G1123=4,30,60))))))</f>
        <v/>
      </c>
      <c r="I1123" s="21">
        <f>IF($F1123="","",$F1123+$H1123)</f>
        <v/>
      </c>
      <c r="J1123">
        <f>IF($F1123="","⚪ NEW",IF($G1123&gt;=5,"✅ DONE",IF($I1123&lt;TODAY(),"🔴 OVERDUE",IF($I1123=TODAY(),"🟢 TODAY",IF($I1123=TODAY()+1,"🔵 TOMORROW",IF($I1123&lt;=TODAY()+7,"📅 THIS WEEK","⏳ SCHEDULED"))))))</f>
        <v/>
      </c>
      <c r="K1123" s="20">
        <f>IF($F1123="",999,IF($G1123&gt;=5,9999,IF($I1123="",999,$I1123-TODAY())))</f>
        <v/>
      </c>
    </row>
    <row r="1124">
      <c r="A1124" s="36">
        <f>ROW()-2</f>
        <v/>
      </c>
      <c r="B1124" s="37" t="inlineStr">
        <is>
          <t>S9</t>
        </is>
      </c>
      <c r="C1124" s="37" t="inlineStr">
        <is>
          <t>ORL - Maxillo-facial - Ophtalmologie</t>
        </is>
      </c>
      <c r="D1124" s="37" t="inlineStr">
        <is>
          <t>Maxillo-facial</t>
        </is>
      </c>
      <c r="E1124" s="37" t="inlineStr">
        <is>
          <t>Fracture mandibulaire</t>
        </is>
      </c>
      <c r="F1124" s="18" t="n"/>
      <c r="G1124" s="19" t="n"/>
      <c r="H1124" s="20">
        <f>IF($G1124="",1,IF($G1124=0,1,IF($G1124=1,3,IF($G1124=2,7,IF($G1124=3,14,IF($G1124=4,30,60))))))</f>
        <v/>
      </c>
      <c r="I1124" s="21">
        <f>IF($F1124="","",$F1124+$H1124)</f>
        <v/>
      </c>
      <c r="J1124">
        <f>IF($F1124="","⚪ NEW",IF($G1124&gt;=5,"✅ DONE",IF($I1124&lt;TODAY(),"🔴 OVERDUE",IF($I1124=TODAY(),"🟢 TODAY",IF($I1124=TODAY()+1,"🔵 TOMORROW",IF($I1124&lt;=TODAY()+7,"📅 THIS WEEK","⏳ SCHEDULED"))))))</f>
        <v/>
      </c>
      <c r="K1124" s="20">
        <f>IF($F1124="",999,IF($G1124&gt;=5,9999,IF($I1124="",999,$I1124-TODAY())))</f>
        <v/>
      </c>
    </row>
    <row r="1125">
      <c r="A1125" s="36">
        <f>ROW()-2</f>
        <v/>
      </c>
      <c r="B1125" s="37" t="inlineStr">
        <is>
          <t>S9</t>
        </is>
      </c>
      <c r="C1125" s="37" t="inlineStr">
        <is>
          <t>ORL - Maxillo-facial - Ophtalmologie</t>
        </is>
      </c>
      <c r="D1125" s="37" t="inlineStr">
        <is>
          <t>Maxillo-facial</t>
        </is>
      </c>
      <c r="E1125" s="37" t="inlineStr">
        <is>
          <t>Plaies de la face</t>
        </is>
      </c>
      <c r="F1125" s="18" t="n"/>
      <c r="G1125" s="19" t="n"/>
      <c r="H1125" s="20">
        <f>IF($G1125="",1,IF($G1125=0,1,IF($G1125=1,3,IF($G1125=2,7,IF($G1125=3,14,IF($G1125=4,30,60))))))</f>
        <v/>
      </c>
      <c r="I1125" s="21">
        <f>IF($F1125="","",$F1125+$H1125)</f>
        <v/>
      </c>
      <c r="J1125">
        <f>IF($F1125="","⚪ NEW",IF($G1125&gt;=5,"✅ DONE",IF($I1125&lt;TODAY(),"🔴 OVERDUE",IF($I1125=TODAY(),"🟢 TODAY",IF($I1125=TODAY()+1,"🔵 TOMORROW",IF($I1125&lt;=TODAY()+7,"📅 THIS WEEK","⏳ SCHEDULED"))))))</f>
        <v/>
      </c>
      <c r="K1125" s="20">
        <f>IF($F1125="",999,IF($G1125&gt;=5,9999,IF($I1125="",999,$I1125-TODAY())))</f>
        <v/>
      </c>
    </row>
    <row r="1126">
      <c r="A1126" s="36">
        <f>ROW()-2</f>
        <v/>
      </c>
      <c r="B1126" s="37" t="inlineStr">
        <is>
          <t>S9</t>
        </is>
      </c>
      <c r="C1126" s="37" t="inlineStr">
        <is>
          <t>ORL - Maxillo-facial - Ophtalmologie</t>
        </is>
      </c>
      <c r="D1126" s="37" t="inlineStr">
        <is>
          <t>ORL</t>
        </is>
      </c>
      <c r="E1126" s="37" t="inlineStr">
        <is>
          <t>Otite moyenne aiguë</t>
        </is>
      </c>
      <c r="F1126" s="18" t="n"/>
      <c r="G1126" s="19" t="n"/>
      <c r="H1126" s="20">
        <f>IF($G1126="",1,IF($G1126=0,1,IF($G1126=1,3,IF($G1126=2,7,IF($G1126=3,14,IF($G1126=4,30,60))))))</f>
        <v/>
      </c>
      <c r="I1126" s="21">
        <f>IF($F1126="","",$F1126+$H1126)</f>
        <v/>
      </c>
      <c r="J1126">
        <f>IF($F1126="","⚪ NEW",IF($G1126&gt;=5,"✅ DONE",IF($I1126&lt;TODAY(),"🔴 OVERDUE",IF($I1126=TODAY(),"🟢 TODAY",IF($I1126=TODAY()+1,"🔵 TOMORROW",IF($I1126&lt;=TODAY()+7,"📅 THIS WEEK","⏳ SCHEDULED"))))))</f>
        <v/>
      </c>
      <c r="K1126" s="20">
        <f>IF($F1126="",999,IF($G1126&gt;=5,9999,IF($I1126="",999,$I1126-TODAY())))</f>
        <v/>
      </c>
    </row>
    <row r="1127">
      <c r="A1127" s="36">
        <f>ROW()-2</f>
        <v/>
      </c>
      <c r="B1127" s="37" t="inlineStr">
        <is>
          <t>S9</t>
        </is>
      </c>
      <c r="C1127" s="37" t="inlineStr">
        <is>
          <t>ORL - Maxillo-facial - Ophtalmologie</t>
        </is>
      </c>
      <c r="D1127" s="37" t="inlineStr">
        <is>
          <t>ORL</t>
        </is>
      </c>
      <c r="E1127" s="37" t="inlineStr">
        <is>
          <t>Otites moyennes chroniques simples</t>
        </is>
      </c>
      <c r="F1127" s="18" t="n"/>
      <c r="G1127" s="19" t="n"/>
      <c r="H1127" s="20">
        <f>IF($G1127="",1,IF($G1127=0,1,IF($G1127=1,3,IF($G1127=2,7,IF($G1127=3,14,IF($G1127=4,30,60))))))</f>
        <v/>
      </c>
      <c r="I1127" s="21">
        <f>IF($F1127="","",$F1127+$H1127)</f>
        <v/>
      </c>
      <c r="J1127">
        <f>IF($F1127="","⚪ NEW",IF($G1127&gt;=5,"✅ DONE",IF($I1127&lt;TODAY(),"🔴 OVERDUE",IF($I1127=TODAY(),"🟢 TODAY",IF($I1127=TODAY()+1,"🔵 TOMORROW",IF($I1127&lt;=TODAY()+7,"📅 THIS WEEK","⏳ SCHEDULED"))))))</f>
        <v/>
      </c>
      <c r="K1127" s="20">
        <f>IF($F1127="",999,IF($G1127&gt;=5,9999,IF($I1127="",999,$I1127-TODAY())))</f>
        <v/>
      </c>
    </row>
    <row r="1128">
      <c r="A1128" s="36">
        <f>ROW()-2</f>
        <v/>
      </c>
      <c r="B1128" s="37" t="inlineStr">
        <is>
          <t>S9</t>
        </is>
      </c>
      <c r="C1128" s="37" t="inlineStr">
        <is>
          <t>ORL - Maxillo-facial - Ophtalmologie</t>
        </is>
      </c>
      <c r="D1128" s="37" t="inlineStr">
        <is>
          <t>ORL</t>
        </is>
      </c>
      <c r="E1128" s="37" t="inlineStr">
        <is>
          <t>Otites moyennes chroniques dangereuses</t>
        </is>
      </c>
      <c r="F1128" s="18" t="n"/>
      <c r="G1128" s="19" t="n"/>
      <c r="H1128" s="20">
        <f>IF($G1128="",1,IF($G1128=0,1,IF($G1128=1,3,IF($G1128=2,7,IF($G1128=3,14,IF($G1128=4,30,60))))))</f>
        <v/>
      </c>
      <c r="I1128" s="21">
        <f>IF($F1128="","",$F1128+$H1128)</f>
        <v/>
      </c>
      <c r="J1128">
        <f>IF($F1128="","⚪ NEW",IF($G1128&gt;=5,"✅ DONE",IF($I1128&lt;TODAY(),"🔴 OVERDUE",IF($I1128=TODAY(),"🟢 TODAY",IF($I1128=TODAY()+1,"🔵 TOMORROW",IF($I1128&lt;=TODAY()+7,"📅 THIS WEEK","⏳ SCHEDULED"))))))</f>
        <v/>
      </c>
      <c r="K1128" s="20">
        <f>IF($F1128="",999,IF($G1128&gt;=5,9999,IF($I1128="",999,$I1128-TODAY())))</f>
        <v/>
      </c>
    </row>
    <row r="1129">
      <c r="A1129" s="36">
        <f>ROW()-2</f>
        <v/>
      </c>
      <c r="B1129" s="37" t="inlineStr">
        <is>
          <t>S9</t>
        </is>
      </c>
      <c r="C1129" s="37" t="inlineStr">
        <is>
          <t>ORL - Maxillo-facial - Ophtalmologie</t>
        </is>
      </c>
      <c r="D1129" s="37" t="inlineStr">
        <is>
          <t>ORL</t>
        </is>
      </c>
      <c r="E1129" s="37" t="inlineStr">
        <is>
          <t>Otospongiose</t>
        </is>
      </c>
      <c r="F1129" s="18" t="n"/>
      <c r="G1129" s="19" t="n"/>
      <c r="H1129" s="20">
        <f>IF($G1129="",1,IF($G1129=0,1,IF($G1129=1,3,IF($G1129=2,7,IF($G1129=3,14,IF($G1129=4,30,60))))))</f>
        <v/>
      </c>
      <c r="I1129" s="21">
        <f>IF($F1129="","",$F1129+$H1129)</f>
        <v/>
      </c>
      <c r="J1129">
        <f>IF($F1129="","⚪ NEW",IF($G1129&gt;=5,"✅ DONE",IF($I1129&lt;TODAY(),"🔴 OVERDUE",IF($I1129=TODAY(),"🟢 TODAY",IF($I1129=TODAY()+1,"🔵 TOMORROW",IF($I1129&lt;=TODAY()+7,"📅 THIS WEEK","⏳ SCHEDULED"))))))</f>
        <v/>
      </c>
      <c r="K1129" s="20">
        <f>IF($F1129="",999,IF($G1129&gt;=5,9999,IF($I1129="",999,$I1129-TODAY())))</f>
        <v/>
      </c>
    </row>
    <row r="1130">
      <c r="A1130" s="36">
        <f>ROW()-2</f>
        <v/>
      </c>
      <c r="B1130" s="37" t="inlineStr">
        <is>
          <t>S9</t>
        </is>
      </c>
      <c r="C1130" s="37" t="inlineStr">
        <is>
          <t>ORL - Maxillo-facial - Ophtalmologie</t>
        </is>
      </c>
      <c r="D1130" s="37" t="inlineStr">
        <is>
          <t>ORL</t>
        </is>
      </c>
      <c r="E1130" s="37" t="inlineStr">
        <is>
          <t>Paralysie faciale périphérique</t>
        </is>
      </c>
      <c r="F1130" s="18" t="n"/>
      <c r="G1130" s="19" t="n"/>
      <c r="H1130" s="20">
        <f>IF($G1130="",1,IF($G1130=0,1,IF($G1130=1,3,IF($G1130=2,7,IF($G1130=3,14,IF($G1130=4,30,60))))))</f>
        <v/>
      </c>
      <c r="I1130" s="21">
        <f>IF($F1130="","",$F1130+$H1130)</f>
        <v/>
      </c>
      <c r="J1130">
        <f>IF($F1130="","⚪ NEW",IF($G1130&gt;=5,"✅ DONE",IF($I1130&lt;TODAY(),"🔴 OVERDUE",IF($I1130=TODAY(),"🟢 TODAY",IF($I1130=TODAY()+1,"🔵 TOMORROW",IF($I1130&lt;=TODAY()+7,"📅 THIS WEEK","⏳ SCHEDULED"))))))</f>
        <v/>
      </c>
      <c r="K1130" s="20">
        <f>IF($F1130="",999,IF($G1130&gt;=5,9999,IF($I1130="",999,$I1130-TODAY())))</f>
        <v/>
      </c>
    </row>
    <row r="1131">
      <c r="A1131" s="36">
        <f>ROW()-2</f>
        <v/>
      </c>
      <c r="B1131" s="37" t="inlineStr">
        <is>
          <t>S9</t>
        </is>
      </c>
      <c r="C1131" s="37" t="inlineStr">
        <is>
          <t>ORL - Maxillo-facial - Ophtalmologie</t>
        </is>
      </c>
      <c r="D1131" s="37" t="inlineStr">
        <is>
          <t>ORL</t>
        </is>
      </c>
      <c r="E1131" s="37" t="inlineStr">
        <is>
          <t>Les angines</t>
        </is>
      </c>
      <c r="F1131" s="18" t="n"/>
      <c r="G1131" s="19" t="n"/>
      <c r="H1131" s="20">
        <f>IF($G1131="",1,IF($G1131=0,1,IF($G1131=1,3,IF($G1131=2,7,IF($G1131=3,14,IF($G1131=4,30,60))))))</f>
        <v/>
      </c>
      <c r="I1131" s="21">
        <f>IF($F1131="","",$F1131+$H1131)</f>
        <v/>
      </c>
      <c r="J1131">
        <f>IF($F1131="","⚪ NEW",IF($G1131&gt;=5,"✅ DONE",IF($I1131&lt;TODAY(),"🔴 OVERDUE",IF($I1131=TODAY(),"🟢 TODAY",IF($I1131=TODAY()+1,"🔵 TOMORROW",IF($I1131&lt;=TODAY()+7,"📅 THIS WEEK","⏳ SCHEDULED"))))))</f>
        <v/>
      </c>
      <c r="K1131" s="20">
        <f>IF($F1131="",999,IF($G1131&gt;=5,9999,IF($I1131="",999,$I1131-TODAY())))</f>
        <v/>
      </c>
    </row>
    <row r="1132">
      <c r="A1132" s="36">
        <f>ROW()-2</f>
        <v/>
      </c>
      <c r="B1132" s="37" t="inlineStr">
        <is>
          <t>S9</t>
        </is>
      </c>
      <c r="C1132" s="37" t="inlineStr">
        <is>
          <t>ORL - Maxillo-facial - Ophtalmologie</t>
        </is>
      </c>
      <c r="D1132" s="37" t="inlineStr">
        <is>
          <t>ORL</t>
        </is>
      </c>
      <c r="E1132" s="37" t="inlineStr">
        <is>
          <t>Rhinite allergique</t>
        </is>
      </c>
      <c r="F1132" s="18" t="n"/>
      <c r="G1132" s="19" t="n"/>
      <c r="H1132" s="20">
        <f>IF($G1132="",1,IF($G1132=0,1,IF($G1132=1,3,IF($G1132=2,7,IF($G1132=3,14,IF($G1132=4,30,60))))))</f>
        <v/>
      </c>
      <c r="I1132" s="21">
        <f>IF($F1132="","",$F1132+$H1132)</f>
        <v/>
      </c>
      <c r="J1132">
        <f>IF($F1132="","⚪ NEW",IF($G1132&gt;=5,"✅ DONE",IF($I1132&lt;TODAY(),"🔴 OVERDUE",IF($I1132=TODAY(),"🟢 TODAY",IF($I1132=TODAY()+1,"🔵 TOMORROW",IF($I1132&lt;=TODAY()+7,"📅 THIS WEEK","⏳ SCHEDULED"))))))</f>
        <v/>
      </c>
      <c r="K1132" s="20">
        <f>IF($F1132="",999,IF($G1132&gt;=5,9999,IF($I1132="",999,$I1132-TODAY())))</f>
        <v/>
      </c>
    </row>
    <row r="1133">
      <c r="A1133" s="36">
        <f>ROW()-2</f>
        <v/>
      </c>
      <c r="B1133" s="37" t="inlineStr">
        <is>
          <t>S9</t>
        </is>
      </c>
      <c r="C1133" s="37" t="inlineStr">
        <is>
          <t>ORL - Maxillo-facial - Ophtalmologie</t>
        </is>
      </c>
      <c r="D1133" s="37" t="inlineStr">
        <is>
          <t>ORL</t>
        </is>
      </c>
      <c r="E1133" s="37" t="inlineStr">
        <is>
          <t>CAT devant un nodule thyroïdien</t>
        </is>
      </c>
      <c r="F1133" s="18" t="n"/>
      <c r="G1133" s="19" t="n"/>
      <c r="H1133" s="20">
        <f>IF($G1133="",1,IF($G1133=0,1,IF($G1133=1,3,IF($G1133=2,7,IF($G1133=3,14,IF($G1133=4,30,60))))))</f>
        <v/>
      </c>
      <c r="I1133" s="21">
        <f>IF($F1133="","",$F1133+$H1133)</f>
        <v/>
      </c>
      <c r="J1133">
        <f>IF($F1133="","⚪ NEW",IF($G1133&gt;=5,"✅ DONE",IF($I1133&lt;TODAY(),"🔴 OVERDUE",IF($I1133=TODAY(),"🟢 TODAY",IF($I1133=TODAY()+1,"🔵 TOMORROW",IF($I1133&lt;=TODAY()+7,"📅 THIS WEEK","⏳ SCHEDULED"))))))</f>
        <v/>
      </c>
      <c r="K1133" s="20">
        <f>IF($F1133="",999,IF($G1133&gt;=5,9999,IF($I1133="",999,$I1133-TODAY())))</f>
        <v/>
      </c>
    </row>
    <row r="1134">
      <c r="A1134" s="36">
        <f>ROW()-2</f>
        <v/>
      </c>
      <c r="B1134" s="37" t="inlineStr">
        <is>
          <t>S9</t>
        </is>
      </c>
      <c r="C1134" s="37" t="inlineStr">
        <is>
          <t>ORL - Maxillo-facial - Ophtalmologie</t>
        </is>
      </c>
      <c r="D1134" s="37" t="inlineStr">
        <is>
          <t>ORL</t>
        </is>
      </c>
      <c r="E1134" s="37" t="inlineStr">
        <is>
          <t>CAT devant une adénopathie cervicale</t>
        </is>
      </c>
      <c r="F1134" s="18" t="n"/>
      <c r="G1134" s="19" t="n"/>
      <c r="H1134" s="20">
        <f>IF($G1134="",1,IF($G1134=0,1,IF($G1134=1,3,IF($G1134=2,7,IF($G1134=3,14,IF($G1134=4,30,60))))))</f>
        <v/>
      </c>
      <c r="I1134" s="21">
        <f>IF($F1134="","",$F1134+$H1134)</f>
        <v/>
      </c>
      <c r="J1134">
        <f>IF($F1134="","⚪ NEW",IF($G1134&gt;=5,"✅ DONE",IF($I1134&lt;TODAY(),"🔴 OVERDUE",IF($I1134=TODAY(),"🟢 TODAY",IF($I1134=TODAY()+1,"🔵 TOMORROW",IF($I1134&lt;=TODAY()+7,"📅 THIS WEEK","⏳ SCHEDULED"))))))</f>
        <v/>
      </c>
      <c r="K1134" s="20">
        <f>IF($F1134="",999,IF($G1134&gt;=5,9999,IF($I1134="",999,$I1134-TODAY())))</f>
        <v/>
      </c>
    </row>
    <row r="1135">
      <c r="A1135" s="36">
        <f>ROW()-2</f>
        <v/>
      </c>
      <c r="B1135" s="37" t="inlineStr">
        <is>
          <t>S9</t>
        </is>
      </c>
      <c r="C1135" s="37" t="inlineStr">
        <is>
          <t>ORL - Maxillo-facial - Ophtalmologie</t>
        </is>
      </c>
      <c r="D1135" s="37" t="inlineStr">
        <is>
          <t>ORL</t>
        </is>
      </c>
      <c r="E1135" s="37" t="inlineStr">
        <is>
          <t>Cancer du larynx</t>
        </is>
      </c>
      <c r="F1135" s="18" t="n"/>
      <c r="G1135" s="19" t="n"/>
      <c r="H1135" s="20">
        <f>IF($G1135="",1,IF($G1135=0,1,IF($G1135=1,3,IF($G1135=2,7,IF($G1135=3,14,IF($G1135=4,30,60))))))</f>
        <v/>
      </c>
      <c r="I1135" s="21">
        <f>IF($F1135="","",$F1135+$H1135)</f>
        <v/>
      </c>
      <c r="J1135">
        <f>IF($F1135="","⚪ NEW",IF($G1135&gt;=5,"✅ DONE",IF($I1135&lt;TODAY(),"🔴 OVERDUE",IF($I1135=TODAY(),"🟢 TODAY",IF($I1135=TODAY()+1,"🔵 TOMORROW",IF($I1135&lt;=TODAY()+7,"📅 THIS WEEK","⏳ SCHEDULED"))))))</f>
        <v/>
      </c>
      <c r="K1135" s="20">
        <f>IF($F1135="",999,IF($G1135&gt;=5,9999,IF($I1135="",999,$I1135-TODAY())))</f>
        <v/>
      </c>
    </row>
    <row r="1136">
      <c r="A1136" s="36">
        <f>ROW()-2</f>
        <v/>
      </c>
      <c r="B1136" s="37" t="inlineStr">
        <is>
          <t>S9</t>
        </is>
      </c>
      <c r="C1136" s="37" t="inlineStr">
        <is>
          <t>ORL - Maxillo-facial - Ophtalmologie</t>
        </is>
      </c>
      <c r="D1136" s="37" t="inlineStr">
        <is>
          <t>ORL</t>
        </is>
      </c>
      <c r="E1136" s="37" t="inlineStr">
        <is>
          <t>Cancer du cavum</t>
        </is>
      </c>
      <c r="F1136" s="18" t="n"/>
      <c r="G1136" s="19" t="n"/>
      <c r="H1136" s="20">
        <f>IF($G1136="",1,IF($G1136=0,1,IF($G1136=1,3,IF($G1136=2,7,IF($G1136=3,14,IF($G1136=4,30,60))))))</f>
        <v/>
      </c>
      <c r="I1136" s="21">
        <f>IF($F1136="","",$F1136+$H1136)</f>
        <v/>
      </c>
      <c r="J1136">
        <f>IF($F1136="","⚪ NEW",IF($G1136&gt;=5,"✅ DONE",IF($I1136&lt;TODAY(),"🔴 OVERDUE",IF($I1136=TODAY(),"🟢 TODAY",IF($I1136=TODAY()+1,"🔵 TOMORROW",IF($I1136&lt;=TODAY()+7,"📅 THIS WEEK","⏳ SCHEDULED"))))))</f>
        <v/>
      </c>
      <c r="K1136" s="20">
        <f>IF($F1136="",999,IF($G1136&gt;=5,9999,IF($I1136="",999,$I1136-TODAY())))</f>
        <v/>
      </c>
    </row>
    <row r="1137">
      <c r="A1137" s="36">
        <f>ROW()-2</f>
        <v/>
      </c>
      <c r="B1137" s="37" t="inlineStr">
        <is>
          <t>S9</t>
        </is>
      </c>
      <c r="C1137" s="37" t="inlineStr">
        <is>
          <t>ORL - Maxillo-facial - Ophtalmologie</t>
        </is>
      </c>
      <c r="D1137" s="37" t="inlineStr">
        <is>
          <t>ORL</t>
        </is>
      </c>
      <c r="E1137" s="37" t="inlineStr">
        <is>
          <t>Cancer de la langue</t>
        </is>
      </c>
      <c r="F1137" s="18" t="n"/>
      <c r="G1137" s="19" t="n"/>
      <c r="H1137" s="20">
        <f>IF($G1137="",1,IF($G1137=0,1,IF($G1137=1,3,IF($G1137=2,7,IF($G1137=3,14,IF($G1137=4,30,60))))))</f>
        <v/>
      </c>
      <c r="I1137" s="21">
        <f>IF($F1137="","",$F1137+$H1137)</f>
        <v/>
      </c>
      <c r="J1137">
        <f>IF($F1137="","⚪ NEW",IF($G1137&gt;=5,"✅ DONE",IF($I1137&lt;TODAY(),"🔴 OVERDUE",IF($I1137=TODAY(),"🟢 TODAY",IF($I1137=TODAY()+1,"🔵 TOMORROW",IF($I1137&lt;=TODAY()+7,"📅 THIS WEEK","⏳ SCHEDULED"))))))</f>
        <v/>
      </c>
      <c r="K1137" s="20">
        <f>IF($F1137="",999,IF($G1137&gt;=5,9999,IF($I1137="",999,$I1137-TODAY())))</f>
        <v/>
      </c>
    </row>
    <row r="1138">
      <c r="A1138" s="36">
        <f>ROW()-2</f>
        <v/>
      </c>
      <c r="B1138" s="37" t="inlineStr">
        <is>
          <t>S9</t>
        </is>
      </c>
      <c r="C1138" s="37" t="inlineStr">
        <is>
          <t>ORL - Maxillo-facial - Ophtalmologie</t>
        </is>
      </c>
      <c r="D1138" s="37" t="inlineStr">
        <is>
          <t>ORL</t>
        </is>
      </c>
      <c r="E1138" s="37" t="inlineStr">
        <is>
          <t>Rhinopharyngite de l'enfant</t>
        </is>
      </c>
      <c r="F1138" s="18" t="n"/>
      <c r="G1138" s="19" t="n"/>
      <c r="H1138" s="20">
        <f>IF($G1138="",1,IF($G1138=0,1,IF($G1138=1,3,IF($G1138=2,7,IF($G1138=3,14,IF($G1138=4,30,60))))))</f>
        <v/>
      </c>
      <c r="I1138" s="21">
        <f>IF($F1138="","",$F1138+$H1138)</f>
        <v/>
      </c>
      <c r="J1138">
        <f>IF($F1138="","⚪ NEW",IF($G1138&gt;=5,"✅ DONE",IF($I1138&lt;TODAY(),"🔴 OVERDUE",IF($I1138=TODAY(),"🟢 TODAY",IF($I1138=TODAY()+1,"🔵 TOMORROW",IF($I1138&lt;=TODAY()+7,"📅 THIS WEEK","⏳ SCHEDULED"))))))</f>
        <v/>
      </c>
      <c r="K1138" s="20">
        <f>IF($F1138="",999,IF($G1138&gt;=5,9999,IF($I1138="",999,$I1138-TODAY())))</f>
        <v/>
      </c>
    </row>
    <row r="1139">
      <c r="A1139" s="36">
        <f>ROW()-2</f>
        <v/>
      </c>
      <c r="B1139" s="37" t="inlineStr">
        <is>
          <t>S9</t>
        </is>
      </c>
      <c r="C1139" s="37" t="inlineStr">
        <is>
          <t>ORL - Maxillo-facial - Ophtalmologie</t>
        </is>
      </c>
      <c r="D1139" s="37" t="inlineStr">
        <is>
          <t>ORL</t>
        </is>
      </c>
      <c r="E1139" s="37" t="inlineStr">
        <is>
          <t>Les rhinosinusites</t>
        </is>
      </c>
      <c r="F1139" s="18" t="n"/>
      <c r="G1139" s="19" t="n"/>
      <c r="H1139" s="20">
        <f>IF($G1139="",1,IF($G1139=0,1,IF($G1139=1,3,IF($G1139=2,7,IF($G1139=3,14,IF($G1139=4,30,60))))))</f>
        <v/>
      </c>
      <c r="I1139" s="21">
        <f>IF($F1139="","",$F1139+$H1139)</f>
        <v/>
      </c>
      <c r="J1139">
        <f>IF($F1139="","⚪ NEW",IF($G1139&gt;=5,"✅ DONE",IF($I1139&lt;TODAY(),"🔴 OVERDUE",IF($I1139=TODAY(),"🟢 TODAY",IF($I1139=TODAY()+1,"🔵 TOMORROW",IF($I1139&lt;=TODAY()+7,"📅 THIS WEEK","⏳ SCHEDULED"))))))</f>
        <v/>
      </c>
      <c r="K1139" s="20">
        <f>IF($F1139="",999,IF($G1139&gt;=5,9999,IF($I1139="",999,$I1139-TODAY())))</f>
        <v/>
      </c>
    </row>
    <row r="1140">
      <c r="A1140" s="36">
        <f>ROW()-2</f>
        <v/>
      </c>
      <c r="B1140" s="37" t="inlineStr">
        <is>
          <t>S9</t>
        </is>
      </c>
      <c r="C1140" s="37" t="inlineStr">
        <is>
          <t>ORL - Maxillo-facial - Ophtalmologie</t>
        </is>
      </c>
      <c r="D1140" s="37" t="inlineStr">
        <is>
          <t>Ophtalmologie</t>
        </is>
      </c>
      <c r="E1140" s="37" t="inlineStr">
        <is>
          <t>Rappel anatomique</t>
        </is>
      </c>
      <c r="F1140" s="18" t="n"/>
      <c r="G1140" s="19" t="n"/>
      <c r="H1140" s="20">
        <f>IF($G1140="",1,IF($G1140=0,1,IF($G1140=1,3,IF($G1140=2,7,IF($G1140=3,14,IF($G1140=4,30,60))))))</f>
        <v/>
      </c>
      <c r="I1140" s="21">
        <f>IF($F1140="","",$F1140+$H1140)</f>
        <v/>
      </c>
      <c r="J1140">
        <f>IF($F1140="","⚪ NEW",IF($G1140&gt;=5,"✅ DONE",IF($I1140&lt;TODAY(),"🔴 OVERDUE",IF($I1140=TODAY(),"🟢 TODAY",IF($I1140=TODAY()+1,"🔵 TOMORROW",IF($I1140&lt;=TODAY()+7,"📅 THIS WEEK","⏳ SCHEDULED"))))))</f>
        <v/>
      </c>
      <c r="K1140" s="20">
        <f>IF($F1140="",999,IF($G1140&gt;=5,9999,IF($I1140="",999,$I1140-TODAY())))</f>
        <v/>
      </c>
    </row>
    <row r="1141">
      <c r="A1141" s="36">
        <f>ROW()-2</f>
        <v/>
      </c>
      <c r="B1141" s="37" t="inlineStr">
        <is>
          <t>S9</t>
        </is>
      </c>
      <c r="C1141" s="37" t="inlineStr">
        <is>
          <t>ORL - Maxillo-facial - Ophtalmologie</t>
        </is>
      </c>
      <c r="D1141" s="37" t="inlineStr">
        <is>
          <t>Ophtalmologie</t>
        </is>
      </c>
      <c r="E1141" s="37" t="inlineStr">
        <is>
          <t>Les cataractes</t>
        </is>
      </c>
      <c r="F1141" s="18" t="n"/>
      <c r="G1141" s="19" t="n"/>
      <c r="H1141" s="20">
        <f>IF($G1141="",1,IF($G1141=0,1,IF($G1141=1,3,IF($G1141=2,7,IF($G1141=3,14,IF($G1141=4,30,60))))))</f>
        <v/>
      </c>
      <c r="I1141" s="21">
        <f>IF($F1141="","",$F1141+$H1141)</f>
        <v/>
      </c>
      <c r="J1141">
        <f>IF($F1141="","⚪ NEW",IF($G1141&gt;=5,"✅ DONE",IF($I1141&lt;TODAY(),"🔴 OVERDUE",IF($I1141=TODAY(),"🟢 TODAY",IF($I1141=TODAY()+1,"🔵 TOMORROW",IF($I1141&lt;=TODAY()+7,"📅 THIS WEEK","⏳ SCHEDULED"))))))</f>
        <v/>
      </c>
      <c r="K1141" s="20">
        <f>IF($F1141="",999,IF($G1141&gt;=5,9999,IF($I1141="",999,$I1141-TODAY())))</f>
        <v/>
      </c>
    </row>
    <row r="1142">
      <c r="A1142" s="36">
        <f>ROW()-2</f>
        <v/>
      </c>
      <c r="B1142" s="37" t="inlineStr">
        <is>
          <t>S9</t>
        </is>
      </c>
      <c r="C1142" s="37" t="inlineStr">
        <is>
          <t>ORL - Maxillo-facial - Ophtalmologie</t>
        </is>
      </c>
      <c r="D1142" s="37" t="inlineStr">
        <is>
          <t>Ophtalmologie</t>
        </is>
      </c>
      <c r="E1142" s="37" t="inlineStr">
        <is>
          <t>Les troubles de réfraction</t>
        </is>
      </c>
      <c r="F1142" s="18" t="n"/>
      <c r="G1142" s="19" t="n"/>
      <c r="H1142" s="20">
        <f>IF($G1142="",1,IF($G1142=0,1,IF($G1142=1,3,IF($G1142=2,7,IF($G1142=3,14,IF($G1142=4,30,60))))))</f>
        <v/>
      </c>
      <c r="I1142" s="21">
        <f>IF($F1142="","",$F1142+$H1142)</f>
        <v/>
      </c>
      <c r="J1142">
        <f>IF($F1142="","⚪ NEW",IF($G1142&gt;=5,"✅ DONE",IF($I1142&lt;TODAY(),"🔴 OVERDUE",IF($I1142=TODAY(),"🟢 TODAY",IF($I1142=TODAY()+1,"🔵 TOMORROW",IF($I1142&lt;=TODAY()+7,"📅 THIS WEEK","⏳ SCHEDULED"))))))</f>
        <v/>
      </c>
      <c r="K1142" s="20">
        <f>IF($F1142="",999,IF($G1142&gt;=5,9999,IF($I1142="",999,$I1142-TODAY())))</f>
        <v/>
      </c>
    </row>
    <row r="1143">
      <c r="A1143" s="36">
        <f>ROW()-2</f>
        <v/>
      </c>
      <c r="B1143" s="37" t="inlineStr">
        <is>
          <t>S9</t>
        </is>
      </c>
      <c r="C1143" s="37" t="inlineStr">
        <is>
          <t>ORL - Maxillo-facial - Ophtalmologie</t>
        </is>
      </c>
      <c r="D1143" s="37" t="inlineStr">
        <is>
          <t>Ophtalmologie</t>
        </is>
      </c>
      <c r="E1143" s="37" t="inlineStr">
        <is>
          <t>Les glaucomes</t>
        </is>
      </c>
      <c r="F1143" s="18" t="n"/>
      <c r="G1143" s="19" t="n"/>
      <c r="H1143" s="20">
        <f>IF($G1143="",1,IF($G1143=0,1,IF($G1143=1,3,IF($G1143=2,7,IF($G1143=3,14,IF($G1143=4,30,60))))))</f>
        <v/>
      </c>
      <c r="I1143" s="21">
        <f>IF($F1143="","",$F1143+$H1143)</f>
        <v/>
      </c>
      <c r="J1143">
        <f>IF($F1143="","⚪ NEW",IF($G1143&gt;=5,"✅ DONE",IF($I1143&lt;TODAY(),"🔴 OVERDUE",IF($I1143=TODAY(),"🟢 TODAY",IF($I1143=TODAY()+1,"🔵 TOMORROW",IF($I1143&lt;=TODAY()+7,"📅 THIS WEEK","⏳ SCHEDULED"))))))</f>
        <v/>
      </c>
      <c r="K1143" s="20">
        <f>IF($F1143="",999,IF($G1143&gt;=5,9999,IF($I1143="",999,$I1143-TODAY())))</f>
        <v/>
      </c>
    </row>
    <row r="1144">
      <c r="A1144" s="36">
        <f>ROW()-2</f>
        <v/>
      </c>
      <c r="B1144" s="37" t="inlineStr">
        <is>
          <t>S9</t>
        </is>
      </c>
      <c r="C1144" s="37" t="inlineStr">
        <is>
          <t>ORL - Maxillo-facial - Ophtalmologie</t>
        </is>
      </c>
      <c r="D1144" s="37" t="inlineStr">
        <is>
          <t>Ophtalmologie</t>
        </is>
      </c>
      <c r="E1144" s="37" t="inlineStr">
        <is>
          <t>Œil rouge</t>
        </is>
      </c>
      <c r="F1144" s="18" t="n"/>
      <c r="G1144" s="19" t="n"/>
      <c r="H1144" s="20">
        <f>IF($G1144="",1,IF($G1144=0,1,IF($G1144=1,3,IF($G1144=2,7,IF($G1144=3,14,IF($G1144=4,30,60))))))</f>
        <v/>
      </c>
      <c r="I1144" s="21">
        <f>IF($F1144="","",$F1144+$H1144)</f>
        <v/>
      </c>
      <c r="J1144">
        <f>IF($F1144="","⚪ NEW",IF($G1144&gt;=5,"✅ DONE",IF($I1144&lt;TODAY(),"🔴 OVERDUE",IF($I1144=TODAY(),"🟢 TODAY",IF($I1144=TODAY()+1,"🔵 TOMORROW",IF($I1144&lt;=TODAY()+7,"📅 THIS WEEK","⏳ SCHEDULED"))))))</f>
        <v/>
      </c>
      <c r="K1144" s="20">
        <f>IF($F1144="",999,IF($G1144&gt;=5,9999,IF($I1144="",999,$I1144-TODAY())))</f>
        <v/>
      </c>
    </row>
    <row r="1145">
      <c r="A1145" s="36">
        <f>ROW()-2</f>
        <v/>
      </c>
      <c r="B1145" s="37" t="inlineStr">
        <is>
          <t>S9</t>
        </is>
      </c>
      <c r="C1145" s="37" t="inlineStr">
        <is>
          <t>ORL - Maxillo-facial - Ophtalmologie</t>
        </is>
      </c>
      <c r="D1145" s="37" t="inlineStr">
        <is>
          <t>Ophtalmologie</t>
        </is>
      </c>
      <c r="E1145" s="37" t="inlineStr">
        <is>
          <t>Greffe de cornée et don d'organes</t>
        </is>
      </c>
      <c r="F1145" s="18" t="n"/>
      <c r="G1145" s="19" t="n"/>
      <c r="H1145" s="20">
        <f>IF($G1145="",1,IF($G1145=0,1,IF($G1145=1,3,IF($G1145=2,7,IF($G1145=3,14,IF($G1145=4,30,60))))))</f>
        <v/>
      </c>
      <c r="I1145" s="21">
        <f>IF($F1145="","",$F1145+$H1145)</f>
        <v/>
      </c>
      <c r="J1145">
        <f>IF($F1145="","⚪ NEW",IF($G1145&gt;=5,"✅ DONE",IF($I1145&lt;TODAY(),"🔴 OVERDUE",IF($I1145=TODAY(),"🟢 TODAY",IF($I1145=TODAY()+1,"🔵 TOMORROW",IF($I1145&lt;=TODAY()+7,"📅 THIS WEEK","⏳ SCHEDULED"))))))</f>
        <v/>
      </c>
      <c r="K1145" s="20">
        <f>IF($F1145="",999,IF($G1145&gt;=5,9999,IF($I1145="",999,$I1145-TODAY())))</f>
        <v/>
      </c>
    </row>
    <row r="1146">
      <c r="A1146" s="36">
        <f>ROW()-2</f>
        <v/>
      </c>
      <c r="B1146" s="37" t="inlineStr">
        <is>
          <t>S9</t>
        </is>
      </c>
      <c r="C1146" s="37" t="inlineStr">
        <is>
          <t>ORL - Maxillo-facial - Ophtalmologie</t>
        </is>
      </c>
      <c r="D1146" s="37" t="inlineStr">
        <is>
          <t>Ophtalmologie</t>
        </is>
      </c>
      <c r="E1146" s="37" t="inlineStr">
        <is>
          <t>Rétinoblastome</t>
        </is>
      </c>
      <c r="F1146" s="18" t="n"/>
      <c r="G1146" s="19" t="n"/>
      <c r="H1146" s="20">
        <f>IF($G1146="",1,IF($G1146=0,1,IF($G1146=1,3,IF($G1146=2,7,IF($G1146=3,14,IF($G1146=4,30,60))))))</f>
        <v/>
      </c>
      <c r="I1146" s="21">
        <f>IF($F1146="","",$F1146+$H1146)</f>
        <v/>
      </c>
      <c r="J1146">
        <f>IF($F1146="","⚪ NEW",IF($G1146&gt;=5,"✅ DONE",IF($I1146&lt;TODAY(),"🔴 OVERDUE",IF($I1146=TODAY(),"🟢 TODAY",IF($I1146=TODAY()+1,"🔵 TOMORROW",IF($I1146&lt;=TODAY()+7,"📅 THIS WEEK","⏳ SCHEDULED"))))))</f>
        <v/>
      </c>
      <c r="K1146" s="20">
        <f>IF($F1146="",999,IF($G1146&gt;=5,9999,IF($I1146="",999,$I1146-TODAY())))</f>
        <v/>
      </c>
    </row>
    <row r="1147">
      <c r="A1147" s="36">
        <f>ROW()-2</f>
        <v/>
      </c>
      <c r="B1147" s="37" t="inlineStr">
        <is>
          <t>S9</t>
        </is>
      </c>
      <c r="C1147" s="37" t="inlineStr">
        <is>
          <t>ORL - Maxillo-facial - Ophtalmologie</t>
        </is>
      </c>
      <c r="D1147" s="37" t="inlineStr">
        <is>
          <t>Ophtalmologie</t>
        </is>
      </c>
      <c r="E1147" s="37" t="inlineStr">
        <is>
          <t>Rétinopathie diabétique</t>
        </is>
      </c>
      <c r="F1147" s="18" t="n"/>
      <c r="G1147" s="19" t="n"/>
      <c r="H1147" s="20">
        <f>IF($G1147="",1,IF($G1147=0,1,IF($G1147=1,3,IF($G1147=2,7,IF($G1147=3,14,IF($G1147=4,30,60))))))</f>
        <v/>
      </c>
      <c r="I1147" s="21">
        <f>IF($F1147="","",$F1147+$H1147)</f>
        <v/>
      </c>
      <c r="J1147">
        <f>IF($F1147="","⚪ NEW",IF($G1147&gt;=5,"✅ DONE",IF($I1147&lt;TODAY(),"🔴 OVERDUE",IF($I1147=TODAY(),"🟢 TODAY",IF($I1147=TODAY()+1,"🔵 TOMORROW",IF($I1147&lt;=TODAY()+7,"📅 THIS WEEK","⏳ SCHEDULED"))))))</f>
        <v/>
      </c>
      <c r="K1147" s="20">
        <f>IF($F1147="",999,IF($G1147&gt;=5,9999,IF($I1147="",999,$I1147-TODAY())))</f>
        <v/>
      </c>
    </row>
    <row r="1148">
      <c r="A1148" s="36">
        <f>ROW()-2</f>
        <v/>
      </c>
      <c r="B1148" s="37" t="inlineStr">
        <is>
          <t>S9</t>
        </is>
      </c>
      <c r="C1148" s="37" t="inlineStr">
        <is>
          <t>ORL - Maxillo-facial - Ophtalmologie</t>
        </is>
      </c>
      <c r="D1148" s="37" t="inlineStr">
        <is>
          <t>Ophtalmologie</t>
        </is>
      </c>
      <c r="E1148" s="37" t="inlineStr">
        <is>
          <t>Les traumatismes du globe oculaire</t>
        </is>
      </c>
      <c r="F1148" s="18" t="n"/>
      <c r="G1148" s="19" t="n"/>
      <c r="H1148" s="20">
        <f>IF($G1148="",1,IF($G1148=0,1,IF($G1148=1,3,IF($G1148=2,7,IF($G1148=3,14,IF($G1148=4,30,60))))))</f>
        <v/>
      </c>
      <c r="I1148" s="21">
        <f>IF($F1148="","",$F1148+$H1148)</f>
        <v/>
      </c>
      <c r="J1148">
        <f>IF($F1148="","⚪ NEW",IF($G1148&gt;=5,"✅ DONE",IF($I1148&lt;TODAY(),"🔴 OVERDUE",IF($I1148=TODAY(),"🟢 TODAY",IF($I1148=TODAY()+1,"🔵 TOMORROW",IF($I1148&lt;=TODAY()+7,"📅 THIS WEEK","⏳ SCHEDULED"))))))</f>
        <v/>
      </c>
      <c r="K1148" s="20">
        <f>IF($F1148="",999,IF($G1148&gt;=5,9999,IF($I1148="",999,$I1148-TODAY())))</f>
        <v/>
      </c>
    </row>
    <row r="1149">
      <c r="A1149" s="36">
        <f>ROW()-2</f>
        <v/>
      </c>
      <c r="B1149" s="37" t="inlineStr">
        <is>
          <t>S9</t>
        </is>
      </c>
      <c r="C1149" s="37" t="inlineStr">
        <is>
          <t>ORL - Maxillo-facial - Ophtalmologie</t>
        </is>
      </c>
      <c r="D1149" s="37" t="inlineStr">
        <is>
          <t>Ophtalmologie</t>
        </is>
      </c>
      <c r="E1149" s="37" t="inlineStr">
        <is>
          <t>Contusion oculaire</t>
        </is>
      </c>
      <c r="F1149" s="18" t="n"/>
      <c r="G1149" s="19" t="n"/>
      <c r="H1149" s="20">
        <f>IF($G1149="",1,IF($G1149=0,1,IF($G1149=1,3,IF($G1149=2,7,IF($G1149=3,14,IF($G1149=4,30,60))))))</f>
        <v/>
      </c>
      <c r="I1149" s="21">
        <f>IF($F1149="","",$F1149+$H1149)</f>
        <v/>
      </c>
      <c r="J1149">
        <f>IF($F1149="","⚪ NEW",IF($G1149&gt;=5,"✅ DONE",IF($I1149&lt;TODAY(),"🔴 OVERDUE",IF($I1149=TODAY(),"🟢 TODAY",IF($I1149=TODAY()+1,"🔵 TOMORROW",IF($I1149&lt;=TODAY()+7,"📅 THIS WEEK","⏳ SCHEDULED"))))))</f>
        <v/>
      </c>
      <c r="K1149" s="20">
        <f>IF($F1149="",999,IF($G1149&gt;=5,9999,IF($I1149="",999,$I1149-TODAY())))</f>
        <v/>
      </c>
    </row>
    <row r="1150">
      <c r="A1150" s="36">
        <f>ROW()-2</f>
        <v/>
      </c>
      <c r="B1150" s="37" t="inlineStr">
        <is>
          <t>S9</t>
        </is>
      </c>
      <c r="C1150" s="37" t="inlineStr">
        <is>
          <t>ORL - Maxillo-facial - Ophtalmologie</t>
        </is>
      </c>
      <c r="D1150" s="37" t="inlineStr">
        <is>
          <t>Ophtalmologie</t>
        </is>
      </c>
      <c r="E1150" s="37" t="inlineStr">
        <is>
          <t>Brûlures oculaires</t>
        </is>
      </c>
      <c r="F1150" s="18" t="n"/>
      <c r="G1150" s="19" t="n"/>
      <c r="H1150" s="20">
        <f>IF($G1150="",1,IF($G1150=0,1,IF($G1150=1,3,IF($G1150=2,7,IF($G1150=3,14,IF($G1150=4,30,60))))))</f>
        <v/>
      </c>
      <c r="I1150" s="21">
        <f>IF($F1150="","",$F1150+$H1150)</f>
        <v/>
      </c>
      <c r="J1150">
        <f>IF($F1150="","⚪ NEW",IF($G1150&gt;=5,"✅ DONE",IF($I1150&lt;TODAY(),"🔴 OVERDUE",IF($I1150=TODAY(),"🟢 TODAY",IF($I1150=TODAY()+1,"🔵 TOMORROW",IF($I1150&lt;=TODAY()+7,"📅 THIS WEEK","⏳ SCHEDULED"))))))</f>
        <v/>
      </c>
      <c r="K1150" s="20">
        <f>IF($F1150="",999,IF($G1150&gt;=5,9999,IF($I1150="",999,$I1150-TODAY())))</f>
        <v/>
      </c>
    </row>
    <row r="1151">
      <c r="A1151" s="38">
        <f>ROW()-2</f>
        <v/>
      </c>
      <c r="B1151" s="39" t="inlineStr">
        <is>
          <t>S9</t>
        </is>
      </c>
      <c r="C1151" s="39" t="inlineStr">
        <is>
          <t>Urgences - Réanimation - Soins palliatifs - Chirurgie plastique</t>
        </is>
      </c>
      <c r="D1151" s="39" t="inlineStr">
        <is>
          <t>Urgences - Réanimation</t>
        </is>
      </c>
      <c r="E1151" s="39" t="inlineStr">
        <is>
          <t>États de choc : généralités</t>
        </is>
      </c>
      <c r="F1151" s="18" t="n"/>
      <c r="G1151" s="19" t="n"/>
      <c r="H1151" s="20">
        <f>IF($G1151="",1,IF($G1151=0,1,IF($G1151=1,3,IF($G1151=2,7,IF($G1151=3,14,IF($G1151=4,30,60))))))</f>
        <v/>
      </c>
      <c r="I1151" s="21">
        <f>IF($F1151="","",$F1151+$H1151)</f>
        <v/>
      </c>
      <c r="J1151">
        <f>IF($F1151="","⚪ NEW",IF($G1151&gt;=5,"✅ DONE",IF($I1151&lt;TODAY(),"🔴 OVERDUE",IF($I1151=TODAY(),"🟢 TODAY",IF($I1151=TODAY()+1,"🔵 TOMORROW",IF($I1151&lt;=TODAY()+7,"📅 THIS WEEK","⏳ SCHEDULED"))))))</f>
        <v/>
      </c>
      <c r="K1151" s="20">
        <f>IF($F1151="",999,IF($G1151&gt;=5,9999,IF($I1151="",999,$I1151-TODAY())))</f>
        <v/>
      </c>
    </row>
    <row r="1152">
      <c r="A1152" s="38">
        <f>ROW()-2</f>
        <v/>
      </c>
      <c r="B1152" s="39" t="inlineStr">
        <is>
          <t>S9</t>
        </is>
      </c>
      <c r="C1152" s="39" t="inlineStr">
        <is>
          <t>Urgences - Réanimation - Soins palliatifs - Chirurgie plastique</t>
        </is>
      </c>
      <c r="D1152" s="39" t="inlineStr">
        <is>
          <t>Urgences - Réanimation</t>
        </is>
      </c>
      <c r="E1152" s="39" t="inlineStr">
        <is>
          <t>Choc hypovolémique</t>
        </is>
      </c>
      <c r="F1152" s="18" t="n"/>
      <c r="G1152" s="19" t="n"/>
      <c r="H1152" s="20">
        <f>IF($G1152="",1,IF($G1152=0,1,IF($G1152=1,3,IF($G1152=2,7,IF($G1152=3,14,IF($G1152=4,30,60))))))</f>
        <v/>
      </c>
      <c r="I1152" s="21">
        <f>IF($F1152="","",$F1152+$H1152)</f>
        <v/>
      </c>
      <c r="J1152">
        <f>IF($F1152="","⚪ NEW",IF($G1152&gt;=5,"✅ DONE",IF($I1152&lt;TODAY(),"🔴 OVERDUE",IF($I1152=TODAY(),"🟢 TODAY",IF($I1152=TODAY()+1,"🔵 TOMORROW",IF($I1152&lt;=TODAY()+7,"📅 THIS WEEK","⏳ SCHEDULED"))))))</f>
        <v/>
      </c>
      <c r="K1152" s="20">
        <f>IF($F1152="",999,IF($G1152&gt;=5,9999,IF($I1152="",999,$I1152-TODAY())))</f>
        <v/>
      </c>
    </row>
    <row r="1153">
      <c r="A1153" s="38">
        <f>ROW()-2</f>
        <v/>
      </c>
      <c r="B1153" s="39" t="inlineStr">
        <is>
          <t>S9</t>
        </is>
      </c>
      <c r="C1153" s="39" t="inlineStr">
        <is>
          <t>Urgences - Réanimation - Soins palliatifs - Chirurgie plastique</t>
        </is>
      </c>
      <c r="D1153" s="39" t="inlineStr">
        <is>
          <t>Urgences - Réanimation</t>
        </is>
      </c>
      <c r="E1153" s="39" t="inlineStr">
        <is>
          <t>Choc anaphylactique</t>
        </is>
      </c>
      <c r="F1153" s="18" t="n"/>
      <c r="G1153" s="19" t="n"/>
      <c r="H1153" s="20">
        <f>IF($G1153="",1,IF($G1153=0,1,IF($G1153=1,3,IF($G1153=2,7,IF($G1153=3,14,IF($G1153=4,30,60))))))</f>
        <v/>
      </c>
      <c r="I1153" s="21">
        <f>IF($F1153="","",$F1153+$H1153)</f>
        <v/>
      </c>
      <c r="J1153">
        <f>IF($F1153="","⚪ NEW",IF($G1153&gt;=5,"✅ DONE",IF($I1153&lt;TODAY(),"🔴 OVERDUE",IF($I1153=TODAY(),"🟢 TODAY",IF($I1153=TODAY()+1,"🔵 TOMORROW",IF($I1153&lt;=TODAY()+7,"📅 THIS WEEK","⏳ SCHEDULED"))))))</f>
        <v/>
      </c>
      <c r="K1153" s="20">
        <f>IF($F1153="",999,IF($G1153&gt;=5,9999,IF($I1153="",999,$I1153-TODAY())))</f>
        <v/>
      </c>
    </row>
    <row r="1154">
      <c r="A1154" s="38">
        <f>ROW()-2</f>
        <v/>
      </c>
      <c r="B1154" s="39" t="inlineStr">
        <is>
          <t>S9</t>
        </is>
      </c>
      <c r="C1154" s="39" t="inlineStr">
        <is>
          <t>Urgences - Réanimation - Soins palliatifs - Chirurgie plastique</t>
        </is>
      </c>
      <c r="D1154" s="39" t="inlineStr">
        <is>
          <t>Urgences - Réanimation</t>
        </is>
      </c>
      <c r="E1154" s="39" t="inlineStr">
        <is>
          <t>Choc septique</t>
        </is>
      </c>
      <c r="F1154" s="18" t="n"/>
      <c r="G1154" s="19" t="n"/>
      <c r="H1154" s="20">
        <f>IF($G1154="",1,IF($G1154=0,1,IF($G1154=1,3,IF($G1154=2,7,IF($G1154=3,14,IF($G1154=4,30,60))))))</f>
        <v/>
      </c>
      <c r="I1154" s="21">
        <f>IF($F1154="","",$F1154+$H1154)</f>
        <v/>
      </c>
      <c r="J1154">
        <f>IF($F1154="","⚪ NEW",IF($G1154&gt;=5,"✅ DONE",IF($I1154&lt;TODAY(),"🔴 OVERDUE",IF($I1154=TODAY(),"🟢 TODAY",IF($I1154=TODAY()+1,"🔵 TOMORROW",IF($I1154&lt;=TODAY()+7,"📅 THIS WEEK","⏳ SCHEDULED"))))))</f>
        <v/>
      </c>
      <c r="K1154" s="20">
        <f>IF($F1154="",999,IF($G1154&gt;=5,9999,IF($I1154="",999,$I1154-TODAY())))</f>
        <v/>
      </c>
    </row>
    <row r="1155">
      <c r="A1155" s="38">
        <f>ROW()-2</f>
        <v/>
      </c>
      <c r="B1155" s="39" t="inlineStr">
        <is>
          <t>S9</t>
        </is>
      </c>
      <c r="C1155" s="39" t="inlineStr">
        <is>
          <t>Urgences - Réanimation - Soins palliatifs - Chirurgie plastique</t>
        </is>
      </c>
      <c r="D1155" s="39" t="inlineStr">
        <is>
          <t>Urgences - Réanimation</t>
        </is>
      </c>
      <c r="E1155" s="39" t="inlineStr">
        <is>
          <t>Choc cardiogénique</t>
        </is>
      </c>
      <c r="F1155" s="18" t="n"/>
      <c r="G1155" s="19" t="n"/>
      <c r="H1155" s="20">
        <f>IF($G1155="",1,IF($G1155=0,1,IF($G1155=1,3,IF($G1155=2,7,IF($G1155=3,14,IF($G1155=4,30,60))))))</f>
        <v/>
      </c>
      <c r="I1155" s="21">
        <f>IF($F1155="","",$F1155+$H1155)</f>
        <v/>
      </c>
      <c r="J1155">
        <f>IF($F1155="","⚪ NEW",IF($G1155&gt;=5,"✅ DONE",IF($I1155&lt;TODAY(),"🔴 OVERDUE",IF($I1155=TODAY(),"🟢 TODAY",IF($I1155=TODAY()+1,"🔵 TOMORROW",IF($I1155&lt;=TODAY()+7,"📅 THIS WEEK","⏳ SCHEDULED"))))))</f>
        <v/>
      </c>
      <c r="K1155" s="20">
        <f>IF($F1155="",999,IF($G1155&gt;=5,9999,IF($I1155="",999,$I1155-TODAY())))</f>
        <v/>
      </c>
    </row>
    <row r="1156">
      <c r="A1156" s="38">
        <f>ROW()-2</f>
        <v/>
      </c>
      <c r="B1156" s="39" t="inlineStr">
        <is>
          <t>S9</t>
        </is>
      </c>
      <c r="C1156" s="39" t="inlineStr">
        <is>
          <t>Urgences - Réanimation - Soins palliatifs - Chirurgie plastique</t>
        </is>
      </c>
      <c r="D1156" s="39" t="inlineStr">
        <is>
          <t>Urgences - Réanimation</t>
        </is>
      </c>
      <c r="E1156" s="39" t="inlineStr">
        <is>
          <t>Insuffisance respiratoire aiguë (détresse respiratoire aiguë)</t>
        </is>
      </c>
      <c r="F1156" s="18" t="n"/>
      <c r="G1156" s="19" t="n"/>
      <c r="H1156" s="20">
        <f>IF($G1156="",1,IF($G1156=0,1,IF($G1156=1,3,IF($G1156=2,7,IF($G1156=3,14,IF($G1156=4,30,60))))))</f>
        <v/>
      </c>
      <c r="I1156" s="21">
        <f>IF($F1156="","",$F1156+$H1156)</f>
        <v/>
      </c>
      <c r="J1156">
        <f>IF($F1156="","⚪ NEW",IF($G1156&gt;=5,"✅ DONE",IF($I1156&lt;TODAY(),"🔴 OVERDUE",IF($I1156=TODAY(),"🟢 TODAY",IF($I1156=TODAY()+1,"🔵 TOMORROW",IF($I1156&lt;=TODAY()+7,"📅 THIS WEEK","⏳ SCHEDULED"))))))</f>
        <v/>
      </c>
      <c r="K1156" s="20">
        <f>IF($F1156="",999,IF($G1156&gt;=5,9999,IF($I1156="",999,$I1156-TODAY())))</f>
        <v/>
      </c>
    </row>
    <row r="1157">
      <c r="A1157" s="38">
        <f>ROW()-2</f>
        <v/>
      </c>
      <c r="B1157" s="39" t="inlineStr">
        <is>
          <t>S9</t>
        </is>
      </c>
      <c r="C1157" s="39" t="inlineStr">
        <is>
          <t>Urgences - Réanimation - Soins palliatifs - Chirurgie plastique</t>
        </is>
      </c>
      <c r="D1157" s="39" t="inlineStr">
        <is>
          <t>Urgences - Réanimation</t>
        </is>
      </c>
      <c r="E1157" s="39" t="inlineStr">
        <is>
          <t>Asthme aigu grave</t>
        </is>
      </c>
      <c r="F1157" s="18" t="n"/>
      <c r="G1157" s="19" t="n"/>
      <c r="H1157" s="20">
        <f>IF($G1157="",1,IF($G1157=0,1,IF($G1157=1,3,IF($G1157=2,7,IF($G1157=3,14,IF($G1157=4,30,60))))))</f>
        <v/>
      </c>
      <c r="I1157" s="21">
        <f>IF($F1157="","",$F1157+$H1157)</f>
        <v/>
      </c>
      <c r="J1157">
        <f>IF($F1157="","⚪ NEW",IF($G1157&gt;=5,"✅ DONE",IF($I1157&lt;TODAY(),"🔴 OVERDUE",IF($I1157=TODAY(),"🟢 TODAY",IF($I1157=TODAY()+1,"🔵 TOMORROW",IF($I1157&lt;=TODAY()+7,"📅 THIS WEEK","⏳ SCHEDULED"))))))</f>
        <v/>
      </c>
      <c r="K1157" s="20">
        <f>IF($F1157="",999,IF($G1157&gt;=5,9999,IF($I1157="",999,$I1157-TODAY())))</f>
        <v/>
      </c>
    </row>
    <row r="1158">
      <c r="A1158" s="38">
        <f>ROW()-2</f>
        <v/>
      </c>
      <c r="B1158" s="39" t="inlineStr">
        <is>
          <t>S9</t>
        </is>
      </c>
      <c r="C1158" s="39" t="inlineStr">
        <is>
          <t>Urgences - Réanimation - Soins palliatifs - Chirurgie plastique</t>
        </is>
      </c>
      <c r="D1158" s="39" t="inlineStr">
        <is>
          <t>Urgences - Réanimation</t>
        </is>
      </c>
      <c r="E1158" s="39" t="inlineStr">
        <is>
          <t>SDRA</t>
        </is>
      </c>
      <c r="F1158" s="18" t="n"/>
      <c r="G1158" s="19" t="n"/>
      <c r="H1158" s="20">
        <f>IF($G1158="",1,IF($G1158=0,1,IF($G1158=1,3,IF($G1158=2,7,IF($G1158=3,14,IF($G1158=4,30,60))))))</f>
        <v/>
      </c>
      <c r="I1158" s="21">
        <f>IF($F1158="","",$F1158+$H1158)</f>
        <v/>
      </c>
      <c r="J1158">
        <f>IF($F1158="","⚪ NEW",IF($G1158&gt;=5,"✅ DONE",IF($I1158&lt;TODAY(),"🔴 OVERDUE",IF($I1158=TODAY(),"🟢 TODAY",IF($I1158=TODAY()+1,"🔵 TOMORROW",IF($I1158&lt;=TODAY()+7,"📅 THIS WEEK","⏳ SCHEDULED"))))))</f>
        <v/>
      </c>
      <c r="K1158" s="20">
        <f>IF($F1158="",999,IF($G1158&gt;=5,9999,IF($I1158="",999,$I1158-TODAY())))</f>
        <v/>
      </c>
    </row>
    <row r="1159">
      <c r="A1159" s="38">
        <f>ROW()-2</f>
        <v/>
      </c>
      <c r="B1159" s="39" t="inlineStr">
        <is>
          <t>S9</t>
        </is>
      </c>
      <c r="C1159" s="39" t="inlineStr">
        <is>
          <t>Urgences - Réanimation - Soins palliatifs - Chirurgie plastique</t>
        </is>
      </c>
      <c r="D1159" s="39" t="inlineStr">
        <is>
          <t>Urgences - Réanimation</t>
        </is>
      </c>
      <c r="E1159" s="39" t="inlineStr">
        <is>
          <t>Monitorage</t>
        </is>
      </c>
      <c r="F1159" s="18" t="n"/>
      <c r="G1159" s="19" t="n"/>
      <c r="H1159" s="20">
        <f>IF($G1159="",1,IF($G1159=0,1,IF($G1159=1,3,IF($G1159=2,7,IF($G1159=3,14,IF($G1159=4,30,60))))))</f>
        <v/>
      </c>
      <c r="I1159" s="21">
        <f>IF($F1159="","",$F1159+$H1159)</f>
        <v/>
      </c>
      <c r="J1159">
        <f>IF($F1159="","⚪ NEW",IF($G1159&gt;=5,"✅ DONE",IF($I1159&lt;TODAY(),"🔴 OVERDUE",IF($I1159=TODAY(),"🟢 TODAY",IF($I1159=TODAY()+1,"🔵 TOMORROW",IF($I1159&lt;=TODAY()+7,"📅 THIS WEEK","⏳ SCHEDULED"))))))</f>
        <v/>
      </c>
      <c r="K1159" s="20">
        <f>IF($F1159="",999,IF($G1159&gt;=5,9999,IF($I1159="",999,$I1159-TODAY())))</f>
        <v/>
      </c>
    </row>
    <row r="1160">
      <c r="A1160" s="38">
        <f>ROW()-2</f>
        <v/>
      </c>
      <c r="B1160" s="39" t="inlineStr">
        <is>
          <t>S9</t>
        </is>
      </c>
      <c r="C1160" s="39" t="inlineStr">
        <is>
          <t>Urgences - Réanimation - Soins palliatifs - Chirurgie plastique</t>
        </is>
      </c>
      <c r="D1160" s="39" t="inlineStr">
        <is>
          <t>Urgences - Réanimation</t>
        </is>
      </c>
      <c r="E1160" s="39" t="inlineStr">
        <is>
          <t>Arrêt cardiaque (ACR)</t>
        </is>
      </c>
      <c r="F1160" s="18" t="n"/>
      <c r="G1160" s="19" t="n"/>
      <c r="H1160" s="20">
        <f>IF($G1160="",1,IF($G1160=0,1,IF($G1160=1,3,IF($G1160=2,7,IF($G1160=3,14,IF($G1160=4,30,60))))))</f>
        <v/>
      </c>
      <c r="I1160" s="21">
        <f>IF($F1160="","",$F1160+$H1160)</f>
        <v/>
      </c>
      <c r="J1160">
        <f>IF($F1160="","⚪ NEW",IF($G1160&gt;=5,"✅ DONE",IF($I1160&lt;TODAY(),"🔴 OVERDUE",IF($I1160=TODAY(),"🟢 TODAY",IF($I1160=TODAY()+1,"🔵 TOMORROW",IF($I1160&lt;=TODAY()+7,"📅 THIS WEEK","⏳ SCHEDULED"))))))</f>
        <v/>
      </c>
      <c r="K1160" s="20">
        <f>IF($F1160="",999,IF($G1160&gt;=5,9999,IF($I1160="",999,$I1160-TODAY())))</f>
        <v/>
      </c>
    </row>
    <row r="1161">
      <c r="A1161" s="38">
        <f>ROW()-2</f>
        <v/>
      </c>
      <c r="B1161" s="39" t="inlineStr">
        <is>
          <t>S9</t>
        </is>
      </c>
      <c r="C1161" s="39" t="inlineStr">
        <is>
          <t>Urgences - Réanimation - Soins palliatifs - Chirurgie plastique</t>
        </is>
      </c>
      <c r="D1161" s="39" t="inlineStr">
        <is>
          <t>Urgences - Réanimation</t>
        </is>
      </c>
      <c r="E1161" s="39" t="inlineStr">
        <is>
          <t>Prise en charge d'un traumatisme grave</t>
        </is>
      </c>
      <c r="F1161" s="18" t="n"/>
      <c r="G1161" s="19" t="n"/>
      <c r="H1161" s="20">
        <f>IF($G1161="",1,IF($G1161=0,1,IF($G1161=1,3,IF($G1161=2,7,IF($G1161=3,14,IF($G1161=4,30,60))))))</f>
        <v/>
      </c>
      <c r="I1161" s="21">
        <f>IF($F1161="","",$F1161+$H1161)</f>
        <v/>
      </c>
      <c r="J1161">
        <f>IF($F1161="","⚪ NEW",IF($G1161&gt;=5,"✅ DONE",IF($I1161&lt;TODAY(),"🔴 OVERDUE",IF($I1161=TODAY(),"🟢 TODAY",IF($I1161=TODAY()+1,"🔵 TOMORROW",IF($I1161&lt;=TODAY()+7,"📅 THIS WEEK","⏳ SCHEDULED"))))))</f>
        <v/>
      </c>
      <c r="K1161" s="20">
        <f>IF($F1161="",999,IF($G1161&gt;=5,9999,IF($I1161="",999,$I1161-TODAY())))</f>
        <v/>
      </c>
    </row>
    <row r="1162">
      <c r="A1162" s="38">
        <f>ROW()-2</f>
        <v/>
      </c>
      <c r="B1162" s="39" t="inlineStr">
        <is>
          <t>S9</t>
        </is>
      </c>
      <c r="C1162" s="39" t="inlineStr">
        <is>
          <t>Urgences - Réanimation - Soins palliatifs - Chirurgie plastique</t>
        </is>
      </c>
      <c r="D1162" s="39" t="inlineStr">
        <is>
          <t>Urgences - Réanimation</t>
        </is>
      </c>
      <c r="E1162" s="39" t="inlineStr">
        <is>
          <t>Traumatismes crâniens graves (phase précoce)</t>
        </is>
      </c>
      <c r="F1162" s="18" t="n"/>
      <c r="G1162" s="19" t="n"/>
      <c r="H1162" s="20">
        <f>IF($G1162="",1,IF($G1162=0,1,IF($G1162=1,3,IF($G1162=2,7,IF($G1162=3,14,IF($G1162=4,30,60))))))</f>
        <v/>
      </c>
      <c r="I1162" s="21">
        <f>IF($F1162="","",$F1162+$H1162)</f>
        <v/>
      </c>
      <c r="J1162">
        <f>IF($F1162="","⚪ NEW",IF($G1162&gt;=5,"✅ DONE",IF($I1162&lt;TODAY(),"🔴 OVERDUE",IF($I1162=TODAY(),"🟢 TODAY",IF($I1162=TODAY()+1,"🔵 TOMORROW",IF($I1162&lt;=TODAY()+7,"📅 THIS WEEK","⏳ SCHEDULED"))))))</f>
        <v/>
      </c>
      <c r="K1162" s="20">
        <f>IF($F1162="",999,IF($G1162&gt;=5,9999,IF($I1162="",999,$I1162-TODAY())))</f>
        <v/>
      </c>
    </row>
    <row r="1163">
      <c r="A1163" s="38">
        <f>ROW()-2</f>
        <v/>
      </c>
      <c r="B1163" s="39" t="inlineStr">
        <is>
          <t>S9</t>
        </is>
      </c>
      <c r="C1163" s="39" t="inlineStr">
        <is>
          <t>Urgences - Réanimation - Soins palliatifs - Chirurgie plastique</t>
        </is>
      </c>
      <c r="D1163" s="39" t="inlineStr">
        <is>
          <t>Urgences - Réanimation</t>
        </is>
      </c>
      <c r="E1163" s="39" t="inlineStr">
        <is>
          <t>PEC d'un patient en état de mort encéphalique</t>
        </is>
      </c>
      <c r="F1163" s="18" t="n"/>
      <c r="G1163" s="19" t="n"/>
      <c r="H1163" s="20">
        <f>IF($G1163="",1,IF($G1163=0,1,IF($G1163=1,3,IF($G1163=2,7,IF($G1163=3,14,IF($G1163=4,30,60))))))</f>
        <v/>
      </c>
      <c r="I1163" s="21">
        <f>IF($F1163="","",$F1163+$H1163)</f>
        <v/>
      </c>
      <c r="J1163">
        <f>IF($F1163="","⚪ NEW",IF($G1163&gt;=5,"✅ DONE",IF($I1163&lt;TODAY(),"🔴 OVERDUE",IF($I1163=TODAY(),"🟢 TODAY",IF($I1163=TODAY()+1,"🔵 TOMORROW",IF($I1163&lt;=TODAY()+7,"📅 THIS WEEK","⏳ SCHEDULED"))))))</f>
        <v/>
      </c>
      <c r="K1163" s="20">
        <f>IF($F1163="",999,IF($G1163&gt;=5,9999,IF($I1163="",999,$I1163-TODAY())))</f>
        <v/>
      </c>
    </row>
    <row r="1164">
      <c r="A1164" s="38">
        <f>ROW()-2</f>
        <v/>
      </c>
      <c r="B1164" s="39" t="inlineStr">
        <is>
          <t>S9</t>
        </is>
      </c>
      <c r="C1164" s="39" t="inlineStr">
        <is>
          <t>Urgences - Réanimation - Soins palliatifs - Chirurgie plastique</t>
        </is>
      </c>
      <c r="D1164" s="39" t="inlineStr">
        <is>
          <t>Urgences - Réanimation</t>
        </is>
      </c>
      <c r="E1164" s="39" t="inlineStr">
        <is>
          <t>Brûlés graves : prise en charge</t>
        </is>
      </c>
      <c r="F1164" s="18" t="n"/>
      <c r="G1164" s="19" t="n"/>
      <c r="H1164" s="20">
        <f>IF($G1164="",1,IF($G1164=0,1,IF($G1164=1,3,IF($G1164=2,7,IF($G1164=3,14,IF($G1164=4,30,60))))))</f>
        <v/>
      </c>
      <c r="I1164" s="21">
        <f>IF($F1164="","",$F1164+$H1164)</f>
        <v/>
      </c>
      <c r="J1164">
        <f>IF($F1164="","⚪ NEW",IF($G1164&gt;=5,"✅ DONE",IF($I1164&lt;TODAY(),"🔴 OVERDUE",IF($I1164=TODAY(),"🟢 TODAY",IF($I1164=TODAY()+1,"🔵 TOMORROW",IF($I1164&lt;=TODAY()+7,"📅 THIS WEEK","⏳ SCHEDULED"))))))</f>
        <v/>
      </c>
      <c r="K1164" s="20">
        <f>IF($F1164="",999,IF($G1164&gt;=5,9999,IF($I1164="",999,$I1164-TODAY())))</f>
        <v/>
      </c>
    </row>
    <row r="1165">
      <c r="A1165" s="38">
        <f>ROW()-2</f>
        <v/>
      </c>
      <c r="B1165" s="39" t="inlineStr">
        <is>
          <t>S9</t>
        </is>
      </c>
      <c r="C1165" s="39" t="inlineStr">
        <is>
          <t>Urgences - Réanimation - Soins palliatifs - Chirurgie plastique</t>
        </is>
      </c>
      <c r="D1165" s="39" t="inlineStr">
        <is>
          <t>Urgences - Réanimation</t>
        </is>
      </c>
      <c r="E1165" s="39" t="inlineStr">
        <is>
          <t>Intoxications aiguës</t>
        </is>
      </c>
      <c r="F1165" s="18" t="n"/>
      <c r="G1165" s="19" t="n"/>
      <c r="H1165" s="20">
        <f>IF($G1165="",1,IF($G1165=0,1,IF($G1165=1,3,IF($G1165=2,7,IF($G1165=3,14,IF($G1165=4,30,60))))))</f>
        <v/>
      </c>
      <c r="I1165" s="21">
        <f>IF($F1165="","",$F1165+$H1165)</f>
        <v/>
      </c>
      <c r="J1165">
        <f>IF($F1165="","⚪ NEW",IF($G1165&gt;=5,"✅ DONE",IF($I1165&lt;TODAY(),"🔴 OVERDUE",IF($I1165=TODAY(),"🟢 TODAY",IF($I1165=TODAY()+1,"🔵 TOMORROW",IF($I1165&lt;=TODAY()+7,"📅 THIS WEEK","⏳ SCHEDULED"))))))</f>
        <v/>
      </c>
      <c r="K1165" s="20">
        <f>IF($F1165="",999,IF($G1165&gt;=5,9999,IF($I1165="",999,$I1165-TODAY())))</f>
        <v/>
      </c>
    </row>
    <row r="1166">
      <c r="A1166" s="38">
        <f>ROW()-2</f>
        <v/>
      </c>
      <c r="B1166" s="39" t="inlineStr">
        <is>
          <t>S9</t>
        </is>
      </c>
      <c r="C1166" s="39" t="inlineStr">
        <is>
          <t>Urgences - Réanimation - Soins palliatifs - Chirurgie plastique</t>
        </is>
      </c>
      <c r="D1166" s="39" t="inlineStr">
        <is>
          <t>Urgences - Réanimation</t>
        </is>
      </c>
      <c r="E1166" s="39" t="inlineStr">
        <is>
          <t>Envenimation par morsure de serpent</t>
        </is>
      </c>
      <c r="F1166" s="18" t="n"/>
      <c r="G1166" s="19" t="n"/>
      <c r="H1166" s="20">
        <f>IF($G1166="",1,IF($G1166=0,1,IF($G1166=1,3,IF($G1166=2,7,IF($G1166=3,14,IF($G1166=4,30,60))))))</f>
        <v/>
      </c>
      <c r="I1166" s="21">
        <f>IF($F1166="","",$F1166+$H1166)</f>
        <v/>
      </c>
      <c r="J1166">
        <f>IF($F1166="","⚪ NEW",IF($G1166&gt;=5,"✅ DONE",IF($I1166&lt;TODAY(),"🔴 OVERDUE",IF($I1166=TODAY(),"🟢 TODAY",IF($I1166=TODAY()+1,"🔵 TOMORROW",IF($I1166&lt;=TODAY()+7,"📅 THIS WEEK","⏳ SCHEDULED"))))))</f>
        <v/>
      </c>
      <c r="K1166" s="20">
        <f>IF($F1166="",999,IF($G1166&gt;=5,9999,IF($I1166="",999,$I1166-TODAY())))</f>
        <v/>
      </c>
    </row>
    <row r="1167">
      <c r="A1167" s="38">
        <f>ROW()-2</f>
        <v/>
      </c>
      <c r="B1167" s="39" t="inlineStr">
        <is>
          <t>S9</t>
        </is>
      </c>
      <c r="C1167" s="39" t="inlineStr">
        <is>
          <t>Urgences - Réanimation - Soins palliatifs - Chirurgie plastique</t>
        </is>
      </c>
      <c r="D1167" s="39" t="inlineStr">
        <is>
          <t>Urgences - Réanimation</t>
        </is>
      </c>
      <c r="E1167" s="39" t="inlineStr">
        <is>
          <t>Envenimation par piqûre de scorpion</t>
        </is>
      </c>
      <c r="F1167" s="18" t="n"/>
      <c r="G1167" s="19" t="n"/>
      <c r="H1167" s="20">
        <f>IF($G1167="",1,IF($G1167=0,1,IF($G1167=1,3,IF($G1167=2,7,IF($G1167=3,14,IF($G1167=4,30,60))))))</f>
        <v/>
      </c>
      <c r="I1167" s="21">
        <f>IF($F1167="","",$F1167+$H1167)</f>
        <v/>
      </c>
      <c r="J1167">
        <f>IF($F1167="","⚪ NEW",IF($G1167&gt;=5,"✅ DONE",IF($I1167&lt;TODAY(),"🔴 OVERDUE",IF($I1167=TODAY(),"🟢 TODAY",IF($I1167=TODAY()+1,"🔵 TOMORROW",IF($I1167&lt;=TODAY()+7,"📅 THIS WEEK","⏳ SCHEDULED"))))))</f>
        <v/>
      </c>
      <c r="K1167" s="20">
        <f>IF($F1167="",999,IF($G1167&gt;=5,9999,IF($I1167="",999,$I1167-TODAY())))</f>
        <v/>
      </c>
    </row>
    <row r="1168">
      <c r="A1168" s="38">
        <f>ROW()-2</f>
        <v/>
      </c>
      <c r="B1168" s="39" t="inlineStr">
        <is>
          <t>S9</t>
        </is>
      </c>
      <c r="C1168" s="39" t="inlineStr">
        <is>
          <t>Urgences - Réanimation - Soins palliatifs - Chirurgie plastique</t>
        </is>
      </c>
      <c r="D1168" s="39" t="inlineStr">
        <is>
          <t>Urgences - Réanimation</t>
        </is>
      </c>
      <c r="E1168" s="39" t="inlineStr">
        <is>
          <t>Les complications métaboliques aiguës du diabète (urgences hyperglycémiques)</t>
        </is>
      </c>
      <c r="F1168" s="18" t="n"/>
      <c r="G1168" s="19" t="n"/>
      <c r="H1168" s="20">
        <f>IF($G1168="",1,IF($G1168=0,1,IF($G1168=1,3,IF($G1168=2,7,IF($G1168=3,14,IF($G1168=4,30,60))))))</f>
        <v/>
      </c>
      <c r="I1168" s="21">
        <f>IF($F1168="","",$F1168+$H1168)</f>
        <v/>
      </c>
      <c r="J1168">
        <f>IF($F1168="","⚪ NEW",IF($G1168&gt;=5,"✅ DONE",IF($I1168&lt;TODAY(),"🔴 OVERDUE",IF($I1168=TODAY(),"🟢 TODAY",IF($I1168=TODAY()+1,"🔵 TOMORROW",IF($I1168&lt;=TODAY()+7,"📅 THIS WEEK","⏳ SCHEDULED"))))))</f>
        <v/>
      </c>
      <c r="K1168" s="20">
        <f>IF($F1168="",999,IF($G1168&gt;=5,9999,IF($I1168="",999,$I1168-TODAY())))</f>
        <v/>
      </c>
    </row>
    <row r="1169">
      <c r="A1169" s="38">
        <f>ROW()-2</f>
        <v/>
      </c>
      <c r="B1169" s="39" t="inlineStr">
        <is>
          <t>S9</t>
        </is>
      </c>
      <c r="C1169" s="39" t="inlineStr">
        <is>
          <t>Urgences - Réanimation - Soins palliatifs - Chirurgie plastique</t>
        </is>
      </c>
      <c r="D1169" s="39" t="inlineStr">
        <is>
          <t>Urgences - Réanimation</t>
        </is>
      </c>
      <c r="E1169" s="39" t="inlineStr">
        <is>
          <t>Prise en charge du coma</t>
        </is>
      </c>
      <c r="F1169" s="18" t="n"/>
      <c r="G1169" s="19" t="n"/>
      <c r="H1169" s="20">
        <f>IF($G1169="",1,IF($G1169=0,1,IF($G1169=1,3,IF($G1169=2,7,IF($G1169=3,14,IF($G1169=4,30,60))))))</f>
        <v/>
      </c>
      <c r="I1169" s="21">
        <f>IF($F1169="","",$F1169+$H1169)</f>
        <v/>
      </c>
      <c r="J1169">
        <f>IF($F1169="","⚪ NEW",IF($G1169&gt;=5,"✅ DONE",IF($I1169&lt;TODAY(),"🔴 OVERDUE",IF($I1169=TODAY(),"🟢 TODAY",IF($I1169=TODAY()+1,"🔵 TOMORROW",IF($I1169&lt;=TODAY()+7,"📅 THIS WEEK","⏳ SCHEDULED"))))))</f>
        <v/>
      </c>
      <c r="K1169" s="20">
        <f>IF($F1169="",999,IF($G1169&gt;=5,9999,IF($I1169="",999,$I1169-TODAY())))</f>
        <v/>
      </c>
    </row>
    <row r="1170">
      <c r="A1170" s="38">
        <f>ROW()-2</f>
        <v/>
      </c>
      <c r="B1170" s="39" t="inlineStr">
        <is>
          <t>S9</t>
        </is>
      </c>
      <c r="C1170" s="39" t="inlineStr">
        <is>
          <t>Urgences - Réanimation - Soins palliatifs - Chirurgie plastique</t>
        </is>
      </c>
      <c r="D1170" s="39" t="inlineStr">
        <is>
          <t>Urgences - Réanimation</t>
        </is>
      </c>
      <c r="E1170" s="39" t="inlineStr">
        <is>
          <t>Troubles hydroélectrolytiques</t>
        </is>
      </c>
      <c r="F1170" s="18" t="n"/>
      <c r="G1170" s="19" t="n"/>
      <c r="H1170" s="20">
        <f>IF($G1170="",1,IF($G1170=0,1,IF($G1170=1,3,IF($G1170=2,7,IF($G1170=3,14,IF($G1170=4,30,60))))))</f>
        <v/>
      </c>
      <c r="I1170" s="21">
        <f>IF($F1170="","",$F1170+$H1170)</f>
        <v/>
      </c>
      <c r="J1170">
        <f>IF($F1170="","⚪ NEW",IF($G1170&gt;=5,"✅ DONE",IF($I1170&lt;TODAY(),"🔴 OVERDUE",IF($I1170=TODAY(),"🟢 TODAY",IF($I1170=TODAY()+1,"🔵 TOMORROW",IF($I1170&lt;=TODAY()+7,"📅 THIS WEEK","⏳ SCHEDULED"))))))</f>
        <v/>
      </c>
      <c r="K1170" s="20">
        <f>IF($F1170="",999,IF($G1170&gt;=5,9999,IF($I1170="",999,$I1170-TODAY())))</f>
        <v/>
      </c>
    </row>
    <row r="1171">
      <c r="A1171" s="38">
        <f>ROW()-2</f>
        <v/>
      </c>
      <c r="B1171" s="39" t="inlineStr">
        <is>
          <t>S9</t>
        </is>
      </c>
      <c r="C1171" s="39" t="inlineStr">
        <is>
          <t>Urgences - Réanimation - Soins palliatifs - Chirurgie plastique</t>
        </is>
      </c>
      <c r="D1171" s="39" t="inlineStr">
        <is>
          <t>Urgences - Réanimation</t>
        </is>
      </c>
      <c r="E1171" s="39" t="inlineStr">
        <is>
          <t>Dysnatrémies</t>
        </is>
      </c>
      <c r="F1171" s="18" t="n"/>
      <c r="G1171" s="19" t="n"/>
      <c r="H1171" s="20">
        <f>IF($G1171="",1,IF($G1171=0,1,IF($G1171=1,3,IF($G1171=2,7,IF($G1171=3,14,IF($G1171=4,30,60))))))</f>
        <v/>
      </c>
      <c r="I1171" s="21">
        <f>IF($F1171="","",$F1171+$H1171)</f>
        <v/>
      </c>
      <c r="J1171">
        <f>IF($F1171="","⚪ NEW",IF($G1171&gt;=5,"✅ DONE",IF($I1171&lt;TODAY(),"🔴 OVERDUE",IF($I1171=TODAY(),"🟢 TODAY",IF($I1171=TODAY()+1,"🔵 TOMORROW",IF($I1171&lt;=TODAY()+7,"📅 THIS WEEK","⏳ SCHEDULED"))))))</f>
        <v/>
      </c>
      <c r="K1171" s="20">
        <f>IF($F1171="",999,IF($G1171&gt;=5,9999,IF($I1171="",999,$I1171-TODAY())))</f>
        <v/>
      </c>
    </row>
    <row r="1172">
      <c r="A1172" s="38">
        <f>ROW()-2</f>
        <v/>
      </c>
      <c r="B1172" s="39" t="inlineStr">
        <is>
          <t>S9</t>
        </is>
      </c>
      <c r="C1172" s="39" t="inlineStr">
        <is>
          <t>Urgences - Réanimation - Soins palliatifs - Chirurgie plastique</t>
        </is>
      </c>
      <c r="D1172" s="39" t="inlineStr">
        <is>
          <t>Urgences - Réanimation</t>
        </is>
      </c>
      <c r="E1172" s="39" t="inlineStr">
        <is>
          <t>Dyskaliémies</t>
        </is>
      </c>
      <c r="F1172" s="18" t="n"/>
      <c r="G1172" s="19" t="n"/>
      <c r="H1172" s="20">
        <f>IF($G1172="",1,IF($G1172=0,1,IF($G1172=1,3,IF($G1172=2,7,IF($G1172=3,14,IF($G1172=4,30,60))))))</f>
        <v/>
      </c>
      <c r="I1172" s="21">
        <f>IF($F1172="","",$F1172+$H1172)</f>
        <v/>
      </c>
      <c r="J1172">
        <f>IF($F1172="","⚪ NEW",IF($G1172&gt;=5,"✅ DONE",IF($I1172&lt;TODAY(),"🔴 OVERDUE",IF($I1172=TODAY(),"🟢 TODAY",IF($I1172=TODAY()+1,"🔵 TOMORROW",IF($I1172&lt;=TODAY()+7,"📅 THIS WEEK","⏳ SCHEDULED"))))))</f>
        <v/>
      </c>
      <c r="K1172" s="20">
        <f>IF($F1172="",999,IF($G1172&gt;=5,9999,IF($I1172="",999,$I1172-TODAY())))</f>
        <v/>
      </c>
    </row>
    <row r="1173">
      <c r="A1173" s="38">
        <f>ROW()-2</f>
        <v/>
      </c>
      <c r="B1173" s="39" t="inlineStr">
        <is>
          <t>S9</t>
        </is>
      </c>
      <c r="C1173" s="39" t="inlineStr">
        <is>
          <t>Urgences - Réanimation - Soins palliatifs - Chirurgie plastique</t>
        </is>
      </c>
      <c r="D1173" s="39" t="inlineStr">
        <is>
          <t>Urgences - Réanimation</t>
        </is>
      </c>
      <c r="E1173" s="39" t="inlineStr">
        <is>
          <t>Les troubles acido-basiques</t>
        </is>
      </c>
      <c r="F1173" s="18" t="n"/>
      <c r="G1173" s="19" t="n"/>
      <c r="H1173" s="20">
        <f>IF($G1173="",1,IF($G1173=0,1,IF($G1173=1,3,IF($G1173=2,7,IF($G1173=3,14,IF($G1173=4,30,60))))))</f>
        <v/>
      </c>
      <c r="I1173" s="21">
        <f>IF($F1173="","",$F1173+$H1173)</f>
        <v/>
      </c>
      <c r="J1173">
        <f>IF($F1173="","⚪ NEW",IF($G1173&gt;=5,"✅ DONE",IF($I1173&lt;TODAY(),"🔴 OVERDUE",IF($I1173=TODAY(),"🟢 TODAY",IF($I1173=TODAY()+1,"🔵 TOMORROW",IF($I1173&lt;=TODAY()+7,"📅 THIS WEEK","⏳ SCHEDULED"))))))</f>
        <v/>
      </c>
      <c r="K1173" s="20">
        <f>IF($F1173="",999,IF($G1173&gt;=5,9999,IF($I1173="",999,$I1173-TODAY())))</f>
        <v/>
      </c>
    </row>
    <row r="1174">
      <c r="A1174" s="38">
        <f>ROW()-2</f>
        <v/>
      </c>
      <c r="B1174" s="39" t="inlineStr">
        <is>
          <t>S9</t>
        </is>
      </c>
      <c r="C1174" s="39" t="inlineStr">
        <is>
          <t>Urgences - Réanimation - Soins palliatifs - Chirurgie plastique</t>
        </is>
      </c>
      <c r="D1174" s="39" t="inlineStr">
        <is>
          <t>Urgences - Réanimation</t>
        </is>
      </c>
      <c r="E1174" s="39" t="inlineStr">
        <is>
          <t>Les infections associées aux soins</t>
        </is>
      </c>
      <c r="F1174" s="18" t="n"/>
      <c r="G1174" s="19" t="n"/>
      <c r="H1174" s="20">
        <f>IF($G1174="",1,IF($G1174=0,1,IF($G1174=1,3,IF($G1174=2,7,IF($G1174=3,14,IF($G1174=4,30,60))))))</f>
        <v/>
      </c>
      <c r="I1174" s="21">
        <f>IF($F1174="","",$F1174+$H1174)</f>
        <v/>
      </c>
      <c r="J1174">
        <f>IF($F1174="","⚪ NEW",IF($G1174&gt;=5,"✅ DONE",IF($I1174&lt;TODAY(),"🔴 OVERDUE",IF($I1174=TODAY(),"🟢 TODAY",IF($I1174=TODAY()+1,"🔵 TOMORROW",IF($I1174&lt;=TODAY()+7,"📅 THIS WEEK","⏳ SCHEDULED"))))))</f>
        <v/>
      </c>
      <c r="K1174" s="20">
        <f>IF($F1174="",999,IF($G1174&gt;=5,9999,IF($I1174="",999,$I1174-TODAY())))</f>
        <v/>
      </c>
    </row>
    <row r="1175">
      <c r="A1175" s="38">
        <f>ROW()-2</f>
        <v/>
      </c>
      <c r="B1175" s="39" t="inlineStr">
        <is>
          <t>S9</t>
        </is>
      </c>
      <c r="C1175" s="39" t="inlineStr">
        <is>
          <t>Urgences - Réanimation - Soins palliatifs - Chirurgie plastique</t>
        </is>
      </c>
      <c r="D1175" s="39" t="inlineStr">
        <is>
          <t>Soins palliatifs</t>
        </is>
      </c>
      <c r="E1175" s="39" t="inlineStr">
        <is>
          <t>Approche palliative de la douleur</t>
        </is>
      </c>
      <c r="F1175" s="18" t="n"/>
      <c r="G1175" s="19" t="n"/>
      <c r="H1175" s="20">
        <f>IF($G1175="",1,IF($G1175=0,1,IF($G1175=1,3,IF($G1175=2,7,IF($G1175=3,14,IF($G1175=4,30,60))))))</f>
        <v/>
      </c>
      <c r="I1175" s="21">
        <f>IF($F1175="","",$F1175+$H1175)</f>
        <v/>
      </c>
      <c r="J1175">
        <f>IF($F1175="","⚪ NEW",IF($G1175&gt;=5,"✅ DONE",IF($I1175&lt;TODAY(),"🔴 OVERDUE",IF($I1175=TODAY(),"🟢 TODAY",IF($I1175=TODAY()+1,"🔵 TOMORROW",IF($I1175&lt;=TODAY()+7,"📅 THIS WEEK","⏳ SCHEDULED"))))))</f>
        <v/>
      </c>
      <c r="K1175" s="20">
        <f>IF($F1175="",999,IF($G1175&gt;=5,9999,IF($I1175="",999,$I1175-TODAY())))</f>
        <v/>
      </c>
    </row>
    <row r="1176">
      <c r="A1176" s="38">
        <f>ROW()-2</f>
        <v/>
      </c>
      <c r="B1176" s="39" t="inlineStr">
        <is>
          <t>S9</t>
        </is>
      </c>
      <c r="C1176" s="39" t="inlineStr">
        <is>
          <t>Urgences - Réanimation - Soins palliatifs - Chirurgie plastique</t>
        </is>
      </c>
      <c r="D1176" s="39" t="inlineStr">
        <is>
          <t>Soins palliatifs</t>
        </is>
      </c>
      <c r="E1176" s="39" t="inlineStr">
        <is>
          <t>Douleur : physiopathologie et évaluation</t>
        </is>
      </c>
      <c r="F1176" s="18" t="n"/>
      <c r="G1176" s="19" t="n"/>
      <c r="H1176" s="20">
        <f>IF($G1176="",1,IF($G1176=0,1,IF($G1176=1,3,IF($G1176=2,7,IF($G1176=3,14,IF($G1176=4,30,60))))))</f>
        <v/>
      </c>
      <c r="I1176" s="21">
        <f>IF($F1176="","",$F1176+$H1176)</f>
        <v/>
      </c>
      <c r="J1176">
        <f>IF($F1176="","⚪ NEW",IF($G1176&gt;=5,"✅ DONE",IF($I1176&lt;TODAY(),"🔴 OVERDUE",IF($I1176=TODAY(),"🟢 TODAY",IF($I1176=TODAY()+1,"🔵 TOMORROW",IF($I1176&lt;=TODAY()+7,"📅 THIS WEEK","⏳ SCHEDULED"))))))</f>
        <v/>
      </c>
      <c r="K1176" s="20">
        <f>IF($F1176="",999,IF($G1176&gt;=5,9999,IF($I1176="",999,$I1176-TODAY())))</f>
        <v/>
      </c>
    </row>
    <row r="1177">
      <c r="A1177" s="38">
        <f>ROW()-2</f>
        <v/>
      </c>
      <c r="B1177" s="39" t="inlineStr">
        <is>
          <t>S9</t>
        </is>
      </c>
      <c r="C1177" s="39" t="inlineStr">
        <is>
          <t>Urgences - Réanimation - Soins palliatifs - Chirurgie plastique</t>
        </is>
      </c>
      <c r="D1177" s="39" t="inlineStr">
        <is>
          <t>Soins palliatifs</t>
        </is>
      </c>
      <c r="E1177" s="39" t="inlineStr">
        <is>
          <t>Prise en charge de la douleur aiguë</t>
        </is>
      </c>
      <c r="F1177" s="18" t="n"/>
      <c r="G1177" s="19" t="n"/>
      <c r="H1177" s="20">
        <f>IF($G1177="",1,IF($G1177=0,1,IF($G1177=1,3,IF($G1177=2,7,IF($G1177=3,14,IF($G1177=4,30,60))))))</f>
        <v/>
      </c>
      <c r="I1177" s="21">
        <f>IF($F1177="","",$F1177+$H1177)</f>
        <v/>
      </c>
      <c r="J1177">
        <f>IF($F1177="","⚪ NEW",IF($G1177&gt;=5,"✅ DONE",IF($I1177&lt;TODAY(),"🔴 OVERDUE",IF($I1177=TODAY(),"🟢 TODAY",IF($I1177=TODAY()+1,"🔵 TOMORROW",IF($I1177&lt;=TODAY()+7,"📅 THIS WEEK","⏳ SCHEDULED"))))))</f>
        <v/>
      </c>
      <c r="K1177" s="20">
        <f>IF($F1177="",999,IF($G1177&gt;=5,9999,IF($I1177="",999,$I1177-TODAY())))</f>
        <v/>
      </c>
    </row>
    <row r="1178">
      <c r="A1178" s="38">
        <f>ROW()-2</f>
        <v/>
      </c>
      <c r="B1178" s="39" t="inlineStr">
        <is>
          <t>S9</t>
        </is>
      </c>
      <c r="C1178" s="39" t="inlineStr">
        <is>
          <t>Urgences - Réanimation - Soins palliatifs - Chirurgie plastique</t>
        </is>
      </c>
      <c r="D1178" s="39" t="inlineStr">
        <is>
          <t>Soins palliatifs</t>
        </is>
      </c>
      <c r="E1178" s="39" t="inlineStr">
        <is>
          <t>PEC des symptômes et complications en soins palliatifs</t>
        </is>
      </c>
      <c r="F1178" s="18" t="n"/>
      <c r="G1178" s="19" t="n"/>
      <c r="H1178" s="20">
        <f>IF($G1178="",1,IF($G1178=0,1,IF($G1178=1,3,IF($G1178=2,7,IF($G1178=3,14,IF($G1178=4,30,60))))))</f>
        <v/>
      </c>
      <c r="I1178" s="21">
        <f>IF($F1178="","",$F1178+$H1178)</f>
        <v/>
      </c>
      <c r="J1178">
        <f>IF($F1178="","⚪ NEW",IF($G1178&gt;=5,"✅ DONE",IF($I1178&lt;TODAY(),"🔴 OVERDUE",IF($I1178=TODAY(),"🟢 TODAY",IF($I1178=TODAY()+1,"🔵 TOMORROW",IF($I1178&lt;=TODAY()+7,"📅 THIS WEEK","⏳ SCHEDULED"))))))</f>
        <v/>
      </c>
      <c r="K1178" s="20">
        <f>IF($F1178="",999,IF($G1178&gt;=5,9999,IF($I1178="",999,$I1178-TODAY())))</f>
        <v/>
      </c>
    </row>
    <row r="1179">
      <c r="A1179" s="38">
        <f>ROW()-2</f>
        <v/>
      </c>
      <c r="B1179" s="39" t="inlineStr">
        <is>
          <t>S9</t>
        </is>
      </c>
      <c r="C1179" s="39" t="inlineStr">
        <is>
          <t>Urgences - Réanimation - Soins palliatifs - Chirurgie plastique</t>
        </is>
      </c>
      <c r="D1179" s="39" t="inlineStr">
        <is>
          <t>Soins palliatifs</t>
        </is>
      </c>
      <c r="E1179" s="39" t="inlineStr">
        <is>
          <t>Communication, soutien psychologique et éthique en soins palliatifs</t>
        </is>
      </c>
      <c r="F1179" s="18" t="n"/>
      <c r="G1179" s="19" t="n"/>
      <c r="H1179" s="20">
        <f>IF($G1179="",1,IF($G1179=0,1,IF($G1179=1,3,IF($G1179=2,7,IF($G1179=3,14,IF($G1179=4,30,60))))))</f>
        <v/>
      </c>
      <c r="I1179" s="21">
        <f>IF($F1179="","",$F1179+$H1179)</f>
        <v/>
      </c>
      <c r="J1179">
        <f>IF($F1179="","⚪ NEW",IF($G1179&gt;=5,"✅ DONE",IF($I1179&lt;TODAY(),"🔴 OVERDUE",IF($I1179=TODAY(),"🟢 TODAY",IF($I1179=TODAY()+1,"🔵 TOMORROW",IF($I1179&lt;=TODAY()+7,"📅 THIS WEEK","⏳ SCHEDULED"))))))</f>
        <v/>
      </c>
      <c r="K1179" s="20">
        <f>IF($F1179="",999,IF($G1179&gt;=5,9999,IF($I1179="",999,$I1179-TODAY())))</f>
        <v/>
      </c>
    </row>
    <row r="1180">
      <c r="A1180" s="38">
        <f>ROW()-2</f>
        <v/>
      </c>
      <c r="B1180" s="39" t="inlineStr">
        <is>
          <t>S9</t>
        </is>
      </c>
      <c r="C1180" s="39" t="inlineStr">
        <is>
          <t>Urgences - Réanimation - Soins palliatifs - Chirurgie plastique</t>
        </is>
      </c>
      <c r="D1180" s="39" t="inlineStr">
        <is>
          <t>Soins palliatifs</t>
        </is>
      </c>
      <c r="E1180" s="39" t="inlineStr">
        <is>
          <t>Alimentation et hydratation en soins palliatifs</t>
        </is>
      </c>
      <c r="F1180" s="18" t="n"/>
      <c r="G1180" s="19" t="n"/>
      <c r="H1180" s="20">
        <f>IF($G1180="",1,IF($G1180=0,1,IF($G1180=1,3,IF($G1180=2,7,IF($G1180=3,14,IF($G1180=4,30,60))))))</f>
        <v/>
      </c>
      <c r="I1180" s="21">
        <f>IF($F1180="","",$F1180+$H1180)</f>
        <v/>
      </c>
      <c r="J1180">
        <f>IF($F1180="","⚪ NEW",IF($G1180&gt;=5,"✅ DONE",IF($I1180&lt;TODAY(),"🔴 OVERDUE",IF($I1180=TODAY(),"🟢 TODAY",IF($I1180=TODAY()+1,"🔵 TOMORROW",IF($I1180&lt;=TODAY()+7,"📅 THIS WEEK","⏳ SCHEDULED"))))))</f>
        <v/>
      </c>
      <c r="K1180" s="20">
        <f>IF($F1180="",999,IF($G1180&gt;=5,9999,IF($I1180="",999,$I1180-TODAY())))</f>
        <v/>
      </c>
    </row>
    <row r="1181">
      <c r="A1181" s="38">
        <f>ROW()-2</f>
        <v/>
      </c>
      <c r="B1181" s="39" t="inlineStr">
        <is>
          <t>S9</t>
        </is>
      </c>
      <c r="C1181" s="39" t="inlineStr">
        <is>
          <t>Urgences - Réanimation - Soins palliatifs - Chirurgie plastique</t>
        </is>
      </c>
      <c r="D1181" s="39" t="inlineStr">
        <is>
          <t>Chirurgie plastique</t>
        </is>
      </c>
      <c r="E1181" s="39" t="inlineStr">
        <is>
          <t>La cicatrisation cutanée</t>
        </is>
      </c>
      <c r="F1181" s="18" t="n"/>
      <c r="G1181" s="19" t="n"/>
      <c r="H1181" s="20">
        <f>IF($G1181="",1,IF($G1181=0,1,IF($G1181=1,3,IF($G1181=2,7,IF($G1181=3,14,IF($G1181=4,30,60))))))</f>
        <v/>
      </c>
      <c r="I1181" s="21">
        <f>IF($F1181="","",$F1181+$H1181)</f>
        <v/>
      </c>
      <c r="J1181">
        <f>IF($F1181="","⚪ NEW",IF($G1181&gt;=5,"✅ DONE",IF($I1181&lt;TODAY(),"🔴 OVERDUE",IF($I1181=TODAY(),"🟢 TODAY",IF($I1181=TODAY()+1,"🔵 TOMORROW",IF($I1181&lt;=TODAY()+7,"📅 THIS WEEK","⏳ SCHEDULED"))))))</f>
        <v/>
      </c>
      <c r="K1181" s="20">
        <f>IF($F1181="",999,IF($G1181&gt;=5,9999,IF($I1181="",999,$I1181-TODAY())))</f>
        <v/>
      </c>
    </row>
    <row r="1182">
      <c r="A1182" s="38">
        <f>ROW()-2</f>
        <v/>
      </c>
      <c r="B1182" s="39" t="inlineStr">
        <is>
          <t>S9</t>
        </is>
      </c>
      <c r="C1182" s="39" t="inlineStr">
        <is>
          <t>Urgences - Réanimation - Soins palliatifs - Chirurgie plastique</t>
        </is>
      </c>
      <c r="D1182" s="39" t="inlineStr">
        <is>
          <t>Chirurgie plastique</t>
        </is>
      </c>
      <c r="E1182" s="39" t="inlineStr">
        <is>
          <t>Les pansements</t>
        </is>
      </c>
      <c r="F1182" s="18" t="n"/>
      <c r="G1182" s="19" t="n"/>
      <c r="H1182" s="20">
        <f>IF($G1182="",1,IF($G1182=0,1,IF($G1182=1,3,IF($G1182=2,7,IF($G1182=3,14,IF($G1182=4,30,60))))))</f>
        <v/>
      </c>
      <c r="I1182" s="21">
        <f>IF($F1182="","",$F1182+$H1182)</f>
        <v/>
      </c>
      <c r="J1182">
        <f>IF($F1182="","⚪ NEW",IF($G1182&gt;=5,"✅ DONE",IF($I1182&lt;TODAY(),"🔴 OVERDUE",IF($I1182=TODAY(),"🟢 TODAY",IF($I1182=TODAY()+1,"🔵 TOMORROW",IF($I1182&lt;=TODAY()+7,"📅 THIS WEEK","⏳ SCHEDULED"))))))</f>
        <v/>
      </c>
      <c r="K1182" s="20">
        <f>IF($F1182="",999,IF($G1182&gt;=5,9999,IF($I1182="",999,$I1182-TODAY())))</f>
        <v/>
      </c>
    </row>
    <row r="1183">
      <c r="A1183" s="38">
        <f>ROW()-2</f>
        <v/>
      </c>
      <c r="B1183" s="39" t="inlineStr">
        <is>
          <t>S9</t>
        </is>
      </c>
      <c r="C1183" s="39" t="inlineStr">
        <is>
          <t>Urgences - Réanimation - Soins palliatifs - Chirurgie plastique</t>
        </is>
      </c>
      <c r="D1183" s="39" t="inlineStr">
        <is>
          <t>Chirurgie plastique</t>
        </is>
      </c>
      <c r="E1183" s="39" t="inlineStr">
        <is>
          <t>PEC locale des brûlures à la phase aiguë</t>
        </is>
      </c>
      <c r="F1183" s="18" t="n"/>
      <c r="G1183" s="19" t="n"/>
      <c r="H1183" s="20">
        <f>IF($G1183="",1,IF($G1183=0,1,IF($G1183=1,3,IF($G1183=2,7,IF($G1183=3,14,IF($G1183=4,30,60))))))</f>
        <v/>
      </c>
      <c r="I1183" s="21">
        <f>IF($F1183="","",$F1183+$H1183)</f>
        <v/>
      </c>
      <c r="J1183">
        <f>IF($F1183="","⚪ NEW",IF($G1183&gt;=5,"✅ DONE",IF($I1183&lt;TODAY(),"🔴 OVERDUE",IF($I1183=TODAY(),"🟢 TODAY",IF($I1183=TODAY()+1,"🔵 TOMORROW",IF($I1183&lt;=TODAY()+7,"📅 THIS WEEK","⏳ SCHEDULED"))))))</f>
        <v/>
      </c>
      <c r="K1183" s="20">
        <f>IF($F1183="",999,IF($G1183&gt;=5,9999,IF($I1183="",999,$I1183-TODAY())))</f>
        <v/>
      </c>
    </row>
    <row r="1184">
      <c r="A1184" s="38">
        <f>ROW()-2</f>
        <v/>
      </c>
      <c r="B1184" s="39" t="inlineStr">
        <is>
          <t>S9</t>
        </is>
      </c>
      <c r="C1184" s="39" t="inlineStr">
        <is>
          <t>Urgences - Réanimation - Soins palliatifs - Chirurgie plastique</t>
        </is>
      </c>
      <c r="D1184" s="39" t="inlineStr">
        <is>
          <t>Chirurgie plastique</t>
        </is>
      </c>
      <c r="E1184" s="39" t="inlineStr">
        <is>
          <t>Les escarres</t>
        </is>
      </c>
      <c r="F1184" s="18" t="n"/>
      <c r="G1184" s="19" t="n"/>
      <c r="H1184" s="20">
        <f>IF($G1184="",1,IF($G1184=0,1,IF($G1184=1,3,IF($G1184=2,7,IF($G1184=3,14,IF($G1184=4,30,60))))))</f>
        <v/>
      </c>
      <c r="I1184" s="21">
        <f>IF($F1184="","",$F1184+$H1184)</f>
        <v/>
      </c>
      <c r="J1184">
        <f>IF($F1184="","⚪ NEW",IF($G1184&gt;=5,"✅ DONE",IF($I1184&lt;TODAY(),"🔴 OVERDUE",IF($I1184=TODAY(),"🟢 TODAY",IF($I1184=TODAY()+1,"🔵 TOMORROW",IF($I1184&lt;=TODAY()+7,"📅 THIS WEEK","⏳ SCHEDULED"))))))</f>
        <v/>
      </c>
      <c r="K1184" s="20">
        <f>IF($F1184="",999,IF($G1184&gt;=5,9999,IF($I1184="",999,$I1184-TODAY())))</f>
        <v/>
      </c>
    </row>
    <row r="1185">
      <c r="A1185" s="16">
        <f>ROW()-2</f>
        <v/>
      </c>
      <c r="B1185" s="17" t="inlineStr">
        <is>
          <t>S10</t>
        </is>
      </c>
      <c r="C1185" s="17" t="inlineStr">
        <is>
          <t>Néphrologie - Urologie</t>
        </is>
      </c>
      <c r="D1185" s="17" t="inlineStr">
        <is>
          <t>Néphrologie</t>
        </is>
      </c>
      <c r="E1185" s="17" t="inlineStr">
        <is>
          <t>Introduction à la pathologie néphrologique</t>
        </is>
      </c>
      <c r="F1185" s="18" t="n"/>
      <c r="G1185" s="19" t="n"/>
      <c r="H1185" s="20">
        <f>IF($G1185="",1,IF($G1185=0,1,IF($G1185=1,3,IF($G1185=2,7,IF($G1185=3,14,IF($G1185=4,30,60))))))</f>
        <v/>
      </c>
      <c r="I1185" s="21">
        <f>IF($F1185="","",$F1185+$H1185)</f>
        <v/>
      </c>
      <c r="J1185">
        <f>IF($F1185="","⚪ NEW",IF($G1185&gt;=5,"✅ DONE",IF($I1185&lt;TODAY(),"🔴 OVERDUE",IF($I1185=TODAY(),"🟢 TODAY",IF($I1185=TODAY()+1,"🔵 TOMORROW",IF($I1185&lt;=TODAY()+7,"📅 THIS WEEK","⏳ SCHEDULED"))))))</f>
        <v/>
      </c>
      <c r="K1185" s="20">
        <f>IF($F1185="",999,IF($G1185&gt;=5,9999,IF($I1185="",999,$I1185-TODAY())))</f>
        <v/>
      </c>
    </row>
    <row r="1186">
      <c r="A1186" s="16">
        <f>ROW()-2</f>
        <v/>
      </c>
      <c r="B1186" s="17" t="inlineStr">
        <is>
          <t>S10</t>
        </is>
      </c>
      <c r="C1186" s="17" t="inlineStr">
        <is>
          <t>Néphrologie - Urologie</t>
        </is>
      </c>
      <c r="D1186" s="17" t="inlineStr">
        <is>
          <t>Néphrologie</t>
        </is>
      </c>
      <c r="E1186" s="17" t="inlineStr">
        <is>
          <t>Lésions glomérulaires minimes</t>
        </is>
      </c>
      <c r="F1186" s="18" t="n"/>
      <c r="G1186" s="19" t="n"/>
      <c r="H1186" s="20">
        <f>IF($G1186="",1,IF($G1186=0,1,IF($G1186=1,3,IF($G1186=2,7,IF($G1186=3,14,IF($G1186=4,30,60))))))</f>
        <v/>
      </c>
      <c r="I1186" s="21">
        <f>IF($F1186="","",$F1186+$H1186)</f>
        <v/>
      </c>
      <c r="J1186">
        <f>IF($F1186="","⚪ NEW",IF($G1186&gt;=5,"✅ DONE",IF($I1186&lt;TODAY(),"🔴 OVERDUE",IF($I1186=TODAY(),"🟢 TODAY",IF($I1186=TODAY()+1,"🔵 TOMORROW",IF($I1186&lt;=TODAY()+7,"📅 THIS WEEK","⏳ SCHEDULED"))))))</f>
        <v/>
      </c>
      <c r="K1186" s="20">
        <f>IF($F1186="",999,IF($G1186&gt;=5,9999,IF($I1186="",999,$I1186-TODAY())))</f>
        <v/>
      </c>
    </row>
    <row r="1187">
      <c r="A1187" s="16">
        <f>ROW()-2</f>
        <v/>
      </c>
      <c r="B1187" s="17" t="inlineStr">
        <is>
          <t>S10</t>
        </is>
      </c>
      <c r="C1187" s="17" t="inlineStr">
        <is>
          <t>Néphrologie - Urologie</t>
        </is>
      </c>
      <c r="D1187" s="17" t="inlineStr">
        <is>
          <t>Néphrologie</t>
        </is>
      </c>
      <c r="E1187" s="17" t="inlineStr">
        <is>
          <t>Hyalinose segmentaire et focale</t>
        </is>
      </c>
      <c r="F1187" s="18" t="n"/>
      <c r="G1187" s="19" t="n"/>
      <c r="H1187" s="20">
        <f>IF($G1187="",1,IF($G1187=0,1,IF($G1187=1,3,IF($G1187=2,7,IF($G1187=3,14,IF($G1187=4,30,60))))))</f>
        <v/>
      </c>
      <c r="I1187" s="21">
        <f>IF($F1187="","",$F1187+$H1187)</f>
        <v/>
      </c>
      <c r="J1187">
        <f>IF($F1187="","⚪ NEW",IF($G1187&gt;=5,"✅ DONE",IF($I1187&lt;TODAY(),"🔴 OVERDUE",IF($I1187=TODAY(),"🟢 TODAY",IF($I1187=TODAY()+1,"🔵 TOMORROW",IF($I1187&lt;=TODAY()+7,"📅 THIS WEEK","⏳ SCHEDULED"))))))</f>
        <v/>
      </c>
      <c r="K1187" s="20">
        <f>IF($F1187="",999,IF($G1187&gt;=5,9999,IF($I1187="",999,$I1187-TODAY())))</f>
        <v/>
      </c>
    </row>
    <row r="1188">
      <c r="A1188" s="16">
        <f>ROW()-2</f>
        <v/>
      </c>
      <c r="B1188" s="17" t="inlineStr">
        <is>
          <t>S10</t>
        </is>
      </c>
      <c r="C1188" s="17" t="inlineStr">
        <is>
          <t>Néphrologie - Urologie</t>
        </is>
      </c>
      <c r="D1188" s="17" t="inlineStr">
        <is>
          <t>Néphrologie</t>
        </is>
      </c>
      <c r="E1188" s="17" t="inlineStr">
        <is>
          <t>Glomérulonéphrite extra-membraneuse (GEM)</t>
        </is>
      </c>
      <c r="F1188" s="18" t="n"/>
      <c r="G1188" s="19" t="n"/>
      <c r="H1188" s="20">
        <f>IF($G1188="",1,IF($G1188=0,1,IF($G1188=1,3,IF($G1188=2,7,IF($G1188=3,14,IF($G1188=4,30,60))))))</f>
        <v/>
      </c>
      <c r="I1188" s="21">
        <f>IF($F1188="","",$F1188+$H1188)</f>
        <v/>
      </c>
      <c r="J1188">
        <f>IF($F1188="","⚪ NEW",IF($G1188&gt;=5,"✅ DONE",IF($I1188&lt;TODAY(),"🔴 OVERDUE",IF($I1188=TODAY(),"🟢 TODAY",IF($I1188=TODAY()+1,"🔵 TOMORROW",IF($I1188&lt;=TODAY()+7,"📅 THIS WEEK","⏳ SCHEDULED"))))))</f>
        <v/>
      </c>
      <c r="K1188" s="20">
        <f>IF($F1188="",999,IF($G1188&gt;=5,9999,IF($I1188="",999,$I1188-TODAY())))</f>
        <v/>
      </c>
    </row>
    <row r="1189">
      <c r="A1189" s="16">
        <f>ROW()-2</f>
        <v/>
      </c>
      <c r="B1189" s="17" t="inlineStr">
        <is>
          <t>S10</t>
        </is>
      </c>
      <c r="C1189" s="17" t="inlineStr">
        <is>
          <t>Néphrologie - Urologie</t>
        </is>
      </c>
      <c r="D1189" s="17" t="inlineStr">
        <is>
          <t>Néphrologie</t>
        </is>
      </c>
      <c r="E1189" s="17" t="inlineStr">
        <is>
          <t>Glomérulonéphrite membrano-proliférative (GNMP)</t>
        </is>
      </c>
      <c r="F1189" s="18" t="n"/>
      <c r="G1189" s="19" t="n"/>
      <c r="H1189" s="20">
        <f>IF($G1189="",1,IF($G1189=0,1,IF($G1189=1,3,IF($G1189=2,7,IF($G1189=3,14,IF($G1189=4,30,60))))))</f>
        <v/>
      </c>
      <c r="I1189" s="21">
        <f>IF($F1189="","",$F1189+$H1189)</f>
        <v/>
      </c>
      <c r="J1189">
        <f>IF($F1189="","⚪ NEW",IF($G1189&gt;=5,"✅ DONE",IF($I1189&lt;TODAY(),"🔴 OVERDUE",IF($I1189=TODAY(),"🟢 TODAY",IF($I1189=TODAY()+1,"🔵 TOMORROW",IF($I1189&lt;=TODAY()+7,"📅 THIS WEEK","⏳ SCHEDULED"))))))</f>
        <v/>
      </c>
      <c r="K1189" s="20">
        <f>IF($F1189="",999,IF($G1189&gt;=5,9999,IF($I1189="",999,$I1189-TODAY())))</f>
        <v/>
      </c>
    </row>
    <row r="1190">
      <c r="A1190" s="16">
        <f>ROW()-2</f>
        <v/>
      </c>
      <c r="B1190" s="17" t="inlineStr">
        <is>
          <t>S10</t>
        </is>
      </c>
      <c r="C1190" s="17" t="inlineStr">
        <is>
          <t>Néphrologie - Urologie</t>
        </is>
      </c>
      <c r="D1190" s="17" t="inlineStr">
        <is>
          <t>Néphrologie</t>
        </is>
      </c>
      <c r="E1190" s="17" t="inlineStr">
        <is>
          <t>Glomérulonéphrite aiguë post-infectieuse</t>
        </is>
      </c>
      <c r="F1190" s="18" t="n"/>
      <c r="G1190" s="19" t="n"/>
      <c r="H1190" s="20">
        <f>IF($G1190="",1,IF($G1190=0,1,IF($G1190=1,3,IF($G1190=2,7,IF($G1190=3,14,IF($G1190=4,30,60))))))</f>
        <v/>
      </c>
      <c r="I1190" s="21">
        <f>IF($F1190="","",$F1190+$H1190)</f>
        <v/>
      </c>
      <c r="J1190">
        <f>IF($F1190="","⚪ NEW",IF($G1190&gt;=5,"✅ DONE",IF($I1190&lt;TODAY(),"🔴 OVERDUE",IF($I1190=TODAY(),"🟢 TODAY",IF($I1190=TODAY()+1,"🔵 TOMORROW",IF($I1190&lt;=TODAY()+7,"📅 THIS WEEK","⏳ SCHEDULED"))))))</f>
        <v/>
      </c>
      <c r="K1190" s="20">
        <f>IF($F1190="",999,IF($G1190&gt;=5,9999,IF($I1190="",999,$I1190-TODAY())))</f>
        <v/>
      </c>
    </row>
    <row r="1191">
      <c r="A1191" s="16">
        <f>ROW()-2</f>
        <v/>
      </c>
      <c r="B1191" s="17" t="inlineStr">
        <is>
          <t>S10</t>
        </is>
      </c>
      <c r="C1191" s="17" t="inlineStr">
        <is>
          <t>Néphrologie - Urologie</t>
        </is>
      </c>
      <c r="D1191" s="17" t="inlineStr">
        <is>
          <t>Néphrologie</t>
        </is>
      </c>
      <c r="E1191" s="17" t="inlineStr">
        <is>
          <t>Glomérulonéphrites extra-capillaires</t>
        </is>
      </c>
      <c r="F1191" s="18" t="n"/>
      <c r="G1191" s="19" t="n"/>
      <c r="H1191" s="20">
        <f>IF($G1191="",1,IF($G1191=0,1,IF($G1191=1,3,IF($G1191=2,7,IF($G1191=3,14,IF($G1191=4,30,60))))))</f>
        <v/>
      </c>
      <c r="I1191" s="21">
        <f>IF($F1191="","",$F1191+$H1191)</f>
        <v/>
      </c>
      <c r="J1191">
        <f>IF($F1191="","⚪ NEW",IF($G1191&gt;=5,"✅ DONE",IF($I1191&lt;TODAY(),"🔴 OVERDUE",IF($I1191=TODAY(),"🟢 TODAY",IF($I1191=TODAY()+1,"🔵 TOMORROW",IF($I1191&lt;=TODAY()+7,"📅 THIS WEEK","⏳ SCHEDULED"))))))</f>
        <v/>
      </c>
      <c r="K1191" s="20">
        <f>IF($F1191="",999,IF($G1191&gt;=5,9999,IF($I1191="",999,$I1191-TODAY())))</f>
        <v/>
      </c>
    </row>
    <row r="1192">
      <c r="A1192" s="16">
        <f>ROW()-2</f>
        <v/>
      </c>
      <c r="B1192" s="17" t="inlineStr">
        <is>
          <t>S10</t>
        </is>
      </c>
      <c r="C1192" s="17" t="inlineStr">
        <is>
          <t>Néphrologie - Urologie</t>
        </is>
      </c>
      <c r="D1192" s="17" t="inlineStr">
        <is>
          <t>Néphrologie</t>
        </is>
      </c>
      <c r="E1192" s="17" t="inlineStr">
        <is>
          <t>Néphropathie à IgA</t>
        </is>
      </c>
      <c r="F1192" s="18" t="n"/>
      <c r="G1192" s="19" t="n"/>
      <c r="H1192" s="20">
        <f>IF($G1192="",1,IF($G1192=0,1,IF($G1192=1,3,IF($G1192=2,7,IF($G1192=3,14,IF($G1192=4,30,60))))))</f>
        <v/>
      </c>
      <c r="I1192" s="21">
        <f>IF($F1192="","",$F1192+$H1192)</f>
        <v/>
      </c>
      <c r="J1192">
        <f>IF($F1192="","⚪ NEW",IF($G1192&gt;=5,"✅ DONE",IF($I1192&lt;TODAY(),"🔴 OVERDUE",IF($I1192=TODAY(),"🟢 TODAY",IF($I1192=TODAY()+1,"🔵 TOMORROW",IF($I1192&lt;=TODAY()+7,"📅 THIS WEEK","⏳ SCHEDULED"))))))</f>
        <v/>
      </c>
      <c r="K1192" s="20">
        <f>IF($F1192="",999,IF($G1192&gt;=5,9999,IF($I1192="",999,$I1192-TODAY())))</f>
        <v/>
      </c>
    </row>
    <row r="1193">
      <c r="A1193" s="16">
        <f>ROW()-2</f>
        <v/>
      </c>
      <c r="B1193" s="17" t="inlineStr">
        <is>
          <t>S10</t>
        </is>
      </c>
      <c r="C1193" s="17" t="inlineStr">
        <is>
          <t>Néphrologie - Urologie</t>
        </is>
      </c>
      <c r="D1193" s="17" t="inlineStr">
        <is>
          <t>Néphrologie</t>
        </is>
      </c>
      <c r="E1193" s="17" t="inlineStr">
        <is>
          <t>Néphropathies tubulo-interstitielles</t>
        </is>
      </c>
      <c r="F1193" s="18" t="n"/>
      <c r="G1193" s="19" t="n"/>
      <c r="H1193" s="20">
        <f>IF($G1193="",1,IF($G1193=0,1,IF($G1193=1,3,IF($G1193=2,7,IF($G1193=3,14,IF($G1193=4,30,60))))))</f>
        <v/>
      </c>
      <c r="I1193" s="21">
        <f>IF($F1193="","",$F1193+$H1193)</f>
        <v/>
      </c>
      <c r="J1193">
        <f>IF($F1193="","⚪ NEW",IF($G1193&gt;=5,"✅ DONE",IF($I1193&lt;TODAY(),"🔴 OVERDUE",IF($I1193=TODAY(),"🟢 TODAY",IF($I1193=TODAY()+1,"🔵 TOMORROW",IF($I1193&lt;=TODAY()+7,"📅 THIS WEEK","⏳ SCHEDULED"))))))</f>
        <v/>
      </c>
      <c r="K1193" s="20">
        <f>IF($F1193="",999,IF($G1193&gt;=5,9999,IF($I1193="",999,$I1193-TODAY())))</f>
        <v/>
      </c>
    </row>
    <row r="1194">
      <c r="A1194" s="16">
        <f>ROW()-2</f>
        <v/>
      </c>
      <c r="B1194" s="17" t="inlineStr">
        <is>
          <t>S10</t>
        </is>
      </c>
      <c r="C1194" s="17" t="inlineStr">
        <is>
          <t>Néphrologie - Urologie</t>
        </is>
      </c>
      <c r="D1194" s="17" t="inlineStr">
        <is>
          <t>Néphrologie</t>
        </is>
      </c>
      <c r="E1194" s="17" t="inlineStr">
        <is>
          <t>Atteinte rénale au cours du myélome multiple</t>
        </is>
      </c>
      <c r="F1194" s="18" t="n"/>
      <c r="G1194" s="19" t="n"/>
      <c r="H1194" s="20">
        <f>IF($G1194="",1,IF($G1194=0,1,IF($G1194=1,3,IF($G1194=2,7,IF($G1194=3,14,IF($G1194=4,30,60))))))</f>
        <v/>
      </c>
      <c r="I1194" s="21">
        <f>IF($F1194="","",$F1194+$H1194)</f>
        <v/>
      </c>
      <c r="J1194">
        <f>IF($F1194="","⚪ NEW",IF($G1194&gt;=5,"✅ DONE",IF($I1194&lt;TODAY(),"🔴 OVERDUE",IF($I1194=TODAY(),"🟢 TODAY",IF($I1194=TODAY()+1,"🔵 TOMORROW",IF($I1194&lt;=TODAY()+7,"📅 THIS WEEK","⏳ SCHEDULED"))))))</f>
        <v/>
      </c>
      <c r="K1194" s="20">
        <f>IF($F1194="",999,IF($G1194&gt;=5,9999,IF($I1194="",999,$I1194-TODAY())))</f>
        <v/>
      </c>
    </row>
    <row r="1195">
      <c r="A1195" s="16">
        <f>ROW()-2</f>
        <v/>
      </c>
      <c r="B1195" s="17" t="inlineStr">
        <is>
          <t>S10</t>
        </is>
      </c>
      <c r="C1195" s="17" t="inlineStr">
        <is>
          <t>Néphrologie - Urologie</t>
        </is>
      </c>
      <c r="D1195" s="17" t="inlineStr">
        <is>
          <t>Néphrologie</t>
        </is>
      </c>
      <c r="E1195" s="17" t="inlineStr">
        <is>
          <t>Néphropathie diabétique</t>
        </is>
      </c>
      <c r="F1195" s="18" t="n"/>
      <c r="G1195" s="19" t="n"/>
      <c r="H1195" s="20">
        <f>IF($G1195="",1,IF($G1195=0,1,IF($G1195=1,3,IF($G1195=2,7,IF($G1195=3,14,IF($G1195=4,30,60))))))</f>
        <v/>
      </c>
      <c r="I1195" s="21">
        <f>IF($F1195="","",$F1195+$H1195)</f>
        <v/>
      </c>
      <c r="J1195">
        <f>IF($F1195="","⚪ NEW",IF($G1195&gt;=5,"✅ DONE",IF($I1195&lt;TODAY(),"🔴 OVERDUE",IF($I1195=TODAY(),"🟢 TODAY",IF($I1195=TODAY()+1,"🔵 TOMORROW",IF($I1195&lt;=TODAY()+7,"📅 THIS WEEK","⏳ SCHEDULED"))))))</f>
        <v/>
      </c>
      <c r="K1195" s="20">
        <f>IF($F1195="",999,IF($G1195&gt;=5,9999,IF($I1195="",999,$I1195-TODAY())))</f>
        <v/>
      </c>
    </row>
    <row r="1196">
      <c r="A1196" s="16">
        <f>ROW()-2</f>
        <v/>
      </c>
      <c r="B1196" s="17" t="inlineStr">
        <is>
          <t>S10</t>
        </is>
      </c>
      <c r="C1196" s="17" t="inlineStr">
        <is>
          <t>Néphrologie - Urologie</t>
        </is>
      </c>
      <c r="D1196" s="17" t="inlineStr">
        <is>
          <t>Néphrologie</t>
        </is>
      </c>
      <c r="E1196" s="17" t="inlineStr">
        <is>
          <t>Néphropathie lupique</t>
        </is>
      </c>
      <c r="F1196" s="18" t="n"/>
      <c r="G1196" s="19" t="n"/>
      <c r="H1196" s="20">
        <f>IF($G1196="",1,IF($G1196=0,1,IF($G1196=1,3,IF($G1196=2,7,IF($G1196=3,14,IF($G1196=4,30,60))))))</f>
        <v/>
      </c>
      <c r="I1196" s="21">
        <f>IF($F1196="","",$F1196+$H1196)</f>
        <v/>
      </c>
      <c r="J1196">
        <f>IF($F1196="","⚪ NEW",IF($G1196&gt;=5,"✅ DONE",IF($I1196&lt;TODAY(),"🔴 OVERDUE",IF($I1196=TODAY(),"🟢 TODAY",IF($I1196=TODAY()+1,"🔵 TOMORROW",IF($I1196&lt;=TODAY()+7,"📅 THIS WEEK","⏳ SCHEDULED"))))))</f>
        <v/>
      </c>
      <c r="K1196" s="20">
        <f>IF($F1196="",999,IF($G1196&gt;=5,9999,IF($I1196="",999,$I1196-TODAY())))</f>
        <v/>
      </c>
    </row>
    <row r="1197">
      <c r="A1197" s="16">
        <f>ROW()-2</f>
        <v/>
      </c>
      <c r="B1197" s="17" t="inlineStr">
        <is>
          <t>S10</t>
        </is>
      </c>
      <c r="C1197" s="17" t="inlineStr">
        <is>
          <t>Néphrologie - Urologie</t>
        </is>
      </c>
      <c r="D1197" s="17" t="inlineStr">
        <is>
          <t>Néphrologie</t>
        </is>
      </c>
      <c r="E1197" s="17" t="inlineStr">
        <is>
          <t>Les amyloses rénales</t>
        </is>
      </c>
      <c r="F1197" s="18" t="n"/>
      <c r="G1197" s="19" t="n"/>
      <c r="H1197" s="20">
        <f>IF($G1197="",1,IF($G1197=0,1,IF($G1197=1,3,IF($G1197=2,7,IF($G1197=3,14,IF($G1197=4,30,60))))))</f>
        <v/>
      </c>
      <c r="I1197" s="21">
        <f>IF($F1197="","",$F1197+$H1197)</f>
        <v/>
      </c>
      <c r="J1197">
        <f>IF($F1197="","⚪ NEW",IF($G1197&gt;=5,"✅ DONE",IF($I1197&lt;TODAY(),"🔴 OVERDUE",IF($I1197=TODAY(),"🟢 TODAY",IF($I1197=TODAY()+1,"🔵 TOMORROW",IF($I1197&lt;=TODAY()+7,"📅 THIS WEEK","⏳ SCHEDULED"))))))</f>
        <v/>
      </c>
      <c r="K1197" s="20">
        <f>IF($F1197="",999,IF($G1197&gt;=5,9999,IF($I1197="",999,$I1197-TODAY())))</f>
        <v/>
      </c>
    </row>
    <row r="1198">
      <c r="A1198" s="16">
        <f>ROW()-2</f>
        <v/>
      </c>
      <c r="B1198" s="17" t="inlineStr">
        <is>
          <t>S10</t>
        </is>
      </c>
      <c r="C1198" s="17" t="inlineStr">
        <is>
          <t>Néphrologie - Urologie</t>
        </is>
      </c>
      <c r="D1198" s="17" t="inlineStr">
        <is>
          <t>Néphrologie</t>
        </is>
      </c>
      <c r="E1198" s="17" t="inlineStr">
        <is>
          <t>Les maladies rénales héréditaires</t>
        </is>
      </c>
      <c r="F1198" s="18" t="n"/>
      <c r="G1198" s="19" t="n"/>
      <c r="H1198" s="20">
        <f>IF($G1198="",1,IF($G1198=0,1,IF($G1198=1,3,IF($G1198=2,7,IF($G1198=3,14,IF($G1198=4,30,60))))))</f>
        <v/>
      </c>
      <c r="I1198" s="21">
        <f>IF($F1198="","",$F1198+$H1198)</f>
        <v/>
      </c>
      <c r="J1198">
        <f>IF($F1198="","⚪ NEW",IF($G1198&gt;=5,"✅ DONE",IF($I1198&lt;TODAY(),"🔴 OVERDUE",IF($I1198=TODAY(),"🟢 TODAY",IF($I1198=TODAY()+1,"🔵 TOMORROW",IF($I1198&lt;=TODAY()+7,"📅 THIS WEEK","⏳ SCHEDULED"))))))</f>
        <v/>
      </c>
      <c r="K1198" s="20">
        <f>IF($F1198="",999,IF($G1198&gt;=5,9999,IF($I1198="",999,$I1198-TODAY())))</f>
        <v/>
      </c>
    </row>
    <row r="1199">
      <c r="A1199" s="16">
        <f>ROW()-2</f>
        <v/>
      </c>
      <c r="B1199" s="17" t="inlineStr">
        <is>
          <t>S10</t>
        </is>
      </c>
      <c r="C1199" s="17" t="inlineStr">
        <is>
          <t>Néphrologie - Urologie</t>
        </is>
      </c>
      <c r="D1199" s="17" t="inlineStr">
        <is>
          <t>Néphrologie</t>
        </is>
      </c>
      <c r="E1199" s="17" t="inlineStr">
        <is>
          <t>Insuffisance rénale aiguë</t>
        </is>
      </c>
      <c r="F1199" s="18" t="n"/>
      <c r="G1199" s="19" t="n"/>
      <c r="H1199" s="20">
        <f>IF($G1199="",1,IF($G1199=0,1,IF($G1199=1,3,IF($G1199=2,7,IF($G1199=3,14,IF($G1199=4,30,60))))))</f>
        <v/>
      </c>
      <c r="I1199" s="21">
        <f>IF($F1199="","",$F1199+$H1199)</f>
        <v/>
      </c>
      <c r="J1199">
        <f>IF($F1199="","⚪ NEW",IF($G1199&gt;=5,"✅ DONE",IF($I1199&lt;TODAY(),"🔴 OVERDUE",IF($I1199=TODAY(),"🟢 TODAY",IF($I1199=TODAY()+1,"🔵 TOMORROW",IF($I1199&lt;=TODAY()+7,"📅 THIS WEEK","⏳ SCHEDULED"))))))</f>
        <v/>
      </c>
      <c r="K1199" s="20">
        <f>IF($F1199="",999,IF($G1199&gt;=5,9999,IF($I1199="",999,$I1199-TODAY())))</f>
        <v/>
      </c>
    </row>
    <row r="1200">
      <c r="A1200" s="16">
        <f>ROW()-2</f>
        <v/>
      </c>
      <c r="B1200" s="17" t="inlineStr">
        <is>
          <t>S10</t>
        </is>
      </c>
      <c r="C1200" s="17" t="inlineStr">
        <is>
          <t>Néphrologie - Urologie</t>
        </is>
      </c>
      <c r="D1200" s="17" t="inlineStr">
        <is>
          <t>Néphrologie</t>
        </is>
      </c>
      <c r="E1200" s="17" t="inlineStr">
        <is>
          <t>Maladie rénale chronique (MRC)</t>
        </is>
      </c>
      <c r="F1200" s="18" t="n"/>
      <c r="G1200" s="19" t="n"/>
      <c r="H1200" s="20">
        <f>IF($G1200="",1,IF($G1200=0,1,IF($G1200=1,3,IF($G1200=2,7,IF($G1200=3,14,IF($G1200=4,30,60))))))</f>
        <v/>
      </c>
      <c r="I1200" s="21">
        <f>IF($F1200="","",$F1200+$H1200)</f>
        <v/>
      </c>
      <c r="J1200">
        <f>IF($F1200="","⚪ NEW",IF($G1200&gt;=5,"✅ DONE",IF($I1200&lt;TODAY(),"🔴 OVERDUE",IF($I1200=TODAY(),"🟢 TODAY",IF($I1200=TODAY()+1,"🔵 TOMORROW",IF($I1200&lt;=TODAY()+7,"📅 THIS WEEK","⏳ SCHEDULED"))))))</f>
        <v/>
      </c>
      <c r="K1200" s="20">
        <f>IF($F1200="",999,IF($G1200&gt;=5,9999,IF($I1200="",999,$I1200-TODAY())))</f>
        <v/>
      </c>
    </row>
    <row r="1201">
      <c r="A1201" s="16">
        <f>ROW()-2</f>
        <v/>
      </c>
      <c r="B1201" s="17" t="inlineStr">
        <is>
          <t>S10</t>
        </is>
      </c>
      <c r="C1201" s="17" t="inlineStr">
        <is>
          <t>Néphrologie - Urologie</t>
        </is>
      </c>
      <c r="D1201" s="17" t="inlineStr">
        <is>
          <t>Néphrologie</t>
        </is>
      </c>
      <c r="E1201" s="17" t="inlineStr">
        <is>
          <t>Transplantation rénale</t>
        </is>
      </c>
      <c r="F1201" s="18" t="n"/>
      <c r="G1201" s="19" t="n"/>
      <c r="H1201" s="20">
        <f>IF($G1201="",1,IF($G1201=0,1,IF($G1201=1,3,IF($G1201=2,7,IF($G1201=3,14,IF($G1201=4,30,60))))))</f>
        <v/>
      </c>
      <c r="I1201" s="21">
        <f>IF($F1201="","",$F1201+$H1201)</f>
        <v/>
      </c>
      <c r="J1201">
        <f>IF($F1201="","⚪ NEW",IF($G1201&gt;=5,"✅ DONE",IF($I1201&lt;TODAY(),"🔴 OVERDUE",IF($I1201=TODAY(),"🟢 TODAY",IF($I1201=TODAY()+1,"🔵 TOMORROW",IF($I1201&lt;=TODAY()+7,"📅 THIS WEEK","⏳ SCHEDULED"))))))</f>
        <v/>
      </c>
      <c r="K1201" s="20">
        <f>IF($F1201="",999,IF($G1201&gt;=5,9999,IF($I1201="",999,$I1201-TODAY())))</f>
        <v/>
      </c>
    </row>
    <row r="1202">
      <c r="A1202" s="16">
        <f>ROW()-2</f>
        <v/>
      </c>
      <c r="B1202" s="17" t="inlineStr">
        <is>
          <t>S10</t>
        </is>
      </c>
      <c r="C1202" s="17" t="inlineStr">
        <is>
          <t>Néphrologie - Urologie</t>
        </is>
      </c>
      <c r="D1202" s="17" t="inlineStr">
        <is>
          <t>Urologie</t>
        </is>
      </c>
      <c r="E1202" s="17" t="inlineStr">
        <is>
          <t>Hypertrophie bénigne de la prostate (HBP)</t>
        </is>
      </c>
      <c r="F1202" s="18" t="n"/>
      <c r="G1202" s="19" t="n"/>
      <c r="H1202" s="20">
        <f>IF($G1202="",1,IF($G1202=0,1,IF($G1202=1,3,IF($G1202=2,7,IF($G1202=3,14,IF($G1202=4,30,60))))))</f>
        <v/>
      </c>
      <c r="I1202" s="21">
        <f>IF($F1202="","",$F1202+$H1202)</f>
        <v/>
      </c>
      <c r="J1202">
        <f>IF($F1202="","⚪ NEW",IF($G1202&gt;=5,"✅ DONE",IF($I1202&lt;TODAY(),"🔴 OVERDUE",IF($I1202=TODAY(),"🟢 TODAY",IF($I1202=TODAY()+1,"🔵 TOMORROW",IF($I1202&lt;=TODAY()+7,"📅 THIS WEEK","⏳ SCHEDULED"))))))</f>
        <v/>
      </c>
      <c r="K1202" s="20">
        <f>IF($F1202="",999,IF($G1202&gt;=5,9999,IF($I1202="",999,$I1202-TODAY())))</f>
        <v/>
      </c>
    </row>
    <row r="1203">
      <c r="A1203" s="16">
        <f>ROW()-2</f>
        <v/>
      </c>
      <c r="B1203" s="17" t="inlineStr">
        <is>
          <t>S10</t>
        </is>
      </c>
      <c r="C1203" s="17" t="inlineStr">
        <is>
          <t>Néphrologie - Urologie</t>
        </is>
      </c>
      <c r="D1203" s="17" t="inlineStr">
        <is>
          <t>Urologie</t>
        </is>
      </c>
      <c r="E1203" s="17" t="inlineStr">
        <is>
          <t>Cancer de la prostate</t>
        </is>
      </c>
      <c r="F1203" s="18" t="n"/>
      <c r="G1203" s="19" t="n"/>
      <c r="H1203" s="20">
        <f>IF($G1203="",1,IF($G1203=0,1,IF($G1203=1,3,IF($G1203=2,7,IF($G1203=3,14,IF($G1203=4,30,60))))))</f>
        <v/>
      </c>
      <c r="I1203" s="21">
        <f>IF($F1203="","",$F1203+$H1203)</f>
        <v/>
      </c>
      <c r="J1203">
        <f>IF($F1203="","⚪ NEW",IF($G1203&gt;=5,"✅ DONE",IF($I1203&lt;TODAY(),"🔴 OVERDUE",IF($I1203=TODAY(),"🟢 TODAY",IF($I1203=TODAY()+1,"🔵 TOMORROW",IF($I1203&lt;=TODAY()+7,"📅 THIS WEEK","⏳ SCHEDULED"))))))</f>
        <v/>
      </c>
      <c r="K1203" s="20">
        <f>IF($F1203="",999,IF($G1203&gt;=5,9999,IF($I1203="",999,$I1203-TODAY())))</f>
        <v/>
      </c>
    </row>
    <row r="1204">
      <c r="A1204" s="16">
        <f>ROW()-2</f>
        <v/>
      </c>
      <c r="B1204" s="17" t="inlineStr">
        <is>
          <t>S10</t>
        </is>
      </c>
      <c r="C1204" s="17" t="inlineStr">
        <is>
          <t>Néphrologie - Urologie</t>
        </is>
      </c>
      <c r="D1204" s="17" t="inlineStr">
        <is>
          <t>Urologie</t>
        </is>
      </c>
      <c r="E1204" s="17" t="inlineStr">
        <is>
          <t>Cancer de la vessie</t>
        </is>
      </c>
      <c r="F1204" s="18" t="n"/>
      <c r="G1204" s="19" t="n"/>
      <c r="H1204" s="20">
        <f>IF($G1204="",1,IF($G1204=0,1,IF($G1204=1,3,IF($G1204=2,7,IF($G1204=3,14,IF($G1204=4,30,60))))))</f>
        <v/>
      </c>
      <c r="I1204" s="21">
        <f>IF($F1204="","",$F1204+$H1204)</f>
        <v/>
      </c>
      <c r="J1204">
        <f>IF($F1204="","⚪ NEW",IF($G1204&gt;=5,"✅ DONE",IF($I1204&lt;TODAY(),"🔴 OVERDUE",IF($I1204=TODAY(),"🟢 TODAY",IF($I1204=TODAY()+1,"🔵 TOMORROW",IF($I1204&lt;=TODAY()+7,"📅 THIS WEEK","⏳ SCHEDULED"))))))</f>
        <v/>
      </c>
      <c r="K1204" s="20">
        <f>IF($F1204="",999,IF($G1204&gt;=5,9999,IF($I1204="",999,$I1204-TODAY())))</f>
        <v/>
      </c>
    </row>
    <row r="1205">
      <c r="A1205" s="16">
        <f>ROW()-2</f>
        <v/>
      </c>
      <c r="B1205" s="17" t="inlineStr">
        <is>
          <t>S10</t>
        </is>
      </c>
      <c r="C1205" s="17" t="inlineStr">
        <is>
          <t>Néphrologie - Urologie</t>
        </is>
      </c>
      <c r="D1205" s="17" t="inlineStr">
        <is>
          <t>Urologie</t>
        </is>
      </c>
      <c r="E1205" s="17" t="inlineStr">
        <is>
          <t>Tumeurs des voies excrétrices</t>
        </is>
      </c>
      <c r="F1205" s="18" t="n"/>
      <c r="G1205" s="19" t="n"/>
      <c r="H1205" s="20">
        <f>IF($G1205="",1,IF($G1205=0,1,IF($G1205=1,3,IF($G1205=2,7,IF($G1205=3,14,IF($G1205=4,30,60))))))</f>
        <v/>
      </c>
      <c r="I1205" s="21">
        <f>IF($F1205="","",$F1205+$H1205)</f>
        <v/>
      </c>
      <c r="J1205">
        <f>IF($F1205="","⚪ NEW",IF($G1205&gt;=5,"✅ DONE",IF($I1205&lt;TODAY(),"🔴 OVERDUE",IF($I1205=TODAY(),"🟢 TODAY",IF($I1205=TODAY()+1,"🔵 TOMORROW",IF($I1205&lt;=TODAY()+7,"📅 THIS WEEK","⏳ SCHEDULED"))))))</f>
        <v/>
      </c>
      <c r="K1205" s="20">
        <f>IF($F1205="",999,IF($G1205&gt;=5,9999,IF($I1205="",999,$I1205-TODAY())))</f>
        <v/>
      </c>
    </row>
    <row r="1206">
      <c r="A1206" s="16">
        <f>ROW()-2</f>
        <v/>
      </c>
      <c r="B1206" s="17" t="inlineStr">
        <is>
          <t>S10</t>
        </is>
      </c>
      <c r="C1206" s="17" t="inlineStr">
        <is>
          <t>Néphrologie - Urologie</t>
        </is>
      </c>
      <c r="D1206" s="17" t="inlineStr">
        <is>
          <t>Urologie</t>
        </is>
      </c>
      <c r="E1206" s="17" t="inlineStr">
        <is>
          <t>Cancer du rein</t>
        </is>
      </c>
      <c r="F1206" s="18" t="n"/>
      <c r="G1206" s="19" t="n"/>
      <c r="H1206" s="20">
        <f>IF($G1206="",1,IF($G1206=0,1,IF($G1206=1,3,IF($G1206=2,7,IF($G1206=3,14,IF($G1206=4,30,60))))))</f>
        <v/>
      </c>
      <c r="I1206" s="21">
        <f>IF($F1206="","",$F1206+$H1206)</f>
        <v/>
      </c>
      <c r="J1206">
        <f>IF($F1206="","⚪ NEW",IF($G1206&gt;=5,"✅ DONE",IF($I1206&lt;TODAY(),"🔴 OVERDUE",IF($I1206=TODAY(),"🟢 TODAY",IF($I1206=TODAY()+1,"🔵 TOMORROW",IF($I1206&lt;=TODAY()+7,"📅 THIS WEEK","⏳ SCHEDULED"))))))</f>
        <v/>
      </c>
      <c r="K1206" s="20">
        <f>IF($F1206="",999,IF($G1206&gt;=5,9999,IF($I1206="",999,$I1206-TODAY())))</f>
        <v/>
      </c>
    </row>
    <row r="1207">
      <c r="A1207" s="16">
        <f>ROW()-2</f>
        <v/>
      </c>
      <c r="B1207" s="17" t="inlineStr">
        <is>
          <t>S10</t>
        </is>
      </c>
      <c r="C1207" s="17" t="inlineStr">
        <is>
          <t>Néphrologie - Urologie</t>
        </is>
      </c>
      <c r="D1207" s="17" t="inlineStr">
        <is>
          <t>Urologie</t>
        </is>
      </c>
      <c r="E1207" s="17" t="inlineStr">
        <is>
          <t>Tumeurs rétropéritonéales primitives</t>
        </is>
      </c>
      <c r="F1207" s="18" t="n"/>
      <c r="G1207" s="19" t="n"/>
      <c r="H1207" s="20">
        <f>IF($G1207="",1,IF($G1207=0,1,IF($G1207=1,3,IF($G1207=2,7,IF($G1207=3,14,IF($G1207=4,30,60))))))</f>
        <v/>
      </c>
      <c r="I1207" s="21">
        <f>IF($F1207="","",$F1207+$H1207)</f>
        <v/>
      </c>
      <c r="J1207">
        <f>IF($F1207="","⚪ NEW",IF($G1207&gt;=5,"✅ DONE",IF($I1207&lt;TODAY(),"🔴 OVERDUE",IF($I1207=TODAY(),"🟢 TODAY",IF($I1207=TODAY()+1,"🔵 TOMORROW",IF($I1207&lt;=TODAY()+7,"📅 THIS WEEK","⏳ SCHEDULED"))))))</f>
        <v/>
      </c>
      <c r="K1207" s="20">
        <f>IF($F1207="",999,IF($G1207&gt;=5,9999,IF($I1207="",999,$I1207-TODAY())))</f>
        <v/>
      </c>
    </row>
    <row r="1208">
      <c r="A1208" s="16">
        <f>ROW()-2</f>
        <v/>
      </c>
      <c r="B1208" s="17" t="inlineStr">
        <is>
          <t>S10</t>
        </is>
      </c>
      <c r="C1208" s="17" t="inlineStr">
        <is>
          <t>Néphrologie - Urologie</t>
        </is>
      </c>
      <c r="D1208" s="17" t="inlineStr">
        <is>
          <t>Urologie</t>
        </is>
      </c>
      <c r="E1208" s="17" t="inlineStr">
        <is>
          <t>Cancer de la verge</t>
        </is>
      </c>
      <c r="F1208" s="18" t="n"/>
      <c r="G1208" s="19" t="n"/>
      <c r="H1208" s="20">
        <f>IF($G1208="",1,IF($G1208=0,1,IF($G1208=1,3,IF($G1208=2,7,IF($G1208=3,14,IF($G1208=4,30,60))))))</f>
        <v/>
      </c>
      <c r="I1208" s="21">
        <f>IF($F1208="","",$F1208+$H1208)</f>
        <v/>
      </c>
      <c r="J1208">
        <f>IF($F1208="","⚪ NEW",IF($G1208&gt;=5,"✅ DONE",IF($I1208&lt;TODAY(),"🔴 OVERDUE",IF($I1208=TODAY(),"🟢 TODAY",IF($I1208=TODAY()+1,"🔵 TOMORROW",IF($I1208&lt;=TODAY()+7,"📅 THIS WEEK","⏳ SCHEDULED"))))))</f>
        <v/>
      </c>
      <c r="K1208" s="20">
        <f>IF($F1208="",999,IF($G1208&gt;=5,9999,IF($I1208="",999,$I1208-TODAY())))</f>
        <v/>
      </c>
    </row>
    <row r="1209">
      <c r="A1209" s="16">
        <f>ROW()-2</f>
        <v/>
      </c>
      <c r="B1209" s="17" t="inlineStr">
        <is>
          <t>S10</t>
        </is>
      </c>
      <c r="C1209" s="17" t="inlineStr">
        <is>
          <t>Néphrologie - Urologie</t>
        </is>
      </c>
      <c r="D1209" s="17" t="inlineStr">
        <is>
          <t>Urologie</t>
        </is>
      </c>
      <c r="E1209" s="17" t="inlineStr">
        <is>
          <t>Cancer du testicule</t>
        </is>
      </c>
      <c r="F1209" s="18" t="n"/>
      <c r="G1209" s="19" t="n"/>
      <c r="H1209" s="20">
        <f>IF($G1209="",1,IF($G1209=0,1,IF($G1209=1,3,IF($G1209=2,7,IF($G1209=3,14,IF($G1209=4,30,60))))))</f>
        <v/>
      </c>
      <c r="I1209" s="21">
        <f>IF($F1209="","",$F1209+$H1209)</f>
        <v/>
      </c>
      <c r="J1209">
        <f>IF($F1209="","⚪ NEW",IF($G1209&gt;=5,"✅ DONE",IF($I1209&lt;TODAY(),"🔴 OVERDUE",IF($I1209=TODAY(),"🟢 TODAY",IF($I1209=TODAY()+1,"🔵 TOMORROW",IF($I1209&lt;=TODAY()+7,"📅 THIS WEEK","⏳ SCHEDULED"))))))</f>
        <v/>
      </c>
      <c r="K1209" s="20">
        <f>IF($F1209="",999,IF($G1209&gt;=5,9999,IF($I1209="",999,$I1209-TODAY())))</f>
        <v/>
      </c>
    </row>
    <row r="1210">
      <c r="A1210" s="16">
        <f>ROW()-2</f>
        <v/>
      </c>
      <c r="B1210" s="17" t="inlineStr">
        <is>
          <t>S10</t>
        </is>
      </c>
      <c r="C1210" s="17" t="inlineStr">
        <is>
          <t>Néphrologie - Urologie</t>
        </is>
      </c>
      <c r="D1210" s="17" t="inlineStr">
        <is>
          <t>Urologie</t>
        </is>
      </c>
      <c r="E1210" s="17" t="inlineStr">
        <is>
          <t>Tuberculose uro-génitale</t>
        </is>
      </c>
      <c r="F1210" s="18" t="n"/>
      <c r="G1210" s="19" t="n"/>
      <c r="H1210" s="20">
        <f>IF($G1210="",1,IF($G1210=0,1,IF($G1210=1,3,IF($G1210=2,7,IF($G1210=3,14,IF($G1210=4,30,60))))))</f>
        <v/>
      </c>
      <c r="I1210" s="21">
        <f>IF($F1210="","",$F1210+$H1210)</f>
        <v/>
      </c>
      <c r="J1210">
        <f>IF($F1210="","⚪ NEW",IF($G1210&gt;=5,"✅ DONE",IF($I1210&lt;TODAY(),"🔴 OVERDUE",IF($I1210=TODAY(),"🟢 TODAY",IF($I1210=TODAY()+1,"🔵 TOMORROW",IF($I1210&lt;=TODAY()+7,"📅 THIS WEEK","⏳ SCHEDULED"))))))</f>
        <v/>
      </c>
      <c r="K1210" s="20">
        <f>IF($F1210="",999,IF($G1210&gt;=5,9999,IF($I1210="",999,$I1210-TODAY())))</f>
        <v/>
      </c>
    </row>
    <row r="1211">
      <c r="A1211" s="16">
        <f>ROW()-2</f>
        <v/>
      </c>
      <c r="B1211" s="17" t="inlineStr">
        <is>
          <t>S10</t>
        </is>
      </c>
      <c r="C1211" s="17" t="inlineStr">
        <is>
          <t>Néphrologie - Urologie</t>
        </is>
      </c>
      <c r="D1211" s="17" t="inlineStr">
        <is>
          <t>Urologie</t>
        </is>
      </c>
      <c r="E1211" s="17" t="inlineStr">
        <is>
          <t>Syndrome de la jonction pyélo-urétérale</t>
        </is>
      </c>
      <c r="F1211" s="18" t="n"/>
      <c r="G1211" s="19" t="n"/>
      <c r="H1211" s="20">
        <f>IF($G1211="",1,IF($G1211=0,1,IF($G1211=1,3,IF($G1211=2,7,IF($G1211=3,14,IF($G1211=4,30,60))))))</f>
        <v/>
      </c>
      <c r="I1211" s="21">
        <f>IF($F1211="","",$F1211+$H1211)</f>
        <v/>
      </c>
      <c r="J1211">
        <f>IF($F1211="","⚪ NEW",IF($G1211&gt;=5,"✅ DONE",IF($I1211&lt;TODAY(),"🔴 OVERDUE",IF($I1211=TODAY(),"🟢 TODAY",IF($I1211=TODAY()+1,"🔵 TOMORROW",IF($I1211&lt;=TODAY()+7,"📅 THIS WEEK","⏳ SCHEDULED"))))))</f>
        <v/>
      </c>
      <c r="K1211" s="20">
        <f>IF($F1211="",999,IF($G1211&gt;=5,9999,IF($I1211="",999,$I1211-TODAY())))</f>
        <v/>
      </c>
    </row>
    <row r="1212">
      <c r="A1212" s="16">
        <f>ROW()-2</f>
        <v/>
      </c>
      <c r="B1212" s="17" t="inlineStr">
        <is>
          <t>S10</t>
        </is>
      </c>
      <c r="C1212" s="17" t="inlineStr">
        <is>
          <t>Néphrologie - Urologie</t>
        </is>
      </c>
      <c r="D1212" s="17" t="inlineStr">
        <is>
          <t>Urologie</t>
        </is>
      </c>
      <c r="E1212" s="17" t="inlineStr">
        <is>
          <t>Reflux vésico-urétéral</t>
        </is>
      </c>
      <c r="F1212" s="18" t="n"/>
      <c r="G1212" s="19" t="n"/>
      <c r="H1212" s="20">
        <f>IF($G1212="",1,IF($G1212=0,1,IF($G1212=1,3,IF($G1212=2,7,IF($G1212=3,14,IF($G1212=4,30,60))))))</f>
        <v/>
      </c>
      <c r="I1212" s="21">
        <f>IF($F1212="","",$F1212+$H1212)</f>
        <v/>
      </c>
      <c r="J1212">
        <f>IF($F1212="","⚪ NEW",IF($G1212&gt;=5,"✅ DONE",IF($I1212&lt;TODAY(),"🔴 OVERDUE",IF($I1212=TODAY(),"🟢 TODAY",IF($I1212=TODAY()+1,"🔵 TOMORROW",IF($I1212&lt;=TODAY()+7,"📅 THIS WEEK","⏳ SCHEDULED"))))))</f>
        <v/>
      </c>
      <c r="K1212" s="20">
        <f>IF($F1212="",999,IF($G1212&gt;=5,9999,IF($I1212="",999,$I1212-TODAY())))</f>
        <v/>
      </c>
    </row>
    <row r="1213">
      <c r="A1213" s="16">
        <f>ROW()-2</f>
        <v/>
      </c>
      <c r="B1213" s="17" t="inlineStr">
        <is>
          <t>S10</t>
        </is>
      </c>
      <c r="C1213" s="17" t="inlineStr">
        <is>
          <t>Néphrologie - Urologie</t>
        </is>
      </c>
      <c r="D1213" s="17" t="inlineStr">
        <is>
          <t>Urologie</t>
        </is>
      </c>
      <c r="E1213" s="17" t="inlineStr">
        <is>
          <t>Les traumatismes uro-génitaux</t>
        </is>
      </c>
      <c r="F1213" s="18" t="n"/>
      <c r="G1213" s="19" t="n"/>
      <c r="H1213" s="20">
        <f>IF($G1213="",1,IF($G1213=0,1,IF($G1213=1,3,IF($G1213=2,7,IF($G1213=3,14,IF($G1213=4,30,60))))))</f>
        <v/>
      </c>
      <c r="I1213" s="21">
        <f>IF($F1213="","",$F1213+$H1213)</f>
        <v/>
      </c>
      <c r="J1213">
        <f>IF($F1213="","⚪ NEW",IF($G1213&gt;=5,"✅ DONE",IF($I1213&lt;TODAY(),"🔴 OVERDUE",IF($I1213=TODAY(),"🟢 TODAY",IF($I1213=TODAY()+1,"🔵 TOMORROW",IF($I1213&lt;=TODAY()+7,"📅 THIS WEEK","⏳ SCHEDULED"))))))</f>
        <v/>
      </c>
      <c r="K1213" s="20">
        <f>IF($F1213="",999,IF($G1213&gt;=5,9999,IF($I1213="",999,$I1213-TODAY())))</f>
        <v/>
      </c>
    </row>
    <row r="1214">
      <c r="A1214" s="16">
        <f>ROW()-2</f>
        <v/>
      </c>
      <c r="B1214" s="17" t="inlineStr">
        <is>
          <t>S10</t>
        </is>
      </c>
      <c r="C1214" s="17" t="inlineStr">
        <is>
          <t>Néphrologie - Urologie</t>
        </is>
      </c>
      <c r="D1214" s="17" t="inlineStr">
        <is>
          <t>Urologie</t>
        </is>
      </c>
      <c r="E1214" s="17" t="inlineStr">
        <is>
          <t>Anurie obstructive</t>
        </is>
      </c>
      <c r="F1214" s="18" t="n"/>
      <c r="G1214" s="19" t="n"/>
      <c r="H1214" s="20">
        <f>IF($G1214="",1,IF($G1214=0,1,IF($G1214=1,3,IF($G1214=2,7,IF($G1214=3,14,IF($G1214=4,30,60))))))</f>
        <v/>
      </c>
      <c r="I1214" s="21">
        <f>IF($F1214="","",$F1214+$H1214)</f>
        <v/>
      </c>
      <c r="J1214">
        <f>IF($F1214="","⚪ NEW",IF($G1214&gt;=5,"✅ DONE",IF($I1214&lt;TODAY(),"🔴 OVERDUE",IF($I1214=TODAY(),"🟢 TODAY",IF($I1214=TODAY()+1,"🔵 TOMORROW",IF($I1214&lt;=TODAY()+7,"📅 THIS WEEK","⏳ SCHEDULED"))))))</f>
        <v/>
      </c>
      <c r="K1214" s="20">
        <f>IF($F1214="",999,IF($G1214&gt;=5,9999,IF($I1214="",999,$I1214-TODAY())))</f>
        <v/>
      </c>
    </row>
    <row r="1215">
      <c r="A1215" s="16">
        <f>ROW()-2</f>
        <v/>
      </c>
      <c r="B1215" s="17" t="inlineStr">
        <is>
          <t>S10</t>
        </is>
      </c>
      <c r="C1215" s="17" t="inlineStr">
        <is>
          <t>Néphrologie - Urologie</t>
        </is>
      </c>
      <c r="D1215" s="17" t="inlineStr">
        <is>
          <t>Urologie</t>
        </is>
      </c>
      <c r="E1215" s="17" t="inlineStr">
        <is>
          <t>Rétrécissement scléro-inflammatoire urétral de l'adulte</t>
        </is>
      </c>
      <c r="F1215" s="18" t="n"/>
      <c r="G1215" s="19" t="n"/>
      <c r="H1215" s="20">
        <f>IF($G1215="",1,IF($G1215=0,1,IF($G1215=1,3,IF($G1215=2,7,IF($G1215=3,14,IF($G1215=4,30,60))))))</f>
        <v/>
      </c>
      <c r="I1215" s="21">
        <f>IF($F1215="","",$F1215+$H1215)</f>
        <v/>
      </c>
      <c r="J1215">
        <f>IF($F1215="","⚪ NEW",IF($G1215&gt;=5,"✅ DONE",IF($I1215&lt;TODAY(),"🔴 OVERDUE",IF($I1215=TODAY(),"🟢 TODAY",IF($I1215=TODAY()+1,"🔵 TOMORROW",IF($I1215&lt;=TODAY()+7,"📅 THIS WEEK","⏳ SCHEDULED"))))))</f>
        <v/>
      </c>
      <c r="K1215" s="20">
        <f>IF($F1215="",999,IF($G1215&gt;=5,9999,IF($I1215="",999,$I1215-TODAY())))</f>
        <v/>
      </c>
    </row>
    <row r="1216">
      <c r="A1216" s="16">
        <f>ROW()-2</f>
        <v/>
      </c>
      <c r="B1216" s="17" t="inlineStr">
        <is>
          <t>S10</t>
        </is>
      </c>
      <c r="C1216" s="17" t="inlineStr">
        <is>
          <t>Néphrologie - Urologie</t>
        </is>
      </c>
      <c r="D1216" s="17" t="inlineStr">
        <is>
          <t>Urologie</t>
        </is>
      </c>
      <c r="E1216" s="17" t="inlineStr">
        <is>
          <t>Torsion du cordon spermatique</t>
        </is>
      </c>
      <c r="F1216" s="18" t="n"/>
      <c r="G1216" s="19" t="n"/>
      <c r="H1216" s="20">
        <f>IF($G1216="",1,IF($G1216=0,1,IF($G1216=1,3,IF($G1216=2,7,IF($G1216=3,14,IF($G1216=4,30,60))))))</f>
        <v/>
      </c>
      <c r="I1216" s="21">
        <f>IF($F1216="","",$F1216+$H1216)</f>
        <v/>
      </c>
      <c r="J1216">
        <f>IF($F1216="","⚪ NEW",IF($G1216&gt;=5,"✅ DONE",IF($I1216&lt;TODAY(),"🔴 OVERDUE",IF($I1216=TODAY(),"🟢 TODAY",IF($I1216=TODAY()+1,"🔵 TOMORROW",IF($I1216&lt;=TODAY()+7,"📅 THIS WEEK","⏳ SCHEDULED"))))))</f>
        <v/>
      </c>
      <c r="K1216" s="20">
        <f>IF($F1216="",999,IF($G1216&gt;=5,9999,IF($I1216="",999,$I1216-TODAY())))</f>
        <v/>
      </c>
    </row>
    <row r="1217">
      <c r="A1217" s="16">
        <f>ROW()-2</f>
        <v/>
      </c>
      <c r="B1217" s="17" t="inlineStr">
        <is>
          <t>S10</t>
        </is>
      </c>
      <c r="C1217" s="17" t="inlineStr">
        <is>
          <t>Néphrologie - Urologie</t>
        </is>
      </c>
      <c r="D1217" s="17" t="inlineStr">
        <is>
          <t>Urologie</t>
        </is>
      </c>
      <c r="E1217" s="17" t="inlineStr">
        <is>
          <t>Incontinence urinaire</t>
        </is>
      </c>
      <c r="F1217" s="18" t="n"/>
      <c r="G1217" s="19" t="n"/>
      <c r="H1217" s="20">
        <f>IF($G1217="",1,IF($G1217=0,1,IF($G1217=1,3,IF($G1217=2,7,IF($G1217=3,14,IF($G1217=4,30,60))))))</f>
        <v/>
      </c>
      <c r="I1217" s="21">
        <f>IF($F1217="","",$F1217+$H1217)</f>
        <v/>
      </c>
      <c r="J1217">
        <f>IF($F1217="","⚪ NEW",IF($G1217&gt;=5,"✅ DONE",IF($I1217&lt;TODAY(),"🔴 OVERDUE",IF($I1217=TODAY(),"🟢 TODAY",IF($I1217=TODAY()+1,"🔵 TOMORROW",IF($I1217&lt;=TODAY()+7,"📅 THIS WEEK","⏳ SCHEDULED"))))))</f>
        <v/>
      </c>
      <c r="K1217" s="20">
        <f>IF($F1217="",999,IF($G1217&gt;=5,9999,IF($I1217="",999,$I1217-TODAY())))</f>
        <v/>
      </c>
    </row>
    <row r="1218">
      <c r="A1218" s="16">
        <f>ROW()-2</f>
        <v/>
      </c>
      <c r="B1218" s="17" t="inlineStr">
        <is>
          <t>S10</t>
        </is>
      </c>
      <c r="C1218" s="17" t="inlineStr">
        <is>
          <t>Néphrologie - Urologie</t>
        </is>
      </c>
      <c r="D1218" s="17" t="inlineStr">
        <is>
          <t>Urologie</t>
        </is>
      </c>
      <c r="E1218" s="17" t="inlineStr">
        <is>
          <t>Infection urinaire</t>
        </is>
      </c>
      <c r="F1218" s="18" t="n"/>
      <c r="G1218" s="19" t="n"/>
      <c r="H1218" s="20">
        <f>IF($G1218="",1,IF($G1218=0,1,IF($G1218=1,3,IF($G1218=2,7,IF($G1218=3,14,IF($G1218=4,30,60))))))</f>
        <v/>
      </c>
      <c r="I1218" s="21">
        <f>IF($F1218="","",$F1218+$H1218)</f>
        <v/>
      </c>
      <c r="J1218">
        <f>IF($F1218="","⚪ NEW",IF($G1218&gt;=5,"✅ DONE",IF($I1218&lt;TODAY(),"🔴 OVERDUE",IF($I1218=TODAY(),"🟢 TODAY",IF($I1218=TODAY()+1,"🔵 TOMORROW",IF($I1218&lt;=TODAY()+7,"📅 THIS WEEK","⏳ SCHEDULED"))))))</f>
        <v/>
      </c>
      <c r="K1218" s="20">
        <f>IF($F1218="",999,IF($G1218&gt;=5,9999,IF($I1218="",999,$I1218-TODAY())))</f>
        <v/>
      </c>
    </row>
    <row r="1219">
      <c r="A1219" s="16">
        <f>ROW()-2</f>
        <v/>
      </c>
      <c r="B1219" s="17" t="inlineStr">
        <is>
          <t>S10</t>
        </is>
      </c>
      <c r="C1219" s="17" t="inlineStr">
        <is>
          <t>Néphrologie - Urologie</t>
        </is>
      </c>
      <c r="D1219" s="17" t="inlineStr">
        <is>
          <t>Urologie</t>
        </is>
      </c>
      <c r="E1219" s="17" t="inlineStr">
        <is>
          <t>Lithiase urinaire</t>
        </is>
      </c>
      <c r="F1219" s="18" t="n"/>
      <c r="G1219" s="19" t="n"/>
      <c r="H1219" s="20">
        <f>IF($G1219="",1,IF($G1219=0,1,IF($G1219=1,3,IF($G1219=2,7,IF($G1219=3,14,IF($G1219=4,30,60))))))</f>
        <v/>
      </c>
      <c r="I1219" s="21">
        <f>IF($F1219="","",$F1219+$H1219)</f>
        <v/>
      </c>
      <c r="J1219">
        <f>IF($F1219="","⚪ NEW",IF($G1219&gt;=5,"✅ DONE",IF($I1219&lt;TODAY(),"🔴 OVERDUE",IF($I1219=TODAY(),"🟢 TODAY",IF($I1219=TODAY()+1,"🔵 TOMORROW",IF($I1219&lt;=TODAY()+7,"📅 THIS WEEK","⏳ SCHEDULED"))))))</f>
        <v/>
      </c>
      <c r="K1219" s="20">
        <f>IF($F1219="",999,IF($G1219&gt;=5,9999,IF($I1219="",999,$I1219-TODAY())))</f>
        <v/>
      </c>
    </row>
    <row r="1220">
      <c r="A1220" s="16">
        <f>ROW()-2</f>
        <v/>
      </c>
      <c r="B1220" s="17" t="inlineStr">
        <is>
          <t>S10</t>
        </is>
      </c>
      <c r="C1220" s="17" t="inlineStr">
        <is>
          <t>Néphrologie - Urologie</t>
        </is>
      </c>
      <c r="D1220" s="17" t="inlineStr">
        <is>
          <t>Urologie</t>
        </is>
      </c>
      <c r="E1220" s="17" t="inlineStr">
        <is>
          <t>Infertilité masculine</t>
        </is>
      </c>
      <c r="F1220" s="18" t="n"/>
      <c r="G1220" s="19" t="n"/>
      <c r="H1220" s="20">
        <f>IF($G1220="",1,IF($G1220=0,1,IF($G1220=1,3,IF($G1220=2,7,IF($G1220=3,14,IF($G1220=4,30,60))))))</f>
        <v/>
      </c>
      <c r="I1220" s="21">
        <f>IF($F1220="","",$F1220+$H1220)</f>
        <v/>
      </c>
      <c r="J1220">
        <f>IF($F1220="","⚪ NEW",IF($G1220&gt;=5,"✅ DONE",IF($I1220&lt;TODAY(),"🔴 OVERDUE",IF($I1220=TODAY(),"🟢 TODAY",IF($I1220=TODAY()+1,"🔵 TOMORROW",IF($I1220&lt;=TODAY()+7,"📅 THIS WEEK","⏳ SCHEDULED"))))))</f>
        <v/>
      </c>
      <c r="K1220" s="20">
        <f>IF($F1220="",999,IF($G1220&gt;=5,9999,IF($I1220="",999,$I1220-TODAY())))</f>
        <v/>
      </c>
    </row>
    <row r="1221">
      <c r="A1221" s="16">
        <f>ROW()-2</f>
        <v/>
      </c>
      <c r="B1221" s="17" t="inlineStr">
        <is>
          <t>S10</t>
        </is>
      </c>
      <c r="C1221" s="17" t="inlineStr">
        <is>
          <t>Néphrologie - Urologie</t>
        </is>
      </c>
      <c r="D1221" s="17" t="inlineStr">
        <is>
          <t>Urologie</t>
        </is>
      </c>
      <c r="E1221" s="17" t="inlineStr">
        <is>
          <t>Vessie neurologique</t>
        </is>
      </c>
      <c r="F1221" s="18" t="n"/>
      <c r="G1221" s="19" t="n"/>
      <c r="H1221" s="20">
        <f>IF($G1221="",1,IF($G1221=0,1,IF($G1221=1,3,IF($G1221=2,7,IF($G1221=3,14,IF($G1221=4,30,60))))))</f>
        <v/>
      </c>
      <c r="I1221" s="21">
        <f>IF($F1221="","",$F1221+$H1221)</f>
        <v/>
      </c>
      <c r="J1221">
        <f>IF($F1221="","⚪ NEW",IF($G1221&gt;=5,"✅ DONE",IF($I1221&lt;TODAY(),"🔴 OVERDUE",IF($I1221=TODAY(),"🟢 TODAY",IF($I1221=TODAY()+1,"🔵 TOMORROW",IF($I1221&lt;=TODAY()+7,"📅 THIS WEEK","⏳ SCHEDULED"))))))</f>
        <v/>
      </c>
      <c r="K1221" s="20">
        <f>IF($F1221="",999,IF($G1221&gt;=5,9999,IF($I1221="",999,$I1221-TODAY())))</f>
        <v/>
      </c>
    </row>
    <row r="1222">
      <c r="A1222" s="16">
        <f>ROW()-2</f>
        <v/>
      </c>
      <c r="B1222" s="17" t="inlineStr">
        <is>
          <t>S10</t>
        </is>
      </c>
      <c r="C1222" s="17" t="inlineStr">
        <is>
          <t>Néphrologie - Urologie</t>
        </is>
      </c>
      <c r="D1222" s="17" t="inlineStr">
        <is>
          <t>Urologie</t>
        </is>
      </c>
      <c r="E1222" s="17" t="inlineStr">
        <is>
          <t>Fistules uro-génitales</t>
        </is>
      </c>
      <c r="F1222" s="18" t="n"/>
      <c r="G1222" s="19" t="n"/>
      <c r="H1222" s="20">
        <f>IF($G1222="",1,IF($G1222=0,1,IF($G1222=1,3,IF($G1222=2,7,IF($G1222=3,14,IF($G1222=4,30,60))))))</f>
        <v/>
      </c>
      <c r="I1222" s="21">
        <f>IF($F1222="","",$F1222+$H1222)</f>
        <v/>
      </c>
      <c r="J1222">
        <f>IF($F1222="","⚪ NEW",IF($G1222&gt;=5,"✅ DONE",IF($I1222&lt;TODAY(),"🔴 OVERDUE",IF($I1222=TODAY(),"🟢 TODAY",IF($I1222=TODAY()+1,"🔵 TOMORROW",IF($I1222&lt;=TODAY()+7,"📅 THIS WEEK","⏳ SCHEDULED"))))))</f>
        <v/>
      </c>
      <c r="K1222" s="20">
        <f>IF($F1222="",999,IF($G1222&gt;=5,9999,IF($I1222="",999,$I1222-TODAY())))</f>
        <v/>
      </c>
    </row>
    <row r="1223">
      <c r="A1223" s="22">
        <f>ROW()-2</f>
        <v/>
      </c>
      <c r="B1223" s="23" t="inlineStr">
        <is>
          <t>S10</t>
        </is>
      </c>
      <c r="C1223" s="23" t="inlineStr">
        <is>
          <t>Santé publique</t>
        </is>
      </c>
      <c r="D1223" s="23" t="inlineStr"/>
      <c r="E1223" s="23" t="inlineStr">
        <is>
          <t>Maladie et santé</t>
        </is>
      </c>
      <c r="F1223" s="18" t="n"/>
      <c r="G1223" s="19" t="n"/>
      <c r="H1223" s="20">
        <f>IF($G1223="",1,IF($G1223=0,1,IF($G1223=1,3,IF($G1223=2,7,IF($G1223=3,14,IF($G1223=4,30,60))))))</f>
        <v/>
      </c>
      <c r="I1223" s="21">
        <f>IF($F1223="","",$F1223+$H1223)</f>
        <v/>
      </c>
      <c r="J1223">
        <f>IF($F1223="","⚪ NEW",IF($G1223&gt;=5,"✅ DONE",IF($I1223&lt;TODAY(),"🔴 OVERDUE",IF($I1223=TODAY(),"🟢 TODAY",IF($I1223=TODAY()+1,"🔵 TOMORROW",IF($I1223&lt;=TODAY()+7,"📅 THIS WEEK","⏳ SCHEDULED"))))))</f>
        <v/>
      </c>
      <c r="K1223" s="20">
        <f>IF($F1223="",999,IF($G1223&gt;=5,9999,IF($I1223="",999,$I1223-TODAY())))</f>
        <v/>
      </c>
    </row>
    <row r="1224">
      <c r="A1224" s="22">
        <f>ROW()-2</f>
        <v/>
      </c>
      <c r="B1224" s="23" t="inlineStr">
        <is>
          <t>S10</t>
        </is>
      </c>
      <c r="C1224" s="23" t="inlineStr">
        <is>
          <t>Santé publique</t>
        </is>
      </c>
      <c r="D1224" s="23" t="inlineStr"/>
      <c r="E1224" s="23" t="inlineStr">
        <is>
          <t>Déterminants de la santé</t>
        </is>
      </c>
      <c r="F1224" s="18" t="n"/>
      <c r="G1224" s="19" t="n"/>
      <c r="H1224" s="20">
        <f>IF($G1224="",1,IF($G1224=0,1,IF($G1224=1,3,IF($G1224=2,7,IF($G1224=3,14,IF($G1224=4,30,60))))))</f>
        <v/>
      </c>
      <c r="I1224" s="21">
        <f>IF($F1224="","",$F1224+$H1224)</f>
        <v/>
      </c>
      <c r="J1224">
        <f>IF($F1224="","⚪ NEW",IF($G1224&gt;=5,"✅ DONE",IF($I1224&lt;TODAY(),"🔴 OVERDUE",IF($I1224=TODAY(),"🟢 TODAY",IF($I1224=TODAY()+1,"🔵 TOMORROW",IF($I1224&lt;=TODAY()+7,"📅 THIS WEEK","⏳ SCHEDULED"))))))</f>
        <v/>
      </c>
      <c r="K1224" s="20">
        <f>IF($F1224="",999,IF($G1224&gt;=5,9999,IF($I1224="",999,$I1224-TODAY())))</f>
        <v/>
      </c>
    </row>
    <row r="1225">
      <c r="A1225" s="22">
        <f>ROW()-2</f>
        <v/>
      </c>
      <c r="B1225" s="23" t="inlineStr">
        <is>
          <t>S10</t>
        </is>
      </c>
      <c r="C1225" s="23" t="inlineStr">
        <is>
          <t>Santé publique</t>
        </is>
      </c>
      <c r="D1225" s="23" t="inlineStr"/>
      <c r="E1225" s="23" t="inlineStr">
        <is>
          <t>Concepts de base en santé publique (partie 1)</t>
        </is>
      </c>
      <c r="F1225" s="18" t="n"/>
      <c r="G1225" s="19" t="n"/>
      <c r="H1225" s="20">
        <f>IF($G1225="",1,IF($G1225=0,1,IF($G1225=1,3,IF($G1225=2,7,IF($G1225=3,14,IF($G1225=4,30,60))))))</f>
        <v/>
      </c>
      <c r="I1225" s="21">
        <f>IF($F1225="","",$F1225+$H1225)</f>
        <v/>
      </c>
      <c r="J1225">
        <f>IF($F1225="","⚪ NEW",IF($G1225&gt;=5,"✅ DONE",IF($I1225&lt;TODAY(),"🔴 OVERDUE",IF($I1225=TODAY(),"🟢 TODAY",IF($I1225=TODAY()+1,"🔵 TOMORROW",IF($I1225&lt;=TODAY()+7,"📅 THIS WEEK","⏳ SCHEDULED"))))))</f>
        <v/>
      </c>
      <c r="K1225" s="20">
        <f>IF($F1225="",999,IF($G1225&gt;=5,9999,IF($I1225="",999,$I1225-TODAY())))</f>
        <v/>
      </c>
    </row>
    <row r="1226">
      <c r="A1226" s="22">
        <f>ROW()-2</f>
        <v/>
      </c>
      <c r="B1226" s="23" t="inlineStr">
        <is>
          <t>S10</t>
        </is>
      </c>
      <c r="C1226" s="23" t="inlineStr">
        <is>
          <t>Santé publique</t>
        </is>
      </c>
      <c r="D1226" s="23" t="inlineStr"/>
      <c r="E1226" s="23" t="inlineStr">
        <is>
          <t>Concepts de base en santé publique (partie 2)</t>
        </is>
      </c>
      <c r="F1226" s="18" t="n"/>
      <c r="G1226" s="19" t="n"/>
      <c r="H1226" s="20">
        <f>IF($G1226="",1,IF($G1226=0,1,IF($G1226=1,3,IF($G1226=2,7,IF($G1226=3,14,IF($G1226=4,30,60))))))</f>
        <v/>
      </c>
      <c r="I1226" s="21">
        <f>IF($F1226="","",$F1226+$H1226)</f>
        <v/>
      </c>
      <c r="J1226">
        <f>IF($F1226="","⚪ NEW",IF($G1226&gt;=5,"✅ DONE",IF($I1226&lt;TODAY(),"🔴 OVERDUE",IF($I1226=TODAY(),"🟢 TODAY",IF($I1226=TODAY()+1,"🔵 TOMORROW",IF($I1226&lt;=TODAY()+7,"📅 THIS WEEK","⏳ SCHEDULED"))))))</f>
        <v/>
      </c>
      <c r="K1226" s="20">
        <f>IF($F1226="",999,IF($G1226&gt;=5,9999,IF($I1226="",999,$I1226-TODAY())))</f>
        <v/>
      </c>
    </row>
    <row r="1227">
      <c r="A1227" s="22">
        <f>ROW()-2</f>
        <v/>
      </c>
      <c r="B1227" s="23" t="inlineStr">
        <is>
          <t>S10</t>
        </is>
      </c>
      <c r="C1227" s="23" t="inlineStr">
        <is>
          <t>Santé publique</t>
        </is>
      </c>
      <c r="D1227" s="23" t="inlineStr"/>
      <c r="E1227" s="23" t="inlineStr">
        <is>
          <t>Indicateurs de santé publique</t>
        </is>
      </c>
      <c r="F1227" s="18" t="n"/>
      <c r="G1227" s="19" t="n"/>
      <c r="H1227" s="20">
        <f>IF($G1227="",1,IF($G1227=0,1,IF($G1227=1,3,IF($G1227=2,7,IF($G1227=3,14,IF($G1227=4,30,60))))))</f>
        <v/>
      </c>
      <c r="I1227" s="21">
        <f>IF($F1227="","",$F1227+$H1227)</f>
        <v/>
      </c>
      <c r="J1227">
        <f>IF($F1227="","⚪ NEW",IF($G1227&gt;=5,"✅ DONE",IF($I1227&lt;TODAY(),"🔴 OVERDUE",IF($I1227=TODAY(),"🟢 TODAY",IF($I1227=TODAY()+1,"🔵 TOMORROW",IF($I1227&lt;=TODAY()+7,"📅 THIS WEEK","⏳ SCHEDULED"))))))</f>
        <v/>
      </c>
      <c r="K1227" s="20">
        <f>IF($F1227="",999,IF($G1227&gt;=5,9999,IF($I1227="",999,$I1227-TODAY())))</f>
        <v/>
      </c>
    </row>
    <row r="1228">
      <c r="A1228" s="22">
        <f>ROW()-2</f>
        <v/>
      </c>
      <c r="B1228" s="23" t="inlineStr">
        <is>
          <t>S10</t>
        </is>
      </c>
      <c r="C1228" s="23" t="inlineStr">
        <is>
          <t>Santé publique</t>
        </is>
      </c>
      <c r="D1228" s="23" t="inlineStr"/>
      <c r="E1228" s="23" t="inlineStr">
        <is>
          <t>État de santé dans le monde</t>
        </is>
      </c>
      <c r="F1228" s="18" t="n"/>
      <c r="G1228" s="19" t="n"/>
      <c r="H1228" s="20">
        <f>IF($G1228="",1,IF($G1228=0,1,IF($G1228=1,3,IF($G1228=2,7,IF($G1228=3,14,IF($G1228=4,30,60))))))</f>
        <v/>
      </c>
      <c r="I1228" s="21">
        <f>IF($F1228="","",$F1228+$H1228)</f>
        <v/>
      </c>
      <c r="J1228">
        <f>IF($F1228="","⚪ NEW",IF($G1228&gt;=5,"✅ DONE",IF($I1228&lt;TODAY(),"🔴 OVERDUE",IF($I1228=TODAY(),"🟢 TODAY",IF($I1228=TODAY()+1,"🔵 TOMORROW",IF($I1228&lt;=TODAY()+7,"📅 THIS WEEK","⏳ SCHEDULED"))))))</f>
        <v/>
      </c>
      <c r="K1228" s="20">
        <f>IF($F1228="",999,IF($G1228&gt;=5,9999,IF($I1228="",999,$I1228-TODAY())))</f>
        <v/>
      </c>
    </row>
    <row r="1229">
      <c r="A1229" s="22">
        <f>ROW()-2</f>
        <v/>
      </c>
      <c r="B1229" s="23" t="inlineStr">
        <is>
          <t>S10</t>
        </is>
      </c>
      <c r="C1229" s="23" t="inlineStr">
        <is>
          <t>Santé publique</t>
        </is>
      </c>
      <c r="D1229" s="23" t="inlineStr"/>
      <c r="E1229" s="23" t="inlineStr">
        <is>
          <t>Introduction à la santé environnementale</t>
        </is>
      </c>
      <c r="F1229" s="18" t="n"/>
      <c r="G1229" s="19" t="n"/>
      <c r="H1229" s="20">
        <f>IF($G1229="",1,IF($G1229=0,1,IF($G1229=1,3,IF($G1229=2,7,IF($G1229=3,14,IF($G1229=4,30,60))))))</f>
        <v/>
      </c>
      <c r="I1229" s="21">
        <f>IF($F1229="","",$F1229+$H1229)</f>
        <v/>
      </c>
      <c r="J1229">
        <f>IF($F1229="","⚪ NEW",IF($G1229&gt;=5,"✅ DONE",IF($I1229&lt;TODAY(),"🔴 OVERDUE",IF($I1229=TODAY(),"🟢 TODAY",IF($I1229=TODAY()+1,"🔵 TOMORROW",IF($I1229&lt;=TODAY()+7,"📅 THIS WEEK","⏳ SCHEDULED"))))))</f>
        <v/>
      </c>
      <c r="K1229" s="20">
        <f>IF($F1229="",999,IF($G1229&gt;=5,9999,IF($I1229="",999,$I1229-TODAY())))</f>
        <v/>
      </c>
    </row>
    <row r="1230">
      <c r="A1230" s="22">
        <f>ROW()-2</f>
        <v/>
      </c>
      <c r="B1230" s="23" t="inlineStr">
        <is>
          <t>S10</t>
        </is>
      </c>
      <c r="C1230" s="23" t="inlineStr">
        <is>
          <t>Santé publique</t>
        </is>
      </c>
      <c r="D1230" s="23" t="inlineStr"/>
      <c r="E1230" s="23" t="inlineStr">
        <is>
          <t>Caractériser l'exposition environnementale</t>
        </is>
      </c>
      <c r="F1230" s="18" t="n"/>
      <c r="G1230" s="19" t="n"/>
      <c r="H1230" s="20">
        <f>IF($G1230="",1,IF($G1230=0,1,IF($G1230=1,3,IF($G1230=2,7,IF($G1230=3,14,IF($G1230=4,30,60))))))</f>
        <v/>
      </c>
      <c r="I1230" s="21">
        <f>IF($F1230="","",$F1230+$H1230)</f>
        <v/>
      </c>
      <c r="J1230">
        <f>IF($F1230="","⚪ NEW",IF($G1230&gt;=5,"✅ DONE",IF($I1230&lt;TODAY(),"🔴 OVERDUE",IF($I1230=TODAY(),"🟢 TODAY",IF($I1230=TODAY()+1,"🔵 TOMORROW",IF($I1230&lt;=TODAY()+7,"📅 THIS WEEK","⏳ SCHEDULED"))))))</f>
        <v/>
      </c>
      <c r="K1230" s="20">
        <f>IF($F1230="",999,IF($G1230&gt;=5,9999,IF($I1230="",999,$I1230-TODAY())))</f>
        <v/>
      </c>
    </row>
    <row r="1231">
      <c r="A1231" s="22">
        <f>ROW()-2</f>
        <v/>
      </c>
      <c r="B1231" s="23" t="inlineStr">
        <is>
          <t>S10</t>
        </is>
      </c>
      <c r="C1231" s="23" t="inlineStr">
        <is>
          <t>Santé publique</t>
        </is>
      </c>
      <c r="D1231" s="23" t="inlineStr"/>
      <c r="E1231" s="23" t="inlineStr">
        <is>
          <t>Intervenir en santé environnementale</t>
        </is>
      </c>
      <c r="F1231" s="18" t="n"/>
      <c r="G1231" s="19" t="n"/>
      <c r="H1231" s="20">
        <f>IF($G1231="",1,IF($G1231=0,1,IF($G1231=1,3,IF($G1231=2,7,IF($G1231=3,14,IF($G1231=4,30,60))))))</f>
        <v/>
      </c>
      <c r="I1231" s="21">
        <f>IF($F1231="","",$F1231+$H1231)</f>
        <v/>
      </c>
      <c r="J1231">
        <f>IF($F1231="","⚪ NEW",IF($G1231&gt;=5,"✅ DONE",IF($I1231&lt;TODAY(),"🔴 OVERDUE",IF($I1231=TODAY(),"🟢 TODAY",IF($I1231=TODAY()+1,"🔵 TOMORROW",IF($I1231&lt;=TODAY()+7,"📅 THIS WEEK","⏳ SCHEDULED"))))))</f>
        <v/>
      </c>
      <c r="K1231" s="20">
        <f>IF($F1231="",999,IF($G1231&gt;=5,9999,IF($I1231="",999,$I1231-TODAY())))</f>
        <v/>
      </c>
    </row>
    <row r="1232">
      <c r="A1232" s="22">
        <f>ROW()-2</f>
        <v/>
      </c>
      <c r="B1232" s="23" t="inlineStr">
        <is>
          <t>S10</t>
        </is>
      </c>
      <c r="C1232" s="23" t="inlineStr">
        <is>
          <t>Santé publique</t>
        </is>
      </c>
      <c r="D1232" s="23" t="inlineStr"/>
      <c r="E1232" s="23" t="inlineStr">
        <is>
          <t>Initiation à la méthodologie de la recherche clinique (3 parties)</t>
        </is>
      </c>
      <c r="F1232" s="18" t="n"/>
      <c r="G1232" s="19" t="n"/>
      <c r="H1232" s="20">
        <f>IF($G1232="",1,IF($G1232=0,1,IF($G1232=1,3,IF($G1232=2,7,IF($G1232=3,14,IF($G1232=4,30,60))))))</f>
        <v/>
      </c>
      <c r="I1232" s="21">
        <f>IF($F1232="","",$F1232+$H1232)</f>
        <v/>
      </c>
      <c r="J1232">
        <f>IF($F1232="","⚪ NEW",IF($G1232&gt;=5,"✅ DONE",IF($I1232&lt;TODAY(),"🔴 OVERDUE",IF($I1232=TODAY(),"🟢 TODAY",IF($I1232=TODAY()+1,"🔵 TOMORROW",IF($I1232&lt;=TODAY()+7,"📅 THIS WEEK","⏳ SCHEDULED"))))))</f>
        <v/>
      </c>
      <c r="K1232" s="20">
        <f>IF($F1232="",999,IF($G1232&gt;=5,9999,IF($I1232="",999,$I1232-TODAY())))</f>
        <v/>
      </c>
    </row>
    <row r="1233">
      <c r="A1233" s="22">
        <f>ROW()-2</f>
        <v/>
      </c>
      <c r="B1233" s="23" t="inlineStr">
        <is>
          <t>S10</t>
        </is>
      </c>
      <c r="C1233" s="23" t="inlineStr">
        <is>
          <t>Santé publique</t>
        </is>
      </c>
      <c r="D1233" s="23" t="inlineStr"/>
      <c r="E1233" s="23" t="inlineStr">
        <is>
          <t>Les études descriptives</t>
        </is>
      </c>
      <c r="F1233" s="18" t="n"/>
      <c r="G1233" s="19" t="n"/>
      <c r="H1233" s="20">
        <f>IF($G1233="",1,IF($G1233=0,1,IF($G1233=1,3,IF($G1233=2,7,IF($G1233=3,14,IF($G1233=4,30,60))))))</f>
        <v/>
      </c>
      <c r="I1233" s="21">
        <f>IF($F1233="","",$F1233+$H1233)</f>
        <v/>
      </c>
      <c r="J1233">
        <f>IF($F1233="","⚪ NEW",IF($G1233&gt;=5,"✅ DONE",IF($I1233&lt;TODAY(),"🔴 OVERDUE",IF($I1233=TODAY(),"🟢 TODAY",IF($I1233=TODAY()+1,"🔵 TOMORROW",IF($I1233&lt;=TODAY()+7,"📅 THIS WEEK","⏳ SCHEDULED"))))))</f>
        <v/>
      </c>
      <c r="K1233" s="20">
        <f>IF($F1233="",999,IF($G1233&gt;=5,9999,IF($I1233="",999,$I1233-TODAY())))</f>
        <v/>
      </c>
    </row>
    <row r="1234">
      <c r="A1234" s="22">
        <f>ROW()-2</f>
        <v/>
      </c>
      <c r="B1234" s="23" t="inlineStr">
        <is>
          <t>S10</t>
        </is>
      </c>
      <c r="C1234" s="23" t="inlineStr">
        <is>
          <t>Santé publique</t>
        </is>
      </c>
      <c r="D1234" s="23" t="inlineStr"/>
      <c r="E1234" s="23" t="inlineStr">
        <is>
          <t>Les études étiologiques : cas-témoins</t>
        </is>
      </c>
      <c r="F1234" s="18" t="n"/>
      <c r="G1234" s="19" t="n"/>
      <c r="H1234" s="20">
        <f>IF($G1234="",1,IF($G1234=0,1,IF($G1234=1,3,IF($G1234=2,7,IF($G1234=3,14,IF($G1234=4,30,60))))))</f>
        <v/>
      </c>
      <c r="I1234" s="21">
        <f>IF($F1234="","",$F1234+$H1234)</f>
        <v/>
      </c>
      <c r="J1234">
        <f>IF($F1234="","⚪ NEW",IF($G1234&gt;=5,"✅ DONE",IF($I1234&lt;TODAY(),"🔴 OVERDUE",IF($I1234=TODAY(),"🟢 TODAY",IF($I1234=TODAY()+1,"🔵 TOMORROW",IF($I1234&lt;=TODAY()+7,"📅 THIS WEEK","⏳ SCHEDULED"))))))</f>
        <v/>
      </c>
      <c r="K1234" s="20">
        <f>IF($F1234="",999,IF($G1234&gt;=5,9999,IF($I1234="",999,$I1234-TODAY())))</f>
        <v/>
      </c>
    </row>
    <row r="1235">
      <c r="A1235" s="22">
        <f>ROW()-2</f>
        <v/>
      </c>
      <c r="B1235" s="23" t="inlineStr">
        <is>
          <t>S10</t>
        </is>
      </c>
      <c r="C1235" s="23" t="inlineStr">
        <is>
          <t>Santé publique</t>
        </is>
      </c>
      <c r="D1235" s="23" t="inlineStr"/>
      <c r="E1235" s="23" t="inlineStr">
        <is>
          <t>Les études étiologiques : cohorte</t>
        </is>
      </c>
      <c r="F1235" s="18" t="n"/>
      <c r="G1235" s="19" t="n"/>
      <c r="H1235" s="20">
        <f>IF($G1235="",1,IF($G1235=0,1,IF($G1235=1,3,IF($G1235=2,7,IF($G1235=3,14,IF($G1235=4,30,60))))))</f>
        <v/>
      </c>
      <c r="I1235" s="21">
        <f>IF($F1235="","",$F1235+$H1235)</f>
        <v/>
      </c>
      <c r="J1235">
        <f>IF($F1235="","⚪ NEW",IF($G1235&gt;=5,"✅ DONE",IF($I1235&lt;TODAY(),"🔴 OVERDUE",IF($I1235=TODAY(),"🟢 TODAY",IF($I1235=TODAY()+1,"🔵 TOMORROW",IF($I1235&lt;=TODAY()+7,"📅 THIS WEEK","⏳ SCHEDULED"))))))</f>
        <v/>
      </c>
      <c r="K1235" s="20">
        <f>IF($F1235="",999,IF($G1235&gt;=5,9999,IF($I1235="",999,$I1235-TODAY())))</f>
        <v/>
      </c>
    </row>
    <row r="1236">
      <c r="A1236" s="22">
        <f>ROW()-2</f>
        <v/>
      </c>
      <c r="B1236" s="23" t="inlineStr">
        <is>
          <t>S10</t>
        </is>
      </c>
      <c r="C1236" s="23" t="inlineStr">
        <is>
          <t>Santé publique</t>
        </is>
      </c>
      <c r="D1236" s="23" t="inlineStr"/>
      <c r="E1236" s="23" t="inlineStr">
        <is>
          <t>Les mesures de fréquence en épidémiologie</t>
        </is>
      </c>
      <c r="F1236" s="18" t="n"/>
      <c r="G1236" s="19" t="n"/>
      <c r="H1236" s="20">
        <f>IF($G1236="",1,IF($G1236=0,1,IF($G1236=1,3,IF($G1236=2,7,IF($G1236=3,14,IF($G1236=4,30,60))))))</f>
        <v/>
      </c>
      <c r="I1236" s="21">
        <f>IF($F1236="","",$F1236+$H1236)</f>
        <v/>
      </c>
      <c r="J1236">
        <f>IF($F1236="","⚪ NEW",IF($G1236&gt;=5,"✅ DONE",IF($I1236&lt;TODAY(),"🔴 OVERDUE",IF($I1236=TODAY(),"🟢 TODAY",IF($I1236=TODAY()+1,"🔵 TOMORROW",IF($I1236&lt;=TODAY()+7,"📅 THIS WEEK","⏳ SCHEDULED"))))))</f>
        <v/>
      </c>
      <c r="K1236" s="20">
        <f>IF($F1236="",999,IF($G1236&gt;=5,9999,IF($I1236="",999,$I1236-TODAY())))</f>
        <v/>
      </c>
    </row>
    <row r="1237">
      <c r="A1237" s="22">
        <f>ROW()-2</f>
        <v/>
      </c>
      <c r="B1237" s="23" t="inlineStr">
        <is>
          <t>S10</t>
        </is>
      </c>
      <c r="C1237" s="23" t="inlineStr">
        <is>
          <t>Santé publique</t>
        </is>
      </c>
      <c r="D1237" s="23" t="inlineStr"/>
      <c r="E1237" s="23" t="inlineStr">
        <is>
          <t>Les critères de causalité</t>
        </is>
      </c>
      <c r="F1237" s="18" t="n"/>
      <c r="G1237" s="19" t="n"/>
      <c r="H1237" s="20">
        <f>IF($G1237="",1,IF($G1237=0,1,IF($G1237=1,3,IF($G1237=2,7,IF($G1237=3,14,IF($G1237=4,30,60))))))</f>
        <v/>
      </c>
      <c r="I1237" s="21">
        <f>IF($F1237="","",$F1237+$H1237)</f>
        <v/>
      </c>
      <c r="J1237">
        <f>IF($F1237="","⚪ NEW",IF($G1237&gt;=5,"✅ DONE",IF($I1237&lt;TODAY(),"🔴 OVERDUE",IF($I1237=TODAY(),"🟢 TODAY",IF($I1237=TODAY()+1,"🔵 TOMORROW",IF($I1237&lt;=TODAY()+7,"📅 THIS WEEK","⏳ SCHEDULED"))))))</f>
        <v/>
      </c>
      <c r="K1237" s="20">
        <f>IF($F1237="",999,IF($G1237&gt;=5,9999,IF($I1237="",999,$I1237-TODAY())))</f>
        <v/>
      </c>
    </row>
    <row r="1238">
      <c r="A1238" s="22">
        <f>ROW()-2</f>
        <v/>
      </c>
      <c r="B1238" s="23" t="inlineStr">
        <is>
          <t>S10</t>
        </is>
      </c>
      <c r="C1238" s="23" t="inlineStr">
        <is>
          <t>Santé publique</t>
        </is>
      </c>
      <c r="D1238" s="23" t="inlineStr"/>
      <c r="E1238" s="23" t="inlineStr">
        <is>
          <t>L'essai clinique randomisé</t>
        </is>
      </c>
      <c r="F1238" s="18" t="n"/>
      <c r="G1238" s="19" t="n"/>
      <c r="H1238" s="20">
        <f>IF($G1238="",1,IF($G1238=0,1,IF($G1238=1,3,IF($G1238=2,7,IF($G1238=3,14,IF($G1238=4,30,60))))))</f>
        <v/>
      </c>
      <c r="I1238" s="21">
        <f>IF($F1238="","",$F1238+$H1238)</f>
        <v/>
      </c>
      <c r="J1238">
        <f>IF($F1238="","⚪ NEW",IF($G1238&gt;=5,"✅ DONE",IF($I1238&lt;TODAY(),"🔴 OVERDUE",IF($I1238=TODAY(),"🟢 TODAY",IF($I1238=TODAY()+1,"🔵 TOMORROW",IF($I1238&lt;=TODAY()+7,"📅 THIS WEEK","⏳ SCHEDULED"))))))</f>
        <v/>
      </c>
      <c r="K1238" s="20">
        <f>IF($F1238="",999,IF($G1238&gt;=5,9999,IF($I1238="",999,$I1238-TODAY())))</f>
        <v/>
      </c>
    </row>
    <row r="1239">
      <c r="A1239" s="22">
        <f>ROW()-2</f>
        <v/>
      </c>
      <c r="B1239" s="23" t="inlineStr">
        <is>
          <t>S10</t>
        </is>
      </c>
      <c r="C1239" s="23" t="inlineStr">
        <is>
          <t>Santé publique</t>
        </is>
      </c>
      <c r="D1239" s="23" t="inlineStr"/>
      <c r="E1239" s="23" t="inlineStr">
        <is>
          <t>Les indices de validité d'un test diagnostique</t>
        </is>
      </c>
      <c r="F1239" s="18" t="n"/>
      <c r="G1239" s="19" t="n"/>
      <c r="H1239" s="20">
        <f>IF($G1239="",1,IF($G1239=0,1,IF($G1239=1,3,IF($G1239=2,7,IF($G1239=3,14,IF($G1239=4,30,60))))))</f>
        <v/>
      </c>
      <c r="I1239" s="21">
        <f>IF($F1239="","",$F1239+$H1239)</f>
        <v/>
      </c>
      <c r="J1239">
        <f>IF($F1239="","⚪ NEW",IF($G1239&gt;=5,"✅ DONE",IF($I1239&lt;TODAY(),"🔴 OVERDUE",IF($I1239=TODAY(),"🟢 TODAY",IF($I1239=TODAY()+1,"🔵 TOMORROW",IF($I1239&lt;=TODAY()+7,"📅 THIS WEEK","⏳ SCHEDULED"))))))</f>
        <v/>
      </c>
      <c r="K1239" s="20">
        <f>IF($F1239="",999,IF($G1239&gt;=5,9999,IF($I1239="",999,$I1239-TODAY())))</f>
        <v/>
      </c>
    </row>
    <row r="1240">
      <c r="A1240" s="22">
        <f>ROW()-2</f>
        <v/>
      </c>
      <c r="B1240" s="23" t="inlineStr">
        <is>
          <t>S10</t>
        </is>
      </c>
      <c r="C1240" s="23" t="inlineStr">
        <is>
          <t>Santé publique</t>
        </is>
      </c>
      <c r="D1240" s="23" t="inlineStr"/>
      <c r="E1240" s="23" t="inlineStr">
        <is>
          <t>Intervention en santé publique</t>
        </is>
      </c>
      <c r="F1240" s="18" t="n"/>
      <c r="G1240" s="19" t="n"/>
      <c r="H1240" s="20">
        <f>IF($G1240="",1,IF($G1240=0,1,IF($G1240=1,3,IF($G1240=2,7,IF($G1240=3,14,IF($G1240=4,30,60))))))</f>
        <v/>
      </c>
      <c r="I1240" s="21">
        <f>IF($F1240="","",$F1240+$H1240)</f>
        <v/>
      </c>
      <c r="J1240">
        <f>IF($F1240="","⚪ NEW",IF($G1240&gt;=5,"✅ DONE",IF($I1240&lt;TODAY(),"🔴 OVERDUE",IF($I1240=TODAY(),"🟢 TODAY",IF($I1240=TODAY()+1,"🔵 TOMORROW",IF($I1240&lt;=TODAY()+7,"📅 THIS WEEK","⏳ SCHEDULED"))))))</f>
        <v/>
      </c>
      <c r="K1240" s="20">
        <f>IF($F1240="",999,IF($G1240&gt;=5,9999,IF($I1240="",999,$I1240-TODAY())))</f>
        <v/>
      </c>
    </row>
    <row r="1241">
      <c r="A1241" s="22">
        <f>ROW()-2</f>
        <v/>
      </c>
      <c r="B1241" s="23" t="inlineStr">
        <is>
          <t>S10</t>
        </is>
      </c>
      <c r="C1241" s="23" t="inlineStr">
        <is>
          <t>Santé publique</t>
        </is>
      </c>
      <c r="D1241" s="23" t="inlineStr"/>
      <c r="E1241" s="23" t="inlineStr">
        <is>
          <t>Planification d'une intervention</t>
        </is>
      </c>
      <c r="F1241" s="18" t="n"/>
      <c r="G1241" s="19" t="n"/>
      <c r="H1241" s="20">
        <f>IF($G1241="",1,IF($G1241=0,1,IF($G1241=1,3,IF($G1241=2,7,IF($G1241=3,14,IF($G1241=4,30,60))))))</f>
        <v/>
      </c>
      <c r="I1241" s="21">
        <f>IF($F1241="","",$F1241+$H1241)</f>
        <v/>
      </c>
      <c r="J1241">
        <f>IF($F1241="","⚪ NEW",IF($G1241&gt;=5,"✅ DONE",IF($I1241&lt;TODAY(),"🔴 OVERDUE",IF($I1241=TODAY(),"🟢 TODAY",IF($I1241=TODAY()+1,"🔵 TOMORROW",IF($I1241&lt;=TODAY()+7,"📅 THIS WEEK","⏳ SCHEDULED"))))))</f>
        <v/>
      </c>
      <c r="K1241" s="20">
        <f>IF($F1241="",999,IF($G1241&gt;=5,9999,IF($I1241="",999,$I1241-TODAY())))</f>
        <v/>
      </c>
    </row>
    <row r="1242">
      <c r="A1242" s="22">
        <f>ROW()-2</f>
        <v/>
      </c>
      <c r="B1242" s="23" t="inlineStr">
        <is>
          <t>S10</t>
        </is>
      </c>
      <c r="C1242" s="23" t="inlineStr">
        <is>
          <t>Santé publique</t>
        </is>
      </c>
      <c r="D1242" s="23" t="inlineStr"/>
      <c r="E1242" s="23" t="inlineStr">
        <is>
          <t>La prévention</t>
        </is>
      </c>
      <c r="F1242" s="18" t="n"/>
      <c r="G1242" s="19" t="n"/>
      <c r="H1242" s="20">
        <f>IF($G1242="",1,IF($G1242=0,1,IF($G1242=1,3,IF($G1242=2,7,IF($G1242=3,14,IF($G1242=4,30,60))))))</f>
        <v/>
      </c>
      <c r="I1242" s="21">
        <f>IF($F1242="","",$F1242+$H1242)</f>
        <v/>
      </c>
      <c r="J1242">
        <f>IF($F1242="","⚪ NEW",IF($G1242&gt;=5,"✅ DONE",IF($I1242&lt;TODAY(),"🔴 OVERDUE",IF($I1242=TODAY(),"🟢 TODAY",IF($I1242=TODAY()+1,"🔵 TOMORROW",IF($I1242&lt;=TODAY()+7,"📅 THIS WEEK","⏳ SCHEDULED"))))))</f>
        <v/>
      </c>
      <c r="K1242" s="20">
        <f>IF($F1242="",999,IF($G1242&gt;=5,9999,IF($I1242="",999,$I1242-TODAY())))</f>
        <v/>
      </c>
    </row>
    <row r="1243">
      <c r="A1243" s="22">
        <f>ROW()-2</f>
        <v/>
      </c>
      <c r="B1243" s="23" t="inlineStr">
        <is>
          <t>S10</t>
        </is>
      </c>
      <c r="C1243" s="23" t="inlineStr">
        <is>
          <t>Santé publique</t>
        </is>
      </c>
      <c r="D1243" s="23" t="inlineStr"/>
      <c r="E1243" s="23" t="inlineStr">
        <is>
          <t>La promotion de la santé</t>
        </is>
      </c>
      <c r="F1243" s="18" t="n"/>
      <c r="G1243" s="19" t="n"/>
      <c r="H1243" s="20">
        <f>IF($G1243="",1,IF($G1243=0,1,IF($G1243=1,3,IF($G1243=2,7,IF($G1243=3,14,IF($G1243=4,30,60))))))</f>
        <v/>
      </c>
      <c r="I1243" s="21">
        <f>IF($F1243="","",$F1243+$H1243)</f>
        <v/>
      </c>
      <c r="J1243">
        <f>IF($F1243="","⚪ NEW",IF($G1243&gt;=5,"✅ DONE",IF($I1243&lt;TODAY(),"🔴 OVERDUE",IF($I1243=TODAY(),"🟢 TODAY",IF($I1243=TODAY()+1,"🔵 TOMORROW",IF($I1243&lt;=TODAY()+7,"📅 THIS WEEK","⏳ SCHEDULED"))))))</f>
        <v/>
      </c>
      <c r="K1243" s="20">
        <f>IF($F1243="",999,IF($G1243&gt;=5,9999,IF($I1243="",999,$I1243-TODAY())))</f>
        <v/>
      </c>
    </row>
    <row r="1244">
      <c r="A1244" s="22">
        <f>ROW()-2</f>
        <v/>
      </c>
      <c r="B1244" s="23" t="inlineStr">
        <is>
          <t>S10</t>
        </is>
      </c>
      <c r="C1244" s="23" t="inlineStr">
        <is>
          <t>Santé publique</t>
        </is>
      </c>
      <c r="D1244" s="23" t="inlineStr"/>
      <c r="E1244" s="23" t="inlineStr">
        <is>
          <t>Sécurité des soins</t>
        </is>
      </c>
      <c r="F1244" s="18" t="n"/>
      <c r="G1244" s="19" t="n"/>
      <c r="H1244" s="20">
        <f>IF($G1244="",1,IF($G1244=0,1,IF($G1244=1,3,IF($G1244=2,7,IF($G1244=3,14,IF($G1244=4,30,60))))))</f>
        <v/>
      </c>
      <c r="I1244" s="21">
        <f>IF($F1244="","",$F1244+$H1244)</f>
        <v/>
      </c>
      <c r="J1244">
        <f>IF($F1244="","⚪ NEW",IF($G1244&gt;=5,"✅ DONE",IF($I1244&lt;TODAY(),"🔴 OVERDUE",IF($I1244=TODAY(),"🟢 TODAY",IF($I1244=TODAY()+1,"🔵 TOMORROW",IF($I1244&lt;=TODAY()+7,"📅 THIS WEEK","⏳ SCHEDULED"))))))</f>
        <v/>
      </c>
      <c r="K1244" s="20">
        <f>IF($F1244="",999,IF($G1244&gt;=5,9999,IF($I1244="",999,$I1244-TODAY())))</f>
        <v/>
      </c>
    </row>
    <row r="1245">
      <c r="A1245" s="22">
        <f>ROW()-2</f>
        <v/>
      </c>
      <c r="B1245" s="23" t="inlineStr">
        <is>
          <t>S10</t>
        </is>
      </c>
      <c r="C1245" s="23" t="inlineStr">
        <is>
          <t>Santé publique</t>
        </is>
      </c>
      <c r="D1245" s="23" t="inlineStr"/>
      <c r="E1245" s="23" t="inlineStr">
        <is>
          <t>Qualité des soins</t>
        </is>
      </c>
      <c r="F1245" s="18" t="n"/>
      <c r="G1245" s="19" t="n"/>
      <c r="H1245" s="20">
        <f>IF($G1245="",1,IF($G1245=0,1,IF($G1245=1,3,IF($G1245=2,7,IF($G1245=3,14,IF($G1245=4,30,60))))))</f>
        <v/>
      </c>
      <c r="I1245" s="21">
        <f>IF($F1245="","",$F1245+$H1245)</f>
        <v/>
      </c>
      <c r="J1245">
        <f>IF($F1245="","⚪ NEW",IF($G1245&gt;=5,"✅ DONE",IF($I1245&lt;TODAY(),"🔴 OVERDUE",IF($I1245=TODAY(),"🟢 TODAY",IF($I1245=TODAY()+1,"🔵 TOMORROW",IF($I1245&lt;=TODAY()+7,"📅 THIS WEEK","⏳ SCHEDULED"))))))</f>
        <v/>
      </c>
      <c r="K1245" s="20">
        <f>IF($F1245="",999,IF($G1245&gt;=5,9999,IF($I1245="",999,$I1245-TODAY())))</f>
        <v/>
      </c>
    </row>
    <row r="1246">
      <c r="A1246" s="24">
        <f>ROW()-2</f>
        <v/>
      </c>
      <c r="B1246" s="25" t="inlineStr">
        <is>
          <t>S10</t>
        </is>
      </c>
      <c r="C1246" s="25" t="inlineStr">
        <is>
          <t>Médecine légale - Éthique - Médecine du travail</t>
        </is>
      </c>
      <c r="D1246" s="25" t="inlineStr">
        <is>
          <t>Médecine légale</t>
        </is>
      </c>
      <c r="E1246" s="25" t="inlineStr">
        <is>
          <t>Introduction à la médecine légale</t>
        </is>
      </c>
      <c r="F1246" s="18" t="n"/>
      <c r="G1246" s="19" t="n"/>
      <c r="H1246" s="20">
        <f>IF($G1246="",1,IF($G1246=0,1,IF($G1246=1,3,IF($G1246=2,7,IF($G1246=3,14,IF($G1246=4,30,60))))))</f>
        <v/>
      </c>
      <c r="I1246" s="21">
        <f>IF($F1246="","",$F1246+$H1246)</f>
        <v/>
      </c>
      <c r="J1246">
        <f>IF($F1246="","⚪ NEW",IF($G1246&gt;=5,"✅ DONE",IF($I1246&lt;TODAY(),"🔴 OVERDUE",IF($I1246=TODAY(),"🟢 TODAY",IF($I1246=TODAY()+1,"🔵 TOMORROW",IF($I1246&lt;=TODAY()+7,"📅 THIS WEEK","⏳ SCHEDULED"))))))</f>
        <v/>
      </c>
      <c r="K1246" s="20">
        <f>IF($F1246="",999,IF($G1246&gt;=5,9999,IF($I1246="",999,$I1246-TODAY())))</f>
        <v/>
      </c>
    </row>
    <row r="1247">
      <c r="A1247" s="24">
        <f>ROW()-2</f>
        <v/>
      </c>
      <c r="B1247" s="25" t="inlineStr">
        <is>
          <t>S10</t>
        </is>
      </c>
      <c r="C1247" s="25" t="inlineStr">
        <is>
          <t>Médecine légale - Éthique - Médecine du travail</t>
        </is>
      </c>
      <c r="D1247" s="25" t="inlineStr">
        <is>
          <t>Médecine légale</t>
        </is>
      </c>
      <c r="E1247" s="25" t="inlineStr">
        <is>
          <t>Mort : phénomènes cadavériques et datation de la mort</t>
        </is>
      </c>
      <c r="F1247" s="18" t="n"/>
      <c r="G1247" s="19" t="n"/>
      <c r="H1247" s="20">
        <f>IF($G1247="",1,IF($G1247=0,1,IF($G1247=1,3,IF($G1247=2,7,IF($G1247=3,14,IF($G1247=4,30,60))))))</f>
        <v/>
      </c>
      <c r="I1247" s="21">
        <f>IF($F1247="","",$F1247+$H1247)</f>
        <v/>
      </c>
      <c r="J1247">
        <f>IF($F1247="","⚪ NEW",IF($G1247&gt;=5,"✅ DONE",IF($I1247&lt;TODAY(),"🔴 OVERDUE",IF($I1247=TODAY(),"🟢 TODAY",IF($I1247=TODAY()+1,"🔵 TOMORROW",IF($I1247&lt;=TODAY()+7,"📅 THIS WEEK","⏳ SCHEDULED"))))))</f>
        <v/>
      </c>
      <c r="K1247" s="20">
        <f>IF($F1247="",999,IF($G1247&gt;=5,9999,IF($I1247="",999,$I1247-TODAY())))</f>
        <v/>
      </c>
    </row>
    <row r="1248">
      <c r="A1248" s="24">
        <f>ROW()-2</f>
        <v/>
      </c>
      <c r="B1248" s="25" t="inlineStr">
        <is>
          <t>S10</t>
        </is>
      </c>
      <c r="C1248" s="25" t="inlineStr">
        <is>
          <t>Médecine légale - Éthique - Médecine du travail</t>
        </is>
      </c>
      <c r="D1248" s="25" t="inlineStr">
        <is>
          <t>Médecine légale</t>
        </is>
      </c>
      <c r="E1248" s="25" t="inlineStr">
        <is>
          <t>Formes médico-légales de la mort et certification du décès</t>
        </is>
      </c>
      <c r="F1248" s="18" t="n"/>
      <c r="G1248" s="19" t="n"/>
      <c r="H1248" s="20">
        <f>IF($G1248="",1,IF($G1248=0,1,IF($G1248=1,3,IF($G1248=2,7,IF($G1248=3,14,IF($G1248=4,30,60))))))</f>
        <v/>
      </c>
      <c r="I1248" s="21">
        <f>IF($F1248="","",$F1248+$H1248)</f>
        <v/>
      </c>
      <c r="J1248">
        <f>IF($F1248="","⚪ NEW",IF($G1248&gt;=5,"✅ DONE",IF($I1248&lt;TODAY(),"🔴 OVERDUE",IF($I1248=TODAY(),"🟢 TODAY",IF($I1248=TODAY()+1,"🔵 TOMORROW",IF($I1248&lt;=TODAY()+7,"📅 THIS WEEK","⏳ SCHEDULED"))))))</f>
        <v/>
      </c>
      <c r="K1248" s="20">
        <f>IF($F1248="",999,IF($G1248&gt;=5,9999,IF($I1248="",999,$I1248-TODAY())))</f>
        <v/>
      </c>
    </row>
    <row r="1249">
      <c r="A1249" s="24">
        <f>ROW()-2</f>
        <v/>
      </c>
      <c r="B1249" s="25" t="inlineStr">
        <is>
          <t>S10</t>
        </is>
      </c>
      <c r="C1249" s="25" t="inlineStr">
        <is>
          <t>Médecine légale - Éthique - Médecine du travail</t>
        </is>
      </c>
      <c r="D1249" s="25" t="inlineStr">
        <is>
          <t>Médecine légale</t>
        </is>
      </c>
      <c r="E1249" s="25" t="inlineStr">
        <is>
          <t>Levée de corps et autopsie</t>
        </is>
      </c>
      <c r="F1249" s="18" t="n"/>
      <c r="G1249" s="19" t="n"/>
      <c r="H1249" s="20">
        <f>IF($G1249="",1,IF($G1249=0,1,IF($G1249=1,3,IF($G1249=2,7,IF($G1249=3,14,IF($G1249=4,30,60))))))</f>
        <v/>
      </c>
      <c r="I1249" s="21">
        <f>IF($F1249="","",$F1249+$H1249)</f>
        <v/>
      </c>
      <c r="J1249">
        <f>IF($F1249="","⚪ NEW",IF($G1249&gt;=5,"✅ DONE",IF($I1249&lt;TODAY(),"🔴 OVERDUE",IF($I1249=TODAY(),"🟢 TODAY",IF($I1249=TODAY()+1,"🔵 TOMORROW",IF($I1249&lt;=TODAY()+7,"📅 THIS WEEK","⏳ SCHEDULED"))))))</f>
        <v/>
      </c>
      <c r="K1249" s="20">
        <f>IF($F1249="",999,IF($G1249&gt;=5,9999,IF($I1249="",999,$I1249-TODAY())))</f>
        <v/>
      </c>
    </row>
    <row r="1250">
      <c r="A1250" s="24">
        <f>ROW()-2</f>
        <v/>
      </c>
      <c r="B1250" s="25" t="inlineStr">
        <is>
          <t>S10</t>
        </is>
      </c>
      <c r="C1250" s="25" t="inlineStr">
        <is>
          <t>Médecine légale - Éthique - Médecine du travail</t>
        </is>
      </c>
      <c r="D1250" s="25" t="inlineStr">
        <is>
          <t>Médecine légale</t>
        </is>
      </c>
      <c r="E1250" s="25" t="inlineStr">
        <is>
          <t>Diagnostic médico-légal des blessures</t>
        </is>
      </c>
      <c r="F1250" s="18" t="n"/>
      <c r="G1250" s="19" t="n"/>
      <c r="H1250" s="20">
        <f>IF($G1250="",1,IF($G1250=0,1,IF($G1250=1,3,IF($G1250=2,7,IF($G1250=3,14,IF($G1250=4,30,60))))))</f>
        <v/>
      </c>
      <c r="I1250" s="21">
        <f>IF($F1250="","",$F1250+$H1250)</f>
        <v/>
      </c>
      <c r="J1250">
        <f>IF($F1250="","⚪ NEW",IF($G1250&gt;=5,"✅ DONE",IF($I1250&lt;TODAY(),"🔴 OVERDUE",IF($I1250=TODAY(),"🟢 TODAY",IF($I1250=TODAY()+1,"🔵 TOMORROW",IF($I1250&lt;=TODAY()+7,"📅 THIS WEEK","⏳ SCHEDULED"))))))</f>
        <v/>
      </c>
      <c r="K1250" s="20">
        <f>IF($F1250="",999,IF($G1250&gt;=5,9999,IF($I1250="",999,$I1250-TODAY())))</f>
        <v/>
      </c>
    </row>
    <row r="1251">
      <c r="A1251" s="24">
        <f>ROW()-2</f>
        <v/>
      </c>
      <c r="B1251" s="25" t="inlineStr">
        <is>
          <t>S10</t>
        </is>
      </c>
      <c r="C1251" s="25" t="inlineStr">
        <is>
          <t>Médecine légale - Éthique - Médecine du travail</t>
        </is>
      </c>
      <c r="D1251" s="25" t="inlineStr">
        <is>
          <t>Médecine légale</t>
        </is>
      </c>
      <c r="E1251" s="25" t="inlineStr">
        <is>
          <t>Les asphyxies mécaniques</t>
        </is>
      </c>
      <c r="F1251" s="18" t="n"/>
      <c r="G1251" s="19" t="n"/>
      <c r="H1251" s="20">
        <f>IF($G1251="",1,IF($G1251=0,1,IF($G1251=1,3,IF($G1251=2,7,IF($G1251=3,14,IF($G1251=4,30,60))))))</f>
        <v/>
      </c>
      <c r="I1251" s="21">
        <f>IF($F1251="","",$F1251+$H1251)</f>
        <v/>
      </c>
      <c r="J1251">
        <f>IF($F1251="","⚪ NEW",IF($G1251&gt;=5,"✅ DONE",IF($I1251&lt;TODAY(),"🔴 OVERDUE",IF($I1251=TODAY(),"🟢 TODAY",IF($I1251=TODAY()+1,"🔵 TOMORROW",IF($I1251&lt;=TODAY()+7,"📅 THIS WEEK","⏳ SCHEDULED"))))))</f>
        <v/>
      </c>
      <c r="K1251" s="20">
        <f>IF($F1251="",999,IF($G1251&gt;=5,9999,IF($I1251="",999,$I1251-TODAY())))</f>
        <v/>
      </c>
    </row>
    <row r="1252">
      <c r="A1252" s="24">
        <f>ROW()-2</f>
        <v/>
      </c>
      <c r="B1252" s="25" t="inlineStr">
        <is>
          <t>S10</t>
        </is>
      </c>
      <c r="C1252" s="25" t="inlineStr">
        <is>
          <t>Médecine légale - Éthique - Médecine du travail</t>
        </is>
      </c>
      <c r="D1252" s="25" t="inlineStr">
        <is>
          <t>Médecine légale</t>
        </is>
      </c>
      <c r="E1252" s="25" t="inlineStr">
        <is>
          <t>Les responsabilités médicales</t>
        </is>
      </c>
      <c r="F1252" s="18" t="n"/>
      <c r="G1252" s="19" t="n"/>
      <c r="H1252" s="20">
        <f>IF($G1252="",1,IF($G1252=0,1,IF($G1252=1,3,IF($G1252=2,7,IF($G1252=3,14,IF($G1252=4,30,60))))))</f>
        <v/>
      </c>
      <c r="I1252" s="21">
        <f>IF($F1252="","",$F1252+$H1252)</f>
        <v/>
      </c>
      <c r="J1252">
        <f>IF($F1252="","⚪ NEW",IF($G1252&gt;=5,"✅ DONE",IF($I1252&lt;TODAY(),"🔴 OVERDUE",IF($I1252=TODAY(),"🟢 TODAY",IF($I1252=TODAY()+1,"🔵 TOMORROW",IF($I1252&lt;=TODAY()+7,"📅 THIS WEEK","⏳ SCHEDULED"))))))</f>
        <v/>
      </c>
      <c r="K1252" s="20">
        <f>IF($F1252="",999,IF($G1252&gt;=5,9999,IF($I1252="",999,$I1252-TODAY())))</f>
        <v/>
      </c>
    </row>
    <row r="1253">
      <c r="A1253" s="24">
        <f>ROW()-2</f>
        <v/>
      </c>
      <c r="B1253" s="25" t="inlineStr">
        <is>
          <t>S10</t>
        </is>
      </c>
      <c r="C1253" s="25" t="inlineStr">
        <is>
          <t>Médecine légale - Éthique - Médecine du travail</t>
        </is>
      </c>
      <c r="D1253" s="25" t="inlineStr">
        <is>
          <t>Médecine légale</t>
        </is>
      </c>
      <c r="E1253" s="25" t="inlineStr">
        <is>
          <t>Les certificats médicaux</t>
        </is>
      </c>
      <c r="F1253" s="18" t="n"/>
      <c r="G1253" s="19" t="n"/>
      <c r="H1253" s="20">
        <f>IF($G1253="",1,IF($G1253=0,1,IF($G1253=1,3,IF($G1253=2,7,IF($G1253=3,14,IF($G1253=4,30,60))))))</f>
        <v/>
      </c>
      <c r="I1253" s="21">
        <f>IF($F1253="","",$F1253+$H1253)</f>
        <v/>
      </c>
      <c r="J1253">
        <f>IF($F1253="","⚪ NEW",IF($G1253&gt;=5,"✅ DONE",IF($I1253&lt;TODAY(),"🔴 OVERDUE",IF($I1253=TODAY(),"🟢 TODAY",IF($I1253=TODAY()+1,"🔵 TOMORROW",IF($I1253&lt;=TODAY()+7,"📅 THIS WEEK","⏳ SCHEDULED"))))))</f>
        <v/>
      </c>
      <c r="K1253" s="20">
        <f>IF($F1253="",999,IF($G1253&gt;=5,9999,IF($I1253="",999,$I1253-TODAY())))</f>
        <v/>
      </c>
    </row>
    <row r="1254">
      <c r="A1254" s="24">
        <f>ROW()-2</f>
        <v/>
      </c>
      <c r="B1254" s="25" t="inlineStr">
        <is>
          <t>S10</t>
        </is>
      </c>
      <c r="C1254" s="25" t="inlineStr">
        <is>
          <t>Médecine légale - Éthique - Médecine du travail</t>
        </is>
      </c>
      <c r="D1254" s="25" t="inlineStr">
        <is>
          <t>Médecine légale</t>
        </is>
      </c>
      <c r="E1254" s="25" t="inlineStr">
        <is>
          <t>Le contrat médical</t>
        </is>
      </c>
      <c r="F1254" s="18" t="n"/>
      <c r="G1254" s="19" t="n"/>
      <c r="H1254" s="20">
        <f>IF($G1254="",1,IF($G1254=0,1,IF($G1254=1,3,IF($G1254=2,7,IF($G1254=3,14,IF($G1254=4,30,60))))))</f>
        <v/>
      </c>
      <c r="I1254" s="21">
        <f>IF($F1254="","",$F1254+$H1254)</f>
        <v/>
      </c>
      <c r="J1254">
        <f>IF($F1254="","⚪ NEW",IF($G1254&gt;=5,"✅ DONE",IF($I1254&lt;TODAY(),"🔴 OVERDUE",IF($I1254=TODAY(),"🟢 TODAY",IF($I1254=TODAY()+1,"🔵 TOMORROW",IF($I1254&lt;=TODAY()+7,"📅 THIS WEEK","⏳ SCHEDULED"))))))</f>
        <v/>
      </c>
      <c r="K1254" s="20">
        <f>IF($F1254="",999,IF($G1254&gt;=5,9999,IF($I1254="",999,$I1254-TODAY())))</f>
        <v/>
      </c>
    </row>
    <row r="1255">
      <c r="A1255" s="24">
        <f>ROW()-2</f>
        <v/>
      </c>
      <c r="B1255" s="25" t="inlineStr">
        <is>
          <t>S10</t>
        </is>
      </c>
      <c r="C1255" s="25" t="inlineStr">
        <is>
          <t>Médecine légale - Éthique - Médecine du travail</t>
        </is>
      </c>
      <c r="D1255" s="25" t="inlineStr">
        <is>
          <t>Médecine légale</t>
        </is>
      </c>
      <c r="E1255" s="25" t="inlineStr">
        <is>
          <t>Le secret médical</t>
        </is>
      </c>
      <c r="F1255" s="18" t="n"/>
      <c r="G1255" s="19" t="n"/>
      <c r="H1255" s="20">
        <f>IF($G1255="",1,IF($G1255=0,1,IF($G1255=1,3,IF($G1255=2,7,IF($G1255=3,14,IF($G1255=4,30,60))))))</f>
        <v/>
      </c>
      <c r="I1255" s="21">
        <f>IF($F1255="","",$F1255+$H1255)</f>
        <v/>
      </c>
      <c r="J1255">
        <f>IF($F1255="","⚪ NEW",IF($G1255&gt;=5,"✅ DONE",IF($I1255&lt;TODAY(),"🔴 OVERDUE",IF($I1255=TODAY(),"🟢 TODAY",IF($I1255=TODAY()+1,"🔵 TOMORROW",IF($I1255&lt;=TODAY()+7,"📅 THIS WEEK","⏳ SCHEDULED"))))))</f>
        <v/>
      </c>
      <c r="K1255" s="20">
        <f>IF($F1255="",999,IF($G1255&gt;=5,9999,IF($I1255="",999,$I1255-TODAY())))</f>
        <v/>
      </c>
    </row>
    <row r="1256">
      <c r="A1256" s="24">
        <f>ROW()-2</f>
        <v/>
      </c>
      <c r="B1256" s="25" t="inlineStr">
        <is>
          <t>S10</t>
        </is>
      </c>
      <c r="C1256" s="25" t="inlineStr">
        <is>
          <t>Médecine légale - Éthique - Médecine du travail</t>
        </is>
      </c>
      <c r="D1256" s="25" t="inlineStr">
        <is>
          <t>Médecine légale</t>
        </is>
      </c>
      <c r="E1256" s="25" t="inlineStr">
        <is>
          <t>Information et consentement du patient</t>
        </is>
      </c>
      <c r="F1256" s="18" t="n"/>
      <c r="G1256" s="19" t="n"/>
      <c r="H1256" s="20">
        <f>IF($G1256="",1,IF($G1256=0,1,IF($G1256=1,3,IF($G1256=2,7,IF($G1256=3,14,IF($G1256=4,30,60))))))</f>
        <v/>
      </c>
      <c r="I1256" s="21">
        <f>IF($F1256="","",$F1256+$H1256)</f>
        <v/>
      </c>
      <c r="J1256">
        <f>IF($F1256="","⚪ NEW",IF($G1256&gt;=5,"✅ DONE",IF($I1256&lt;TODAY(),"🔴 OVERDUE",IF($I1256=TODAY(),"🟢 TODAY",IF($I1256=TODAY()+1,"🔵 TOMORROW",IF($I1256&lt;=TODAY()+7,"📅 THIS WEEK","⏳ SCHEDULED"))))))</f>
        <v/>
      </c>
      <c r="K1256" s="20">
        <f>IF($F1256="",999,IF($G1256&gt;=5,9999,IF($I1256="",999,$I1256-TODAY())))</f>
        <v/>
      </c>
    </row>
    <row r="1257">
      <c r="A1257" s="24">
        <f>ROW()-2</f>
        <v/>
      </c>
      <c r="B1257" s="25" t="inlineStr">
        <is>
          <t>S10</t>
        </is>
      </c>
      <c r="C1257" s="25" t="inlineStr">
        <is>
          <t>Médecine légale - Éthique - Médecine du travail</t>
        </is>
      </c>
      <c r="D1257" s="25" t="inlineStr">
        <is>
          <t>Médecine légale</t>
        </is>
      </c>
      <c r="E1257" s="25" t="inlineStr">
        <is>
          <t>Abstention fautive</t>
        </is>
      </c>
      <c r="F1257" s="18" t="n"/>
      <c r="G1257" s="19" t="n"/>
      <c r="H1257" s="20">
        <f>IF($G1257="",1,IF($G1257=0,1,IF($G1257=1,3,IF($G1257=2,7,IF($G1257=3,14,IF($G1257=4,30,60))))))</f>
        <v/>
      </c>
      <c r="I1257" s="21">
        <f>IF($F1257="","",$F1257+$H1257)</f>
        <v/>
      </c>
      <c r="J1257">
        <f>IF($F1257="","⚪ NEW",IF($G1257&gt;=5,"✅ DONE",IF($I1257&lt;TODAY(),"🔴 OVERDUE",IF($I1257=TODAY(),"🟢 TODAY",IF($I1257=TODAY()+1,"🔵 TOMORROW",IF($I1257&lt;=TODAY()+7,"📅 THIS WEEK","⏳ SCHEDULED"))))))</f>
        <v/>
      </c>
      <c r="K1257" s="20">
        <f>IF($F1257="",999,IF($G1257&gt;=5,9999,IF($I1257="",999,$I1257-TODAY())))</f>
        <v/>
      </c>
    </row>
    <row r="1258">
      <c r="A1258" s="24">
        <f>ROW()-2</f>
        <v/>
      </c>
      <c r="B1258" s="25" t="inlineStr">
        <is>
          <t>S10</t>
        </is>
      </c>
      <c r="C1258" s="25" t="inlineStr">
        <is>
          <t>Médecine légale - Éthique - Médecine du travail</t>
        </is>
      </c>
      <c r="D1258" s="25" t="inlineStr">
        <is>
          <t>Médecine légale</t>
        </is>
      </c>
      <c r="E1258" s="25" t="inlineStr">
        <is>
          <t>Sévices à l'enfant : repérage et conduite à tenir</t>
        </is>
      </c>
      <c r="F1258" s="18" t="n"/>
      <c r="G1258" s="19" t="n"/>
      <c r="H1258" s="20">
        <f>IF($G1258="",1,IF($G1258=0,1,IF($G1258=1,3,IF($G1258=2,7,IF($G1258=3,14,IF($G1258=4,30,60))))))</f>
        <v/>
      </c>
      <c r="I1258" s="21">
        <f>IF($F1258="","",$F1258+$H1258)</f>
        <v/>
      </c>
      <c r="J1258">
        <f>IF($F1258="","⚪ NEW",IF($G1258&gt;=5,"✅ DONE",IF($I1258&lt;TODAY(),"🔴 OVERDUE",IF($I1258=TODAY(),"🟢 TODAY",IF($I1258=TODAY()+1,"🔵 TOMORROW",IF($I1258&lt;=TODAY()+7,"📅 THIS WEEK","⏳ SCHEDULED"))))))</f>
        <v/>
      </c>
      <c r="K1258" s="20">
        <f>IF($F1258="",999,IF($G1258&gt;=5,9999,IF($I1258="",999,$I1258-TODAY())))</f>
        <v/>
      </c>
    </row>
    <row r="1259">
      <c r="A1259" s="24">
        <f>ROW()-2</f>
        <v/>
      </c>
      <c r="B1259" s="25" t="inlineStr">
        <is>
          <t>S10</t>
        </is>
      </c>
      <c r="C1259" s="25" t="inlineStr">
        <is>
          <t>Médecine légale - Éthique - Médecine du travail</t>
        </is>
      </c>
      <c r="D1259" s="25" t="inlineStr">
        <is>
          <t>Médecine légale</t>
        </is>
      </c>
      <c r="E1259" s="25" t="inlineStr">
        <is>
          <t>Les agressions sexuelles sur adultes et mineurs</t>
        </is>
      </c>
      <c r="F1259" s="18" t="n"/>
      <c r="G1259" s="19" t="n"/>
      <c r="H1259" s="20">
        <f>IF($G1259="",1,IF($G1259=0,1,IF($G1259=1,3,IF($G1259=2,7,IF($G1259=3,14,IF($G1259=4,30,60))))))</f>
        <v/>
      </c>
      <c r="I1259" s="21">
        <f>IF($F1259="","",$F1259+$H1259)</f>
        <v/>
      </c>
      <c r="J1259">
        <f>IF($F1259="","⚪ NEW",IF($G1259&gt;=5,"✅ DONE",IF($I1259&lt;TODAY(),"🔴 OVERDUE",IF($I1259=TODAY(),"🟢 TODAY",IF($I1259=TODAY()+1,"🔵 TOMORROW",IF($I1259&lt;=TODAY()+7,"📅 THIS WEEK","⏳ SCHEDULED"))))))</f>
        <v/>
      </c>
      <c r="K1259" s="20">
        <f>IF($F1259="",999,IF($G1259&gt;=5,9999,IF($I1259="",999,$I1259-TODAY())))</f>
        <v/>
      </c>
    </row>
    <row r="1260">
      <c r="A1260" s="24">
        <f>ROW()-2</f>
        <v/>
      </c>
      <c r="B1260" s="25" t="inlineStr">
        <is>
          <t>S10</t>
        </is>
      </c>
      <c r="C1260" s="25" t="inlineStr">
        <is>
          <t>Médecine légale - Éthique - Médecine du travail</t>
        </is>
      </c>
      <c r="D1260" s="25" t="inlineStr">
        <is>
          <t>Médecine légale</t>
        </is>
      </c>
      <c r="E1260" s="25" t="inlineStr">
        <is>
          <t>Infanticide</t>
        </is>
      </c>
      <c r="F1260" s="18" t="n"/>
      <c r="G1260" s="19" t="n"/>
      <c r="H1260" s="20">
        <f>IF($G1260="",1,IF($G1260=0,1,IF($G1260=1,3,IF($G1260=2,7,IF($G1260=3,14,IF($G1260=4,30,60))))))</f>
        <v/>
      </c>
      <c r="I1260" s="21">
        <f>IF($F1260="","",$F1260+$H1260)</f>
        <v/>
      </c>
      <c r="J1260">
        <f>IF($F1260="","⚪ NEW",IF($G1260&gt;=5,"✅ DONE",IF($I1260&lt;TODAY(),"🔴 OVERDUE",IF($I1260=TODAY(),"🟢 TODAY",IF($I1260=TODAY()+1,"🔵 TOMORROW",IF($I1260&lt;=TODAY()+7,"📅 THIS WEEK","⏳ SCHEDULED"))))))</f>
        <v/>
      </c>
      <c r="K1260" s="20">
        <f>IF($F1260="",999,IF($G1260&gt;=5,9999,IF($I1260="",999,$I1260-TODAY())))</f>
        <v/>
      </c>
    </row>
    <row r="1261">
      <c r="A1261" s="24">
        <f>ROW()-2</f>
        <v/>
      </c>
      <c r="B1261" s="25" t="inlineStr">
        <is>
          <t>S10</t>
        </is>
      </c>
      <c r="C1261" s="25" t="inlineStr">
        <is>
          <t>Médecine légale - Éthique - Médecine du travail</t>
        </is>
      </c>
      <c r="D1261" s="25" t="inlineStr">
        <is>
          <t>Médecine légale</t>
        </is>
      </c>
      <c r="E1261" s="25" t="inlineStr">
        <is>
          <t>Avortement illégal et thérapeutique</t>
        </is>
      </c>
      <c r="F1261" s="18" t="n"/>
      <c r="G1261" s="19" t="n"/>
      <c r="H1261" s="20">
        <f>IF($G1261="",1,IF($G1261=0,1,IF($G1261=1,3,IF($G1261=2,7,IF($G1261=3,14,IF($G1261=4,30,60))))))</f>
        <v/>
      </c>
      <c r="I1261" s="21">
        <f>IF($F1261="","",$F1261+$H1261)</f>
        <v/>
      </c>
      <c r="J1261">
        <f>IF($F1261="","⚪ NEW",IF($G1261&gt;=5,"✅ DONE",IF($I1261&lt;TODAY(),"🔴 OVERDUE",IF($I1261=TODAY(),"🟢 TODAY",IF($I1261=TODAY()+1,"🔵 TOMORROW",IF($I1261&lt;=TODAY()+7,"📅 THIS WEEK","⏳ SCHEDULED"))))))</f>
        <v/>
      </c>
      <c r="K1261" s="20">
        <f>IF($F1261="",999,IF($G1261&gt;=5,9999,IF($I1261="",999,$I1261-TODAY())))</f>
        <v/>
      </c>
    </row>
    <row r="1262">
      <c r="A1262" s="24">
        <f>ROW()-2</f>
        <v/>
      </c>
      <c r="B1262" s="25" t="inlineStr">
        <is>
          <t>S10</t>
        </is>
      </c>
      <c r="C1262" s="25" t="inlineStr">
        <is>
          <t>Médecine légale - Éthique - Médecine du travail</t>
        </is>
      </c>
      <c r="D1262" s="25" t="inlineStr">
        <is>
          <t>Médecine légale</t>
        </is>
      </c>
      <c r="E1262" s="25" t="inlineStr">
        <is>
          <t>Prélèvement et transplantation d'organes</t>
        </is>
      </c>
      <c r="F1262" s="18" t="n"/>
      <c r="G1262" s="19" t="n"/>
      <c r="H1262" s="20">
        <f>IF($G1262="",1,IF($G1262=0,1,IF($G1262=1,3,IF($G1262=2,7,IF($G1262=3,14,IF($G1262=4,30,60))))))</f>
        <v/>
      </c>
      <c r="I1262" s="21">
        <f>IF($F1262="","",$F1262+$H1262)</f>
        <v/>
      </c>
      <c r="J1262">
        <f>IF($F1262="","⚪ NEW",IF($G1262&gt;=5,"✅ DONE",IF($I1262&lt;TODAY(),"🔴 OVERDUE",IF($I1262=TODAY(),"🟢 TODAY",IF($I1262=TODAY()+1,"🔵 TOMORROW",IF($I1262&lt;=TODAY()+7,"📅 THIS WEEK","⏳ SCHEDULED"))))))</f>
        <v/>
      </c>
      <c r="K1262" s="20">
        <f>IF($F1262="",999,IF($G1262&gt;=5,9999,IF($I1262="",999,$I1262-TODAY())))</f>
        <v/>
      </c>
    </row>
    <row r="1263">
      <c r="A1263" s="24">
        <f>ROW()-2</f>
        <v/>
      </c>
      <c r="B1263" s="25" t="inlineStr">
        <is>
          <t>S10</t>
        </is>
      </c>
      <c r="C1263" s="25" t="inlineStr">
        <is>
          <t>Médecine légale - Éthique - Médecine du travail</t>
        </is>
      </c>
      <c r="D1263" s="25" t="inlineStr">
        <is>
          <t>Éthique et déontologie</t>
        </is>
      </c>
      <c r="E1263" s="25" t="inlineStr">
        <is>
          <t>Introduction à l'éthique</t>
        </is>
      </c>
      <c r="F1263" s="18" t="n"/>
      <c r="G1263" s="19" t="n"/>
      <c r="H1263" s="20">
        <f>IF($G1263="",1,IF($G1263=0,1,IF($G1263=1,3,IF($G1263=2,7,IF($G1263=3,14,IF($G1263=4,30,60))))))</f>
        <v/>
      </c>
      <c r="I1263" s="21">
        <f>IF($F1263="","",$F1263+$H1263)</f>
        <v/>
      </c>
      <c r="J1263">
        <f>IF($F1263="","⚪ NEW",IF($G1263&gt;=5,"✅ DONE",IF($I1263&lt;TODAY(),"🔴 OVERDUE",IF($I1263=TODAY(),"🟢 TODAY",IF($I1263=TODAY()+1,"🔵 TOMORROW",IF($I1263&lt;=TODAY()+7,"📅 THIS WEEK","⏳ SCHEDULED"))))))</f>
        <v/>
      </c>
      <c r="K1263" s="20">
        <f>IF($F1263="",999,IF($G1263&gt;=5,9999,IF($I1263="",999,$I1263-TODAY())))</f>
        <v/>
      </c>
    </row>
    <row r="1264">
      <c r="A1264" s="24">
        <f>ROW()-2</f>
        <v/>
      </c>
      <c r="B1264" s="25" t="inlineStr">
        <is>
          <t>S10</t>
        </is>
      </c>
      <c r="C1264" s="25" t="inlineStr">
        <is>
          <t>Médecine légale - Éthique - Médecine du travail</t>
        </is>
      </c>
      <c r="D1264" s="25" t="inlineStr">
        <is>
          <t>Éthique et déontologie</t>
        </is>
      </c>
      <c r="E1264" s="25" t="inlineStr">
        <is>
          <t>Principes de l'éthique médicale</t>
        </is>
      </c>
      <c r="F1264" s="18" t="n"/>
      <c r="G1264" s="19" t="n"/>
      <c r="H1264" s="20">
        <f>IF($G1264="",1,IF($G1264=0,1,IF($G1264=1,3,IF($G1264=2,7,IF($G1264=3,14,IF($G1264=4,30,60))))))</f>
        <v/>
      </c>
      <c r="I1264" s="21">
        <f>IF($F1264="","",$F1264+$H1264)</f>
        <v/>
      </c>
      <c r="J1264">
        <f>IF($F1264="","⚪ NEW",IF($G1264&gt;=5,"✅ DONE",IF($I1264&lt;TODAY(),"🔴 OVERDUE",IF($I1264=TODAY(),"🟢 TODAY",IF($I1264=TODAY()+1,"🔵 TOMORROW",IF($I1264&lt;=TODAY()+7,"📅 THIS WEEK","⏳ SCHEDULED"))))))</f>
        <v/>
      </c>
      <c r="K1264" s="20">
        <f>IF($F1264="",999,IF($G1264&gt;=5,9999,IF($I1264="",999,$I1264-TODAY())))</f>
        <v/>
      </c>
    </row>
    <row r="1265">
      <c r="A1265" s="24">
        <f>ROW()-2</f>
        <v/>
      </c>
      <c r="B1265" s="25" t="inlineStr">
        <is>
          <t>S10</t>
        </is>
      </c>
      <c r="C1265" s="25" t="inlineStr">
        <is>
          <t>Médecine légale - Éthique - Médecine du travail</t>
        </is>
      </c>
      <c r="D1265" s="25" t="inlineStr">
        <is>
          <t>Éthique et déontologie</t>
        </is>
      </c>
      <c r="E1265" s="25" t="inlineStr">
        <is>
          <t>Code de déontologie médicale</t>
        </is>
      </c>
      <c r="F1265" s="18" t="n"/>
      <c r="G1265" s="19" t="n"/>
      <c r="H1265" s="20">
        <f>IF($G1265="",1,IF($G1265=0,1,IF($G1265=1,3,IF($G1265=2,7,IF($G1265=3,14,IF($G1265=4,30,60))))))</f>
        <v/>
      </c>
      <c r="I1265" s="21">
        <f>IF($F1265="","",$F1265+$H1265)</f>
        <v/>
      </c>
      <c r="J1265">
        <f>IF($F1265="","⚪ NEW",IF($G1265&gt;=5,"✅ DONE",IF($I1265&lt;TODAY(),"🔴 OVERDUE",IF($I1265=TODAY(),"🟢 TODAY",IF($I1265=TODAY()+1,"🔵 TOMORROW",IF($I1265&lt;=TODAY()+7,"📅 THIS WEEK","⏳ SCHEDULED"))))))</f>
        <v/>
      </c>
      <c r="K1265" s="20">
        <f>IF($F1265="",999,IF($G1265&gt;=5,9999,IF($I1265="",999,$I1265-TODAY())))</f>
        <v/>
      </c>
    </row>
    <row r="1266">
      <c r="A1266" s="24">
        <f>ROW()-2</f>
        <v/>
      </c>
      <c r="B1266" s="25" t="inlineStr">
        <is>
          <t>S10</t>
        </is>
      </c>
      <c r="C1266" s="25" t="inlineStr">
        <is>
          <t>Médecine légale - Éthique - Médecine du travail</t>
        </is>
      </c>
      <c r="D1266" s="25" t="inlineStr">
        <is>
          <t>Éthique et déontologie</t>
        </is>
      </c>
      <c r="E1266" s="25" t="inlineStr">
        <is>
          <t>Éthique médicale et don d'organes</t>
        </is>
      </c>
      <c r="F1266" s="18" t="n"/>
      <c r="G1266" s="19" t="n"/>
      <c r="H1266" s="20">
        <f>IF($G1266="",1,IF($G1266=0,1,IF($G1266=1,3,IF($G1266=2,7,IF($G1266=3,14,IF($G1266=4,30,60))))))</f>
        <v/>
      </c>
      <c r="I1266" s="21">
        <f>IF($F1266="","",$F1266+$H1266)</f>
        <v/>
      </c>
      <c r="J1266">
        <f>IF($F1266="","⚪ NEW",IF($G1266&gt;=5,"✅ DONE",IF($I1266&lt;TODAY(),"🔴 OVERDUE",IF($I1266=TODAY(),"🟢 TODAY",IF($I1266=TODAY()+1,"🔵 TOMORROW",IF($I1266&lt;=TODAY()+7,"📅 THIS WEEK","⏳ SCHEDULED"))))))</f>
        <v/>
      </c>
      <c r="K1266" s="20">
        <f>IF($F1266="",999,IF($G1266&gt;=5,9999,IF($I1266="",999,$I1266-TODAY())))</f>
        <v/>
      </c>
    </row>
    <row r="1267">
      <c r="A1267" s="24">
        <f>ROW()-2</f>
        <v/>
      </c>
      <c r="B1267" s="25" t="inlineStr">
        <is>
          <t>S10</t>
        </is>
      </c>
      <c r="C1267" s="25" t="inlineStr">
        <is>
          <t>Médecine légale - Éthique - Médecine du travail</t>
        </is>
      </c>
      <c r="D1267" s="25" t="inlineStr">
        <is>
          <t>Éthique et déontologie</t>
        </is>
      </c>
      <c r="E1267" s="25" t="inlineStr">
        <is>
          <t>Éthique médicale et fin de vie</t>
        </is>
      </c>
      <c r="F1267" s="18" t="n"/>
      <c r="G1267" s="19" t="n"/>
      <c r="H1267" s="20">
        <f>IF($G1267="",1,IF($G1267=0,1,IF($G1267=1,3,IF($G1267=2,7,IF($G1267=3,14,IF($G1267=4,30,60))))))</f>
        <v/>
      </c>
      <c r="I1267" s="21">
        <f>IF($F1267="","",$F1267+$H1267)</f>
        <v/>
      </c>
      <c r="J1267">
        <f>IF($F1267="","⚪ NEW",IF($G1267&gt;=5,"✅ DONE",IF($I1267&lt;TODAY(),"🔴 OVERDUE",IF($I1267=TODAY(),"🟢 TODAY",IF($I1267=TODAY()+1,"🔵 TOMORROW",IF($I1267&lt;=TODAY()+7,"📅 THIS WEEK","⏳ SCHEDULED"))))))</f>
        <v/>
      </c>
      <c r="K1267" s="20">
        <f>IF($F1267="",999,IF($G1267&gt;=5,9999,IF($I1267="",999,$I1267-TODAY())))</f>
        <v/>
      </c>
    </row>
    <row r="1268">
      <c r="A1268" s="24">
        <f>ROW()-2</f>
        <v/>
      </c>
      <c r="B1268" s="25" t="inlineStr">
        <is>
          <t>S10</t>
        </is>
      </c>
      <c r="C1268" s="25" t="inlineStr">
        <is>
          <t>Médecine légale - Éthique - Médecine du travail</t>
        </is>
      </c>
      <c r="D1268" s="25" t="inlineStr">
        <is>
          <t>Éthique et déontologie</t>
        </is>
      </c>
      <c r="E1268" s="25" t="inlineStr">
        <is>
          <t>Procréation médicalement assistée, fœtus et embryon</t>
        </is>
      </c>
      <c r="F1268" s="18" t="n"/>
      <c r="G1268" s="19" t="n"/>
      <c r="H1268" s="20">
        <f>IF($G1268="",1,IF($G1268=0,1,IF($G1268=1,3,IF($G1268=2,7,IF($G1268=3,14,IF($G1268=4,30,60))))))</f>
        <v/>
      </c>
      <c r="I1268" s="21">
        <f>IF($F1268="","",$F1268+$H1268)</f>
        <v/>
      </c>
      <c r="J1268">
        <f>IF($F1268="","⚪ NEW",IF($G1268&gt;=5,"✅ DONE",IF($I1268&lt;TODAY(),"🔴 OVERDUE",IF($I1268=TODAY(),"🟢 TODAY",IF($I1268=TODAY()+1,"🔵 TOMORROW",IF($I1268&lt;=TODAY()+7,"📅 THIS WEEK","⏳ SCHEDULED"))))))</f>
        <v/>
      </c>
      <c r="K1268" s="20">
        <f>IF($F1268="",999,IF($G1268&gt;=5,9999,IF($I1268="",999,$I1268-TODAY())))</f>
        <v/>
      </c>
    </row>
    <row r="1269">
      <c r="A1269" s="24">
        <f>ROW()-2</f>
        <v/>
      </c>
      <c r="B1269" s="25" t="inlineStr">
        <is>
          <t>S10</t>
        </is>
      </c>
      <c r="C1269" s="25" t="inlineStr">
        <is>
          <t>Médecine légale - Éthique - Médecine du travail</t>
        </is>
      </c>
      <c r="D1269" s="25" t="inlineStr">
        <is>
          <t>Éthique et déontologie</t>
        </is>
      </c>
      <c r="E1269" s="25" t="inlineStr">
        <is>
          <t>Aspects éthiques de la télémédecine</t>
        </is>
      </c>
      <c r="F1269" s="18" t="n"/>
      <c r="G1269" s="19" t="n"/>
      <c r="H1269" s="20">
        <f>IF($G1269="",1,IF($G1269=0,1,IF($G1269=1,3,IF($G1269=2,7,IF($G1269=3,14,IF($G1269=4,30,60))))))</f>
        <v/>
      </c>
      <c r="I1269" s="21">
        <f>IF($F1269="","",$F1269+$H1269)</f>
        <v/>
      </c>
      <c r="J1269">
        <f>IF($F1269="","⚪ NEW",IF($G1269&gt;=5,"✅ DONE",IF($I1269&lt;TODAY(),"🔴 OVERDUE",IF($I1269=TODAY(),"🟢 TODAY",IF($I1269=TODAY()+1,"🔵 TOMORROW",IF($I1269&lt;=TODAY()+7,"📅 THIS WEEK","⏳ SCHEDULED"))))))</f>
        <v/>
      </c>
      <c r="K1269" s="20">
        <f>IF($F1269="",999,IF($G1269&gt;=5,9999,IF($I1269="",999,$I1269-TODAY())))</f>
        <v/>
      </c>
    </row>
    <row r="1270">
      <c r="A1270" s="24">
        <f>ROW()-2</f>
        <v/>
      </c>
      <c r="B1270" s="25" t="inlineStr">
        <is>
          <t>S10</t>
        </is>
      </c>
      <c r="C1270" s="25" t="inlineStr">
        <is>
          <t>Médecine légale - Éthique - Médecine du travail</t>
        </is>
      </c>
      <c r="D1270" s="25" t="inlineStr">
        <is>
          <t>Éthique et déontologie</t>
        </is>
      </c>
      <c r="E1270" s="25" t="inlineStr">
        <is>
          <t>Principes de l'éthique de la recherche</t>
        </is>
      </c>
      <c r="F1270" s="18" t="n"/>
      <c r="G1270" s="19" t="n"/>
      <c r="H1270" s="20">
        <f>IF($G1270="",1,IF($G1270=0,1,IF($G1270=1,3,IF($G1270=2,7,IF($G1270=3,14,IF($G1270=4,30,60))))))</f>
        <v/>
      </c>
      <c r="I1270" s="21">
        <f>IF($F1270="","",$F1270+$H1270)</f>
        <v/>
      </c>
      <c r="J1270">
        <f>IF($F1270="","⚪ NEW",IF($G1270&gt;=5,"✅ DONE",IF($I1270&lt;TODAY(),"🔴 OVERDUE",IF($I1270=TODAY(),"🟢 TODAY",IF($I1270=TODAY()+1,"🔵 TOMORROW",IF($I1270&lt;=TODAY()+7,"📅 THIS WEEK","⏳ SCHEDULED"))))))</f>
        <v/>
      </c>
      <c r="K1270" s="20">
        <f>IF($F1270="",999,IF($G1270&gt;=5,9999,IF($I1270="",999,$I1270-TODAY())))</f>
        <v/>
      </c>
    </row>
    <row r="1271">
      <c r="A1271" s="24">
        <f>ROW()-2</f>
        <v/>
      </c>
      <c r="B1271" s="25" t="inlineStr">
        <is>
          <t>S10</t>
        </is>
      </c>
      <c r="C1271" s="25" t="inlineStr">
        <is>
          <t>Médecine légale - Éthique - Médecine du travail</t>
        </is>
      </c>
      <c r="D1271" s="25" t="inlineStr">
        <is>
          <t>Éthique et déontologie</t>
        </is>
      </c>
      <c r="E1271" s="25" t="inlineStr">
        <is>
          <t>Conduite responsable de la recherche</t>
        </is>
      </c>
      <c r="F1271" s="18" t="n"/>
      <c r="G1271" s="19" t="n"/>
      <c r="H1271" s="20">
        <f>IF($G1271="",1,IF($G1271=0,1,IF($G1271=1,3,IF($G1271=2,7,IF($G1271=3,14,IF($G1271=4,30,60))))))</f>
        <v/>
      </c>
      <c r="I1271" s="21">
        <f>IF($F1271="","",$F1271+$H1271)</f>
        <v/>
      </c>
      <c r="J1271">
        <f>IF($F1271="","⚪ NEW",IF($G1271&gt;=5,"✅ DONE",IF($I1271&lt;TODAY(),"🔴 OVERDUE",IF($I1271=TODAY(),"🟢 TODAY",IF($I1271=TODAY()+1,"🔵 TOMORROW",IF($I1271&lt;=TODAY()+7,"📅 THIS WEEK","⏳ SCHEDULED"))))))</f>
        <v/>
      </c>
      <c r="K1271" s="20">
        <f>IF($F1271="",999,IF($G1271&gt;=5,9999,IF($I1271="",999,$I1271-TODAY())))</f>
        <v/>
      </c>
    </row>
    <row r="1272">
      <c r="A1272" s="24">
        <f>ROW()-2</f>
        <v/>
      </c>
      <c r="B1272" s="25" t="inlineStr">
        <is>
          <t>S10</t>
        </is>
      </c>
      <c r="C1272" s="25" t="inlineStr">
        <is>
          <t>Médecine légale - Éthique - Médecine du travail</t>
        </is>
      </c>
      <c r="D1272" s="25" t="inlineStr">
        <is>
          <t>Éthique et déontologie</t>
        </is>
      </c>
      <c r="E1272" s="25" t="inlineStr">
        <is>
          <t>Recherche internationale : aspects éthiques</t>
        </is>
      </c>
      <c r="F1272" s="18" t="n"/>
      <c r="G1272" s="19" t="n"/>
      <c r="H1272" s="20">
        <f>IF($G1272="",1,IF($G1272=0,1,IF($G1272=1,3,IF($G1272=2,7,IF($G1272=3,14,IF($G1272=4,30,60))))))</f>
        <v/>
      </c>
      <c r="I1272" s="21">
        <f>IF($F1272="","",$F1272+$H1272)</f>
        <v/>
      </c>
      <c r="J1272">
        <f>IF($F1272="","⚪ NEW",IF($G1272&gt;=5,"✅ DONE",IF($I1272&lt;TODAY(),"🔴 OVERDUE",IF($I1272=TODAY(),"🟢 TODAY",IF($I1272=TODAY()+1,"🔵 TOMORROW",IF($I1272&lt;=TODAY()+7,"📅 THIS WEEK","⏳ SCHEDULED"))))))</f>
        <v/>
      </c>
      <c r="K1272" s="20">
        <f>IF($F1272="",999,IF($G1272&gt;=5,9999,IF($I1272="",999,$I1272-TODAY())))</f>
        <v/>
      </c>
    </row>
    <row r="1273">
      <c r="A1273" s="24">
        <f>ROW()-2</f>
        <v/>
      </c>
      <c r="B1273" s="25" t="inlineStr">
        <is>
          <t>S10</t>
        </is>
      </c>
      <c r="C1273" s="25" t="inlineStr">
        <is>
          <t>Médecine légale - Éthique - Médecine du travail</t>
        </is>
      </c>
      <c r="D1273" s="25" t="inlineStr">
        <is>
          <t>Éthique et déontologie</t>
        </is>
      </c>
      <c r="E1273" s="25" t="inlineStr">
        <is>
          <t>Justice et équité</t>
        </is>
      </c>
      <c r="F1273" s="18" t="n"/>
      <c r="G1273" s="19" t="n"/>
      <c r="H1273" s="20">
        <f>IF($G1273="",1,IF($G1273=0,1,IF($G1273=1,3,IF($G1273=2,7,IF($G1273=3,14,IF($G1273=4,30,60))))))</f>
        <v/>
      </c>
      <c r="I1273" s="21">
        <f>IF($F1273="","",$F1273+$H1273)</f>
        <v/>
      </c>
      <c r="J1273">
        <f>IF($F1273="","⚪ NEW",IF($G1273&gt;=5,"✅ DONE",IF($I1273&lt;TODAY(),"🔴 OVERDUE",IF($I1273=TODAY(),"🟢 TODAY",IF($I1273=TODAY()+1,"🔵 TOMORROW",IF($I1273&lt;=TODAY()+7,"📅 THIS WEEK","⏳ SCHEDULED"))))))</f>
        <v/>
      </c>
      <c r="K1273" s="20">
        <f>IF($F1273="",999,IF($G1273&gt;=5,9999,IF($I1273="",999,$I1273-TODAY())))</f>
        <v/>
      </c>
    </row>
    <row r="1274">
      <c r="A1274" s="24">
        <f>ROW()-2</f>
        <v/>
      </c>
      <c r="B1274" s="25" t="inlineStr">
        <is>
          <t>S10</t>
        </is>
      </c>
      <c r="C1274" s="25" t="inlineStr">
        <is>
          <t>Médecine légale - Éthique - Médecine du travail</t>
        </is>
      </c>
      <c r="D1274" s="25" t="inlineStr">
        <is>
          <t>Éthique et déontologie</t>
        </is>
      </c>
      <c r="E1274" s="25" t="inlineStr">
        <is>
          <t>Éthique en santé publique</t>
        </is>
      </c>
      <c r="F1274" s="18" t="n"/>
      <c r="G1274" s="19" t="n"/>
      <c r="H1274" s="20">
        <f>IF($G1274="",1,IF($G1274=0,1,IF($G1274=1,3,IF($G1274=2,7,IF($G1274=3,14,IF($G1274=4,30,60))))))</f>
        <v/>
      </c>
      <c r="I1274" s="21">
        <f>IF($F1274="","",$F1274+$H1274)</f>
        <v/>
      </c>
      <c r="J1274">
        <f>IF($F1274="","⚪ NEW",IF($G1274&gt;=5,"✅ DONE",IF($I1274&lt;TODAY(),"🔴 OVERDUE",IF($I1274=TODAY(),"🟢 TODAY",IF($I1274=TODAY()+1,"🔵 TOMORROW",IF($I1274&lt;=TODAY()+7,"📅 THIS WEEK","⏳ SCHEDULED"))))))</f>
        <v/>
      </c>
      <c r="K1274" s="20">
        <f>IF($F1274="",999,IF($G1274&gt;=5,9999,IF($I1274="",999,$I1274-TODAY())))</f>
        <v/>
      </c>
    </row>
    <row r="1275">
      <c r="A1275" s="24">
        <f>ROW()-2</f>
        <v/>
      </c>
      <c r="B1275" s="25" t="inlineStr">
        <is>
          <t>S10</t>
        </is>
      </c>
      <c r="C1275" s="25" t="inlineStr">
        <is>
          <t>Médecine légale - Éthique - Médecine du travail</t>
        </is>
      </c>
      <c r="D1275" s="25" t="inlineStr">
        <is>
          <t>Médecine du travail</t>
        </is>
      </c>
      <c r="E1275" s="25" t="inlineStr">
        <is>
          <t>Introduction à la médecine du travail</t>
        </is>
      </c>
      <c r="F1275" s="18" t="n"/>
      <c r="G1275" s="19" t="n"/>
      <c r="H1275" s="20">
        <f>IF($G1275="",1,IF($G1275=0,1,IF($G1275=1,3,IF($G1275=2,7,IF($G1275=3,14,IF($G1275=4,30,60))))))</f>
        <v/>
      </c>
      <c r="I1275" s="21">
        <f>IF($F1275="","",$F1275+$H1275)</f>
        <v/>
      </c>
      <c r="J1275">
        <f>IF($F1275="","⚪ NEW",IF($G1275&gt;=5,"✅ DONE",IF($I1275&lt;TODAY(),"🔴 OVERDUE",IF($I1275=TODAY(),"🟢 TODAY",IF($I1275=TODAY()+1,"🔵 TOMORROW",IF($I1275&lt;=TODAY()+7,"📅 THIS WEEK","⏳ SCHEDULED"))))))</f>
        <v/>
      </c>
      <c r="K1275" s="20">
        <f>IF($F1275="",999,IF($G1275&gt;=5,9999,IF($I1275="",999,$I1275-TODAY())))</f>
        <v/>
      </c>
    </row>
    <row r="1276">
      <c r="A1276" s="24">
        <f>ROW()-2</f>
        <v/>
      </c>
      <c r="B1276" s="25" t="inlineStr">
        <is>
          <t>S10</t>
        </is>
      </c>
      <c r="C1276" s="25" t="inlineStr">
        <is>
          <t>Médecine légale - Éthique - Médecine du travail</t>
        </is>
      </c>
      <c r="D1276" s="25" t="inlineStr">
        <is>
          <t>Médecine du travail</t>
        </is>
      </c>
      <c r="E1276" s="25" t="inlineStr">
        <is>
          <t>Rôles et missions du médecin du travail</t>
        </is>
      </c>
      <c r="F1276" s="18" t="n"/>
      <c r="G1276" s="19" t="n"/>
      <c r="H1276" s="20">
        <f>IF($G1276="",1,IF($G1276=0,1,IF($G1276=1,3,IF($G1276=2,7,IF($G1276=3,14,IF($G1276=4,30,60))))))</f>
        <v/>
      </c>
      <c r="I1276" s="21">
        <f>IF($F1276="","",$F1276+$H1276)</f>
        <v/>
      </c>
      <c r="J1276">
        <f>IF($F1276="","⚪ NEW",IF($G1276&gt;=5,"✅ DONE",IF($I1276&lt;TODAY(),"🔴 OVERDUE",IF($I1276=TODAY(),"🟢 TODAY",IF($I1276=TODAY()+1,"🔵 TOMORROW",IF($I1276&lt;=TODAY()+7,"📅 THIS WEEK","⏳ SCHEDULED"))))))</f>
        <v/>
      </c>
      <c r="K1276" s="20">
        <f>IF($F1276="",999,IF($G1276&gt;=5,9999,IF($I1276="",999,$I1276-TODAY())))</f>
        <v/>
      </c>
    </row>
    <row r="1277">
      <c r="A1277" s="24">
        <f>ROW()-2</f>
        <v/>
      </c>
      <c r="B1277" s="25" t="inlineStr">
        <is>
          <t>S10</t>
        </is>
      </c>
      <c r="C1277" s="25" t="inlineStr">
        <is>
          <t>Médecine légale - Éthique - Médecine du travail</t>
        </is>
      </c>
      <c r="D1277" s="25" t="inlineStr">
        <is>
          <t>Médecine du travail</t>
        </is>
      </c>
      <c r="E1277" s="25" t="inlineStr">
        <is>
          <t>Accident d'exposition au sang (AES)</t>
        </is>
      </c>
      <c r="F1277" s="18" t="n"/>
      <c r="G1277" s="19" t="n"/>
      <c r="H1277" s="20">
        <f>IF($G1277="",1,IF($G1277=0,1,IF($G1277=1,3,IF($G1277=2,7,IF($G1277=3,14,IF($G1277=4,30,60))))))</f>
        <v/>
      </c>
      <c r="I1277" s="21">
        <f>IF($F1277="","",$F1277+$H1277)</f>
        <v/>
      </c>
      <c r="J1277">
        <f>IF($F1277="","⚪ NEW",IF($G1277&gt;=5,"✅ DONE",IF($I1277&lt;TODAY(),"🔴 OVERDUE",IF($I1277=TODAY(),"🟢 TODAY",IF($I1277=TODAY()+1,"🔵 TOMORROW",IF($I1277&lt;=TODAY()+7,"📅 THIS WEEK","⏳ SCHEDULED"))))))</f>
        <v/>
      </c>
      <c r="K1277" s="20">
        <f>IF($F1277="",999,IF($G1277&gt;=5,9999,IF($I1277="",999,$I1277-TODAY())))</f>
        <v/>
      </c>
    </row>
    <row r="1278">
      <c r="A1278" s="24">
        <f>ROW()-2</f>
        <v/>
      </c>
      <c r="B1278" s="25" t="inlineStr">
        <is>
          <t>S10</t>
        </is>
      </c>
      <c r="C1278" s="25" t="inlineStr">
        <is>
          <t>Médecine légale - Éthique - Médecine du travail</t>
        </is>
      </c>
      <c r="D1278" s="25" t="inlineStr">
        <is>
          <t>Médecine du travail</t>
        </is>
      </c>
      <c r="E1278" s="25" t="inlineStr">
        <is>
          <t>Réparation des accidents du travail</t>
        </is>
      </c>
      <c r="F1278" s="18" t="n"/>
      <c r="G1278" s="19" t="n"/>
      <c r="H1278" s="20">
        <f>IF($G1278="",1,IF($G1278=0,1,IF($G1278=1,3,IF($G1278=2,7,IF($G1278=3,14,IF($G1278=4,30,60))))))</f>
        <v/>
      </c>
      <c r="I1278" s="21">
        <f>IF($F1278="","",$F1278+$H1278)</f>
        <v/>
      </c>
      <c r="J1278">
        <f>IF($F1278="","⚪ NEW",IF($G1278&gt;=5,"✅ DONE",IF($I1278&lt;TODAY(),"🔴 OVERDUE",IF($I1278=TODAY(),"🟢 TODAY",IF($I1278=TODAY()+1,"🔵 TOMORROW",IF($I1278&lt;=TODAY()+7,"📅 THIS WEEK","⏳ SCHEDULED"))))))</f>
        <v/>
      </c>
      <c r="K1278" s="20">
        <f>IF($F1278="",999,IF($G1278&gt;=5,9999,IF($I1278="",999,$I1278-TODAY())))</f>
        <v/>
      </c>
    </row>
    <row r="1279">
      <c r="A1279" s="24">
        <f>ROW()-2</f>
        <v/>
      </c>
      <c r="B1279" s="25" t="inlineStr">
        <is>
          <t>S10</t>
        </is>
      </c>
      <c r="C1279" s="25" t="inlineStr">
        <is>
          <t>Médecine légale - Éthique - Médecine du travail</t>
        </is>
      </c>
      <c r="D1279" s="25" t="inlineStr">
        <is>
          <t>Médecine du travail</t>
        </is>
      </c>
      <c r="E1279" s="25" t="inlineStr">
        <is>
          <t>Réparation des maladies professionnelles</t>
        </is>
      </c>
      <c r="F1279" s="18" t="n"/>
      <c r="G1279" s="19" t="n"/>
      <c r="H1279" s="20">
        <f>IF($G1279="",1,IF($G1279=0,1,IF($G1279=1,3,IF($G1279=2,7,IF($G1279=3,14,IF($G1279=4,30,60))))))</f>
        <v/>
      </c>
      <c r="I1279" s="21">
        <f>IF($F1279="","",$F1279+$H1279)</f>
        <v/>
      </c>
      <c r="J1279">
        <f>IF($F1279="","⚪ NEW",IF($G1279&gt;=5,"✅ DONE",IF($I1279&lt;TODAY(),"🔴 OVERDUE",IF($I1279=TODAY(),"🟢 TODAY",IF($I1279=TODAY()+1,"🔵 TOMORROW",IF($I1279&lt;=TODAY()+7,"📅 THIS WEEK","⏳ SCHEDULED"))))))</f>
        <v/>
      </c>
      <c r="K1279" s="20">
        <f>IF($F1279="",999,IF($G1279&gt;=5,9999,IF($I1279="",999,$I1279-TODAY())))</f>
        <v/>
      </c>
    </row>
    <row r="1280">
      <c r="A1280" s="24">
        <f>ROW()-2</f>
        <v/>
      </c>
      <c r="B1280" s="25" t="inlineStr">
        <is>
          <t>S10</t>
        </is>
      </c>
      <c r="C1280" s="25" t="inlineStr">
        <is>
          <t>Médecine légale - Éthique - Médecine du travail</t>
        </is>
      </c>
      <c r="D1280" s="25" t="inlineStr">
        <is>
          <t>Médecine du travail</t>
        </is>
      </c>
      <c r="E1280" s="25" t="inlineStr">
        <is>
          <t>Les cancers professionnels</t>
        </is>
      </c>
      <c r="F1280" s="18" t="n"/>
      <c r="G1280" s="19" t="n"/>
      <c r="H1280" s="20">
        <f>IF($G1280="",1,IF($G1280=0,1,IF($G1280=1,3,IF($G1280=2,7,IF($G1280=3,14,IF($G1280=4,30,60))))))</f>
        <v/>
      </c>
      <c r="I1280" s="21">
        <f>IF($F1280="","",$F1280+$H1280)</f>
        <v/>
      </c>
      <c r="J1280">
        <f>IF($F1280="","⚪ NEW",IF($G1280&gt;=5,"✅ DONE",IF($I1280&lt;TODAY(),"🔴 OVERDUE",IF($I1280=TODAY(),"🟢 TODAY",IF($I1280=TODAY()+1,"🔵 TOMORROW",IF($I1280&lt;=TODAY()+7,"📅 THIS WEEK","⏳ SCHEDULED"))))))</f>
        <v/>
      </c>
      <c r="K1280" s="20">
        <f>IF($F1280="",999,IF($G1280&gt;=5,9999,IF($I1280="",999,$I1280-TODAY())))</f>
        <v/>
      </c>
    </row>
    <row r="1281">
      <c r="A1281" s="24">
        <f>ROW()-2</f>
        <v/>
      </c>
      <c r="B1281" s="25" t="inlineStr">
        <is>
          <t>S10</t>
        </is>
      </c>
      <c r="C1281" s="25" t="inlineStr">
        <is>
          <t>Médecine légale - Éthique - Médecine du travail</t>
        </is>
      </c>
      <c r="D1281" s="25" t="inlineStr">
        <is>
          <t>Médecine du travail</t>
        </is>
      </c>
      <c r="E1281" s="25" t="inlineStr">
        <is>
          <t>Surdités professionnelles</t>
        </is>
      </c>
      <c r="F1281" s="18" t="n"/>
      <c r="G1281" s="19" t="n"/>
      <c r="H1281" s="20">
        <f>IF($G1281="",1,IF($G1281=0,1,IF($G1281=1,3,IF($G1281=2,7,IF($G1281=3,14,IF($G1281=4,30,60))))))</f>
        <v/>
      </c>
      <c r="I1281" s="21">
        <f>IF($F1281="","",$F1281+$H1281)</f>
        <v/>
      </c>
      <c r="J1281">
        <f>IF($F1281="","⚪ NEW",IF($G1281&gt;=5,"✅ DONE",IF($I1281&lt;TODAY(),"🔴 OVERDUE",IF($I1281=TODAY(),"🟢 TODAY",IF($I1281=TODAY()+1,"🔵 TOMORROW",IF($I1281&lt;=TODAY()+7,"📅 THIS WEEK","⏳ SCHEDULED"))))))</f>
        <v/>
      </c>
      <c r="K1281" s="20">
        <f>IF($F1281="",999,IF($G1281&gt;=5,9999,IF($I1281="",999,$I1281-TODAY())))</f>
        <v/>
      </c>
    </row>
    <row r="1282">
      <c r="A1282" s="24">
        <f>ROW()-2</f>
        <v/>
      </c>
      <c r="B1282" s="25" t="inlineStr">
        <is>
          <t>S10</t>
        </is>
      </c>
      <c r="C1282" s="25" t="inlineStr">
        <is>
          <t>Médecine légale - Éthique - Médecine du travail</t>
        </is>
      </c>
      <c r="D1282" s="25" t="inlineStr">
        <is>
          <t>Médecine du travail</t>
        </is>
      </c>
      <c r="E1282" s="25" t="inlineStr">
        <is>
          <t>Asthme professionnel</t>
        </is>
      </c>
      <c r="F1282" s="18" t="n"/>
      <c r="G1282" s="19" t="n"/>
      <c r="H1282" s="20">
        <f>IF($G1282="",1,IF($G1282=0,1,IF($G1282=1,3,IF($G1282=2,7,IF($G1282=3,14,IF($G1282=4,30,60))))))</f>
        <v/>
      </c>
      <c r="I1282" s="21">
        <f>IF($F1282="","",$F1282+$H1282)</f>
        <v/>
      </c>
      <c r="J1282">
        <f>IF($F1282="","⚪ NEW",IF($G1282&gt;=5,"✅ DONE",IF($I1282&lt;TODAY(),"🔴 OVERDUE",IF($I1282=TODAY(),"🟢 TODAY",IF($I1282=TODAY()+1,"🔵 TOMORROW",IF($I1282&lt;=TODAY()+7,"📅 THIS WEEK","⏳ SCHEDULED"))))))</f>
        <v/>
      </c>
      <c r="K1282" s="20">
        <f>IF($F1282="",999,IF($G1282&gt;=5,9999,IF($I1282="",999,$I1282-TODAY())))</f>
        <v/>
      </c>
    </row>
    <row r="1283">
      <c r="A1283" s="24">
        <f>ROW()-2</f>
        <v/>
      </c>
      <c r="B1283" s="25" t="inlineStr">
        <is>
          <t>S10</t>
        </is>
      </c>
      <c r="C1283" s="25" t="inlineStr">
        <is>
          <t>Médecine légale - Éthique - Médecine du travail</t>
        </is>
      </c>
      <c r="D1283" s="25" t="inlineStr">
        <is>
          <t>Médecine du travail</t>
        </is>
      </c>
      <c r="E1283" s="25" t="inlineStr">
        <is>
          <t>Dermatoses professionnelles</t>
        </is>
      </c>
      <c r="F1283" s="18" t="n"/>
      <c r="G1283" s="19" t="n"/>
      <c r="H1283" s="20">
        <f>IF($G1283="",1,IF($G1283=0,1,IF($G1283=1,3,IF($G1283=2,7,IF($G1283=3,14,IF($G1283=4,30,60))))))</f>
        <v/>
      </c>
      <c r="I1283" s="21">
        <f>IF($F1283="","",$F1283+$H1283)</f>
        <v/>
      </c>
      <c r="J1283">
        <f>IF($F1283="","⚪ NEW",IF($G1283&gt;=5,"✅ DONE",IF($I1283&lt;TODAY(),"🔴 OVERDUE",IF($I1283=TODAY(),"🟢 TODAY",IF($I1283=TODAY()+1,"🔵 TOMORROW",IF($I1283&lt;=TODAY()+7,"📅 THIS WEEK","⏳ SCHEDULED"))))))</f>
        <v/>
      </c>
      <c r="K1283" s="20">
        <f>IF($F1283="",999,IF($G1283&gt;=5,9999,IF($I1283="",999,$I1283-TODAY())))</f>
        <v/>
      </c>
    </row>
    <row r="1284">
      <c r="A1284" s="24">
        <f>ROW()-2</f>
        <v/>
      </c>
      <c r="B1284" s="25" t="inlineStr">
        <is>
          <t>S10</t>
        </is>
      </c>
      <c r="C1284" s="25" t="inlineStr">
        <is>
          <t>Médecine légale - Éthique - Médecine du travail</t>
        </is>
      </c>
      <c r="D1284" s="25" t="inlineStr">
        <is>
          <t>Médecine du travail</t>
        </is>
      </c>
      <c r="E1284" s="25" t="inlineStr">
        <is>
          <t>Pneumoconioses (silicose pulmonaire)</t>
        </is>
      </c>
      <c r="F1284" s="18" t="n"/>
      <c r="G1284" s="19" t="n"/>
      <c r="H1284" s="20">
        <f>IF($G1284="",1,IF($G1284=0,1,IF($G1284=1,3,IF($G1284=2,7,IF($G1284=3,14,IF($G1284=4,30,60))))))</f>
        <v/>
      </c>
      <c r="I1284" s="21">
        <f>IF($F1284="","",$F1284+$H1284)</f>
        <v/>
      </c>
      <c r="J1284">
        <f>IF($F1284="","⚪ NEW",IF($G1284&gt;=5,"✅ DONE",IF($I1284&lt;TODAY(),"🔴 OVERDUE",IF($I1284=TODAY(),"🟢 TODAY",IF($I1284=TODAY()+1,"🔵 TOMORROW",IF($I1284&lt;=TODAY()+7,"📅 THIS WEEK","⏳ SCHEDULED"))))))</f>
        <v/>
      </c>
      <c r="K1284" s="20">
        <f>IF($F1284="",999,IF($G1284&gt;=5,9999,IF($I1284="",999,$I1284-TODAY())))</f>
        <v/>
      </c>
    </row>
    <row r="1285">
      <c r="A1285" s="24">
        <f>ROW()-2</f>
        <v/>
      </c>
      <c r="B1285" s="25" t="inlineStr">
        <is>
          <t>S10</t>
        </is>
      </c>
      <c r="C1285" s="25" t="inlineStr">
        <is>
          <t>Médecine légale - Éthique - Médecine du travail</t>
        </is>
      </c>
      <c r="D1285" s="25" t="inlineStr">
        <is>
          <t>Médecine du travail</t>
        </is>
      </c>
      <c r="E1285" s="25" t="inlineStr">
        <is>
          <t>Les troubles musculo-squelettiques</t>
        </is>
      </c>
      <c r="F1285" s="18" t="n"/>
      <c r="G1285" s="19" t="n"/>
      <c r="H1285" s="20">
        <f>IF($G1285="",1,IF($G1285=0,1,IF($G1285=1,3,IF($G1285=2,7,IF($G1285=3,14,IF($G1285=4,30,60))))))</f>
        <v/>
      </c>
      <c r="I1285" s="21">
        <f>IF($F1285="","",$F1285+$H1285)</f>
        <v/>
      </c>
      <c r="J1285">
        <f>IF($F1285="","⚪ NEW",IF($G1285&gt;=5,"✅ DONE",IF($I1285&lt;TODAY(),"🔴 OVERDUE",IF($I1285=TODAY(),"🟢 TODAY",IF($I1285=TODAY()+1,"🔵 TOMORROW",IF($I1285&lt;=TODAY()+7,"📅 THIS WEEK","⏳ SCHEDULED"))))))</f>
        <v/>
      </c>
      <c r="K1285" s="20">
        <f>IF($F1285="",999,IF($G1285&gt;=5,9999,IF($I1285="",999,$I1285-TODAY())))</f>
        <v/>
      </c>
    </row>
    <row r="1286">
      <c r="A1286" s="24">
        <f>ROW()-2</f>
        <v/>
      </c>
      <c r="B1286" s="25" t="inlineStr">
        <is>
          <t>S10</t>
        </is>
      </c>
      <c r="C1286" s="25" t="inlineStr">
        <is>
          <t>Médecine légale - Éthique - Médecine du travail</t>
        </is>
      </c>
      <c r="D1286" s="25" t="inlineStr">
        <is>
          <t>Médecine du travail</t>
        </is>
      </c>
      <c r="E1286" s="25" t="inlineStr">
        <is>
          <t>Les risques psychosociaux en milieu de travail</t>
        </is>
      </c>
      <c r="F1286" s="18" t="n"/>
      <c r="G1286" s="19" t="n"/>
      <c r="H1286" s="20">
        <f>IF($G1286="",1,IF($G1286=0,1,IF($G1286=1,3,IF($G1286=2,7,IF($G1286=3,14,IF($G1286=4,30,60))))))</f>
        <v/>
      </c>
      <c r="I1286" s="21">
        <f>IF($F1286="","",$F1286+$H1286)</f>
        <v/>
      </c>
      <c r="J1286">
        <f>IF($F1286="","⚪ NEW",IF($G1286&gt;=5,"✅ DONE",IF($I1286&lt;TODAY(),"🔴 OVERDUE",IF($I1286=TODAY(),"🟢 TODAY",IF($I1286=TODAY()+1,"🔵 TOMORROW",IF($I1286&lt;=TODAY()+7,"📅 THIS WEEK","⏳ SCHEDULED"))))))</f>
        <v/>
      </c>
      <c r="K1286" s="20">
        <f>IF($F1286="",999,IF($G1286&gt;=5,9999,IF($I1286="",999,$I1286-TODAY())))</f>
        <v/>
      </c>
    </row>
    <row r="1287">
      <c r="A1287" s="24">
        <f>ROW()-2</f>
        <v/>
      </c>
      <c r="B1287" s="25" t="inlineStr">
        <is>
          <t>S10</t>
        </is>
      </c>
      <c r="C1287" s="25" t="inlineStr">
        <is>
          <t>Médecine légale - Éthique - Médecine du travail</t>
        </is>
      </c>
      <c r="D1287" s="25" t="inlineStr">
        <is>
          <t>Médecine du travail</t>
        </is>
      </c>
      <c r="E1287" s="25" t="inlineStr">
        <is>
          <t>Les risques professionnels en milieu de soins</t>
        </is>
      </c>
      <c r="F1287" s="18" t="n"/>
      <c r="G1287" s="19" t="n"/>
      <c r="H1287" s="20">
        <f>IF($G1287="",1,IF($G1287=0,1,IF($G1287=1,3,IF($G1287=2,7,IF($G1287=3,14,IF($G1287=4,30,60))))))</f>
        <v/>
      </c>
      <c r="I1287" s="21">
        <f>IF($F1287="","",$F1287+$H1287)</f>
        <v/>
      </c>
      <c r="J1287">
        <f>IF($F1287="","⚪ NEW",IF($G1287&gt;=5,"✅ DONE",IF($I1287&lt;TODAY(),"🔴 OVERDUE",IF($I1287=TODAY(),"🟢 TODAY",IF($I1287=TODAY()+1,"🔵 TOMORROW",IF($I1287&lt;=TODAY()+7,"📅 THIS WEEK","⏳ SCHEDULED"))))))</f>
        <v/>
      </c>
      <c r="K1287" s="20">
        <f>IF($F1287="",999,IF($G1287&gt;=5,9999,IF($I1287="",999,$I1287-TODAY())))</f>
        <v/>
      </c>
    </row>
    <row r="1288">
      <c r="A1288" s="24">
        <f>ROW()-2</f>
        <v/>
      </c>
      <c r="B1288" s="25" t="inlineStr">
        <is>
          <t>S10</t>
        </is>
      </c>
      <c r="C1288" s="25" t="inlineStr">
        <is>
          <t>Médecine légale - Éthique - Médecine du travail</t>
        </is>
      </c>
      <c r="D1288" s="25" t="inlineStr">
        <is>
          <t>Médecine du travail</t>
        </is>
      </c>
      <c r="E1288" s="25" t="inlineStr">
        <is>
          <t>Troubles cardio-vasculaires professionnels</t>
        </is>
      </c>
      <c r="F1288" s="18" t="n"/>
      <c r="G1288" s="19" t="n"/>
      <c r="H1288" s="20">
        <f>IF($G1288="",1,IF($G1288=0,1,IF($G1288=1,3,IF($G1288=2,7,IF($G1288=3,14,IF($G1288=4,30,60))))))</f>
        <v/>
      </c>
      <c r="I1288" s="21">
        <f>IF($F1288="","",$F1288+$H1288)</f>
        <v/>
      </c>
      <c r="J1288">
        <f>IF($F1288="","⚪ NEW",IF($G1288&gt;=5,"✅ DONE",IF($I1288&lt;TODAY(),"🔴 OVERDUE",IF($I1288=TODAY(),"🟢 TODAY",IF($I1288=TODAY()+1,"🔵 TOMORROW",IF($I1288&lt;=TODAY()+7,"📅 THIS WEEK","⏳ SCHEDULED"))))))</f>
        <v/>
      </c>
      <c r="K1288" s="20">
        <f>IF($F1288="",999,IF($G1288&gt;=5,9999,IF($I1288="",999,$I1288-TODAY())))</f>
        <v/>
      </c>
    </row>
    <row r="1289">
      <c r="A1289" s="24">
        <f>ROW()-2</f>
        <v/>
      </c>
      <c r="B1289" s="25" t="inlineStr">
        <is>
          <t>S10</t>
        </is>
      </c>
      <c r="C1289" s="25" t="inlineStr">
        <is>
          <t>Médecine légale - Éthique - Médecine du travail</t>
        </is>
      </c>
      <c r="D1289" s="25" t="inlineStr">
        <is>
          <t>Médecine du travail</t>
        </is>
      </c>
      <c r="E1289" s="25" t="inlineStr">
        <is>
          <t>Radioprotection en milieu de soins</t>
        </is>
      </c>
      <c r="F1289" s="18" t="n"/>
      <c r="G1289" s="19" t="n"/>
      <c r="H1289" s="20">
        <f>IF($G1289="",1,IF($G1289=0,1,IF($G1289=1,3,IF($G1289=2,7,IF($G1289=3,14,IF($G1289=4,30,60))))))</f>
        <v/>
      </c>
      <c r="I1289" s="21">
        <f>IF($F1289="","",$F1289+$H1289)</f>
        <v/>
      </c>
      <c r="J1289">
        <f>IF($F1289="","⚪ NEW",IF($G1289&gt;=5,"✅ DONE",IF($I1289&lt;TODAY(),"🔴 OVERDUE",IF($I1289=TODAY(),"🟢 TODAY",IF($I1289=TODAY()+1,"🔵 TOMORROW",IF($I1289&lt;=TODAY()+7,"📅 THIS WEEK","⏳ SCHEDULED"))))))</f>
        <v/>
      </c>
      <c r="K1289" s="20">
        <f>IF($F1289="",999,IF($G1289&gt;=5,9999,IF($I1289="",999,$I1289-TODAY())))</f>
        <v/>
      </c>
    </row>
    <row r="1290">
      <c r="A1290" s="26">
        <f>ROW()-2</f>
        <v/>
      </c>
      <c r="B1290" s="27" t="inlineStr">
        <is>
          <t>S10</t>
        </is>
      </c>
      <c r="C1290" s="27" t="inlineStr">
        <is>
          <t>Synthèse thérapeutique</t>
        </is>
      </c>
      <c r="D1290" s="27" t="inlineStr"/>
      <c r="E1290" s="27" t="inlineStr">
        <is>
          <t>Vaccination au Maroc</t>
        </is>
      </c>
      <c r="F1290" s="18" t="n"/>
      <c r="G1290" s="19" t="n"/>
      <c r="H1290" s="20">
        <f>IF($G1290="",1,IF($G1290=0,1,IF($G1290=1,3,IF($G1290=2,7,IF($G1290=3,14,IF($G1290=4,30,60))))))</f>
        <v/>
      </c>
      <c r="I1290" s="21">
        <f>IF($F1290="","",$F1290+$H1290)</f>
        <v/>
      </c>
      <c r="J1290">
        <f>IF($F1290="","⚪ NEW",IF($G1290&gt;=5,"✅ DONE",IF($I1290&lt;TODAY(),"🔴 OVERDUE",IF($I1290=TODAY(),"🟢 TODAY",IF($I1290=TODAY()+1,"🔵 TOMORROW",IF($I1290&lt;=TODAY()+7,"📅 THIS WEEK","⏳ SCHEDULED"))))))</f>
        <v/>
      </c>
      <c r="K1290" s="20">
        <f>IF($F1290="",999,IF($G1290&gt;=5,9999,IF($I1290="",999,$I1290-TODAY())))</f>
        <v/>
      </c>
    </row>
    <row r="1291">
      <c r="A1291" s="26">
        <f>ROW()-2</f>
        <v/>
      </c>
      <c r="B1291" s="27" t="inlineStr">
        <is>
          <t>S10</t>
        </is>
      </c>
      <c r="C1291" s="27" t="inlineStr">
        <is>
          <t>Synthèse thérapeutique</t>
        </is>
      </c>
      <c r="D1291" s="27" t="inlineStr"/>
      <c r="E1291" s="27" t="inlineStr">
        <is>
          <t>Traitements locaux en dermatologie</t>
        </is>
      </c>
      <c r="F1291" s="18" t="n"/>
      <c r="G1291" s="19" t="n"/>
      <c r="H1291" s="20">
        <f>IF($G1291="",1,IF($G1291=0,1,IF($G1291=1,3,IF($G1291=2,7,IF($G1291=3,14,IF($G1291=4,30,60))))))</f>
        <v/>
      </c>
      <c r="I1291" s="21">
        <f>IF($F1291="","",$F1291+$H1291)</f>
        <v/>
      </c>
      <c r="J1291">
        <f>IF($F1291="","⚪ NEW",IF($G1291&gt;=5,"✅ DONE",IF($I1291&lt;TODAY(),"🔴 OVERDUE",IF($I1291=TODAY(),"🟢 TODAY",IF($I1291=TODAY()+1,"🔵 TOMORROW",IF($I1291&lt;=TODAY()+7,"📅 THIS WEEK","⏳ SCHEDULED"))))))</f>
        <v/>
      </c>
      <c r="K1291" s="20">
        <f>IF($F1291="",999,IF($G1291&gt;=5,9999,IF($I1291="",999,$I1291-TODAY())))</f>
        <v/>
      </c>
    </row>
    <row r="1292">
      <c r="A1292" s="26">
        <f>ROW()-2</f>
        <v/>
      </c>
      <c r="B1292" s="27" t="inlineStr">
        <is>
          <t>S10</t>
        </is>
      </c>
      <c r="C1292" s="27" t="inlineStr">
        <is>
          <t>Synthèse thérapeutique</t>
        </is>
      </c>
      <c r="D1292" s="27" t="inlineStr"/>
      <c r="E1292" s="27" t="inlineStr">
        <is>
          <t>Les AINS</t>
        </is>
      </c>
      <c r="F1292" s="18" t="n"/>
      <c r="G1292" s="19" t="n"/>
      <c r="H1292" s="20">
        <f>IF($G1292="",1,IF($G1292=0,1,IF($G1292=1,3,IF($G1292=2,7,IF($G1292=3,14,IF($G1292=4,30,60))))))</f>
        <v/>
      </c>
      <c r="I1292" s="21">
        <f>IF($F1292="","",$F1292+$H1292)</f>
        <v/>
      </c>
      <c r="J1292">
        <f>IF($F1292="","⚪ NEW",IF($G1292&gt;=5,"✅ DONE",IF($I1292&lt;TODAY(),"🔴 OVERDUE",IF($I1292=TODAY(),"🟢 TODAY",IF($I1292=TODAY()+1,"🔵 TOMORROW",IF($I1292&lt;=TODAY()+7,"📅 THIS WEEK","⏳ SCHEDULED"))))))</f>
        <v/>
      </c>
      <c r="K1292" s="20">
        <f>IF($F1292="",999,IF($G1292&gt;=5,9999,IF($I1292="",999,$I1292-TODAY())))</f>
        <v/>
      </c>
    </row>
    <row r="1293">
      <c r="A1293" s="26">
        <f>ROW()-2</f>
        <v/>
      </c>
      <c r="B1293" s="27" t="inlineStr">
        <is>
          <t>S10</t>
        </is>
      </c>
      <c r="C1293" s="27" t="inlineStr">
        <is>
          <t>Synthèse thérapeutique</t>
        </is>
      </c>
      <c r="D1293" s="27" t="inlineStr"/>
      <c r="E1293" s="27" t="inlineStr">
        <is>
          <t>Corticothérapie : CAT devant un patient sous corticoïdes au long cours</t>
        </is>
      </c>
      <c r="F1293" s="18" t="n"/>
      <c r="G1293" s="19" t="n"/>
      <c r="H1293" s="20">
        <f>IF($G1293="",1,IF($G1293=0,1,IF($G1293=1,3,IF($G1293=2,7,IF($G1293=3,14,IF($G1293=4,30,60))))))</f>
        <v/>
      </c>
      <c r="I1293" s="21">
        <f>IF($F1293="","",$F1293+$H1293)</f>
        <v/>
      </c>
      <c r="J1293">
        <f>IF($F1293="","⚪ NEW",IF($G1293&gt;=5,"✅ DONE",IF($I1293&lt;TODAY(),"🔴 OVERDUE",IF($I1293=TODAY(),"🟢 TODAY",IF($I1293=TODAY()+1,"🔵 TOMORROW",IF($I1293&lt;=TODAY()+7,"📅 THIS WEEK","⏳ SCHEDULED"))))))</f>
        <v/>
      </c>
      <c r="K1293" s="20">
        <f>IF($F1293="",999,IF($G1293&gt;=5,9999,IF($I1293="",999,$I1293-TODAY())))</f>
        <v/>
      </c>
    </row>
    <row r="1294">
      <c r="A1294" s="26">
        <f>ROW()-2</f>
        <v/>
      </c>
      <c r="B1294" s="27" t="inlineStr">
        <is>
          <t>S10</t>
        </is>
      </c>
      <c r="C1294" s="27" t="inlineStr">
        <is>
          <t>Synthèse thérapeutique</t>
        </is>
      </c>
      <c r="D1294" s="27" t="inlineStr"/>
      <c r="E1294" s="27" t="inlineStr">
        <is>
          <t>Traitement de la pathologie thyroïdienne</t>
        </is>
      </c>
      <c r="F1294" s="18" t="n"/>
      <c r="G1294" s="19" t="n"/>
      <c r="H1294" s="20">
        <f>IF($G1294="",1,IF($G1294=0,1,IF($G1294=1,3,IF($G1294=2,7,IF($G1294=3,14,IF($G1294=4,30,60))))))</f>
        <v/>
      </c>
      <c r="I1294" s="21">
        <f>IF($F1294="","",$F1294+$H1294)</f>
        <v/>
      </c>
      <c r="J1294">
        <f>IF($F1294="","⚪ NEW",IF($G1294&gt;=5,"✅ DONE",IF($I1294&lt;TODAY(),"🔴 OVERDUE",IF($I1294=TODAY(),"🟢 TODAY",IF($I1294=TODAY()+1,"🔵 TOMORROW",IF($I1294&lt;=TODAY()+7,"📅 THIS WEEK","⏳ SCHEDULED"))))))</f>
        <v/>
      </c>
      <c r="K1294" s="20">
        <f>IF($F1294="",999,IF($G1294&gt;=5,9999,IF($I1294="",999,$I1294-TODAY())))</f>
        <v/>
      </c>
    </row>
    <row r="1295">
      <c r="A1295" s="26">
        <f>ROW()-2</f>
        <v/>
      </c>
      <c r="B1295" s="27" t="inlineStr">
        <is>
          <t>S10</t>
        </is>
      </c>
      <c r="C1295" s="27" t="inlineStr">
        <is>
          <t>Synthèse thérapeutique</t>
        </is>
      </c>
      <c r="D1295" s="27" t="inlineStr"/>
      <c r="E1295" s="27" t="inlineStr">
        <is>
          <t>Traitement du diabète (type 1 et 2)</t>
        </is>
      </c>
      <c r="F1295" s="18" t="n"/>
      <c r="G1295" s="19" t="n"/>
      <c r="H1295" s="20">
        <f>IF($G1295="",1,IF($G1295=0,1,IF($G1295=1,3,IF($G1295=2,7,IF($G1295=3,14,IF($G1295=4,30,60))))))</f>
        <v/>
      </c>
      <c r="I1295" s="21">
        <f>IF($F1295="","",$F1295+$H1295)</f>
        <v/>
      </c>
      <c r="J1295">
        <f>IF($F1295="","⚪ NEW",IF($G1295&gt;=5,"✅ DONE",IF($I1295&lt;TODAY(),"🔴 OVERDUE",IF($I1295=TODAY(),"🟢 TODAY",IF($I1295=TODAY()+1,"🔵 TOMORROW",IF($I1295&lt;=TODAY()+7,"📅 THIS WEEK","⏳ SCHEDULED"))))))</f>
        <v/>
      </c>
      <c r="K1295" s="20">
        <f>IF($F1295="",999,IF($G1295&gt;=5,9999,IF($I1295="",999,$I1295-TODAY())))</f>
        <v/>
      </c>
    </row>
    <row r="1296">
      <c r="A1296" s="26">
        <f>ROW()-2</f>
        <v/>
      </c>
      <c r="B1296" s="27" t="inlineStr">
        <is>
          <t>S10</t>
        </is>
      </c>
      <c r="C1296" s="27" t="inlineStr">
        <is>
          <t>Synthèse thérapeutique</t>
        </is>
      </c>
      <c r="D1296" s="27" t="inlineStr"/>
      <c r="E1296" s="27" t="inlineStr">
        <is>
          <t>CAT devant une douleur thoracique aiguë</t>
        </is>
      </c>
      <c r="F1296" s="18" t="n"/>
      <c r="G1296" s="19" t="n"/>
      <c r="H1296" s="20">
        <f>IF($G1296="",1,IF($G1296=0,1,IF($G1296=1,3,IF($G1296=2,7,IF($G1296=3,14,IF($G1296=4,30,60))))))</f>
        <v/>
      </c>
      <c r="I1296" s="21">
        <f>IF($F1296="","",$F1296+$H1296)</f>
        <v/>
      </c>
      <c r="J1296">
        <f>IF($F1296="","⚪ NEW",IF($G1296&gt;=5,"✅ DONE",IF($I1296&lt;TODAY(),"🔴 OVERDUE",IF($I1296=TODAY(),"🟢 TODAY",IF($I1296=TODAY()+1,"🔵 TOMORROW",IF($I1296&lt;=TODAY()+7,"📅 THIS WEEK","⏳ SCHEDULED"))))))</f>
        <v/>
      </c>
      <c r="K1296" s="20">
        <f>IF($F1296="",999,IF($G1296&gt;=5,9999,IF($I1296="",999,$I1296-TODAY())))</f>
        <v/>
      </c>
    </row>
    <row r="1297">
      <c r="A1297" s="26">
        <f>ROW()-2</f>
        <v/>
      </c>
      <c r="B1297" s="27" t="inlineStr">
        <is>
          <t>S10</t>
        </is>
      </c>
      <c r="C1297" s="27" t="inlineStr">
        <is>
          <t>Synthèse thérapeutique</t>
        </is>
      </c>
      <c r="D1297" s="27" t="inlineStr"/>
      <c r="E1297" s="27" t="inlineStr">
        <is>
          <t>SCA : prise en charge thérapeutique</t>
        </is>
      </c>
      <c r="F1297" s="18" t="n"/>
      <c r="G1297" s="19" t="n"/>
      <c r="H1297" s="20">
        <f>IF($G1297="",1,IF($G1297=0,1,IF($G1297=1,3,IF($G1297=2,7,IF($G1297=3,14,IF($G1297=4,30,60))))))</f>
        <v/>
      </c>
      <c r="I1297" s="21">
        <f>IF($F1297="","",$F1297+$H1297)</f>
        <v/>
      </c>
      <c r="J1297">
        <f>IF($F1297="","⚪ NEW",IF($G1297&gt;=5,"✅ DONE",IF($I1297&lt;TODAY(),"🔴 OVERDUE",IF($I1297=TODAY(),"🟢 TODAY",IF($I1297=TODAY()+1,"🔵 TOMORROW",IF($I1297&lt;=TODAY()+7,"📅 THIS WEEK","⏳ SCHEDULED"))))))</f>
        <v/>
      </c>
      <c r="K1297" s="20">
        <f>IF($F1297="",999,IF($G1297&gt;=5,9999,IF($I1297="",999,$I1297-TODAY())))</f>
        <v/>
      </c>
    </row>
    <row r="1298">
      <c r="A1298" s="26">
        <f>ROW()-2</f>
        <v/>
      </c>
      <c r="B1298" s="27" t="inlineStr">
        <is>
          <t>S10</t>
        </is>
      </c>
      <c r="C1298" s="27" t="inlineStr">
        <is>
          <t>Synthèse thérapeutique</t>
        </is>
      </c>
      <c r="D1298" s="27" t="inlineStr"/>
      <c r="E1298" s="27" t="inlineStr">
        <is>
          <t>Prise en charge de l'HTA</t>
        </is>
      </c>
      <c r="F1298" s="18" t="n"/>
      <c r="G1298" s="19" t="n"/>
      <c r="H1298" s="20">
        <f>IF($G1298="",1,IF($G1298=0,1,IF($G1298=1,3,IF($G1298=2,7,IF($G1298=3,14,IF($G1298=4,30,60))))))</f>
        <v/>
      </c>
      <c r="I1298" s="21">
        <f>IF($F1298="","",$F1298+$H1298)</f>
        <v/>
      </c>
      <c r="J1298">
        <f>IF($F1298="","⚪ NEW",IF($G1298&gt;=5,"✅ DONE",IF($I1298&lt;TODAY(),"🔴 OVERDUE",IF($I1298=TODAY(),"🟢 TODAY",IF($I1298=TODAY()+1,"🔵 TOMORROW",IF($I1298&lt;=TODAY()+7,"📅 THIS WEEK","⏳ SCHEDULED"))))))</f>
        <v/>
      </c>
      <c r="K1298" s="20">
        <f>IF($F1298="",999,IF($G1298&gt;=5,9999,IF($I1298="",999,$I1298-TODAY())))</f>
        <v/>
      </c>
    </row>
    <row r="1299">
      <c r="A1299" s="26">
        <f>ROW()-2</f>
        <v/>
      </c>
      <c r="B1299" s="27" t="inlineStr">
        <is>
          <t>S10</t>
        </is>
      </c>
      <c r="C1299" s="27" t="inlineStr">
        <is>
          <t>Synthèse thérapeutique</t>
        </is>
      </c>
      <c r="D1299" s="27" t="inlineStr"/>
      <c r="E1299" s="27" t="inlineStr">
        <is>
          <t>Traitement de l'IRABC</t>
        </is>
      </c>
      <c r="F1299" s="18" t="n"/>
      <c r="G1299" s="19" t="n"/>
      <c r="H1299" s="20">
        <f>IF($G1299="",1,IF($G1299=0,1,IF($G1299=1,3,IF($G1299=2,7,IF($G1299=3,14,IF($G1299=4,30,60))))))</f>
        <v/>
      </c>
      <c r="I1299" s="21">
        <f>IF($F1299="","",$F1299+$H1299)</f>
        <v/>
      </c>
      <c r="J1299">
        <f>IF($F1299="","⚪ NEW",IF($G1299&gt;=5,"✅ DONE",IF($I1299&lt;TODAY(),"🔴 OVERDUE",IF($I1299=TODAY(),"🟢 TODAY",IF($I1299=TODAY()+1,"🔵 TOMORROW",IF($I1299&lt;=TODAY()+7,"📅 THIS WEEK","⏳ SCHEDULED"))))))</f>
        <v/>
      </c>
      <c r="K1299" s="20">
        <f>IF($F1299="",999,IF($G1299&gt;=5,9999,IF($I1299="",999,$I1299-TODAY())))</f>
        <v/>
      </c>
    </row>
    <row r="1300">
      <c r="A1300" s="26">
        <f>ROW()-2</f>
        <v/>
      </c>
      <c r="B1300" s="27" t="inlineStr">
        <is>
          <t>S10</t>
        </is>
      </c>
      <c r="C1300" s="27" t="inlineStr">
        <is>
          <t>Synthèse thérapeutique</t>
        </is>
      </c>
      <c r="D1300" s="27" t="inlineStr"/>
      <c r="E1300" s="27" t="inlineStr">
        <is>
          <t>Traitement de l'asthme</t>
        </is>
      </c>
      <c r="F1300" s="18" t="n"/>
      <c r="G1300" s="19" t="n"/>
      <c r="H1300" s="20">
        <f>IF($G1300="",1,IF($G1300=0,1,IF($G1300=1,3,IF($G1300=2,7,IF($G1300=3,14,IF($G1300=4,30,60))))))</f>
        <v/>
      </c>
      <c r="I1300" s="21">
        <f>IF($F1300="","",$F1300+$H1300)</f>
        <v/>
      </c>
      <c r="J1300">
        <f>IF($F1300="","⚪ NEW",IF($G1300&gt;=5,"✅ DONE",IF($I1300&lt;TODAY(),"🔴 OVERDUE",IF($I1300=TODAY(),"🟢 TODAY",IF($I1300=TODAY()+1,"🔵 TOMORROW",IF($I1300&lt;=TODAY()+7,"📅 THIS WEEK","⏳ SCHEDULED"))))))</f>
        <v/>
      </c>
      <c r="K1300" s="20">
        <f>IF($F1300="",999,IF($G1300&gt;=5,9999,IF($I1300="",999,$I1300-TODAY())))</f>
        <v/>
      </c>
    </row>
    <row r="1301">
      <c r="A1301" s="26">
        <f>ROW()-2</f>
        <v/>
      </c>
      <c r="B1301" s="27" t="inlineStr">
        <is>
          <t>S10</t>
        </is>
      </c>
      <c r="C1301" s="27" t="inlineStr">
        <is>
          <t>Synthèse thérapeutique</t>
        </is>
      </c>
      <c r="D1301" s="27" t="inlineStr"/>
      <c r="E1301" s="27" t="inlineStr">
        <is>
          <t>Traitement antibacillaire (tuberculose)</t>
        </is>
      </c>
      <c r="F1301" s="18" t="n"/>
      <c r="G1301" s="19" t="n"/>
      <c r="H1301" s="20">
        <f>IF($G1301="",1,IF($G1301=0,1,IF($G1301=1,3,IF($G1301=2,7,IF($G1301=3,14,IF($G1301=4,30,60))))))</f>
        <v/>
      </c>
      <c r="I1301" s="21">
        <f>IF($F1301="","",$F1301+$H1301)</f>
        <v/>
      </c>
      <c r="J1301">
        <f>IF($F1301="","⚪ NEW",IF($G1301&gt;=5,"✅ DONE",IF($I1301&lt;TODAY(),"🔴 OVERDUE",IF($I1301=TODAY(),"🟢 TODAY",IF($I1301=TODAY()+1,"🔵 TOMORROW",IF($I1301&lt;=TODAY()+7,"📅 THIS WEEK","⏳ SCHEDULED"))))))</f>
        <v/>
      </c>
      <c r="K1301" s="20">
        <f>IF($F1301="",999,IF($G1301&gt;=5,9999,IF($I1301="",999,$I1301-TODAY())))</f>
        <v/>
      </c>
    </row>
    <row r="1302">
      <c r="A1302" s="26">
        <f>ROW()-2</f>
        <v/>
      </c>
      <c r="B1302" s="27" t="inlineStr">
        <is>
          <t>S10</t>
        </is>
      </c>
      <c r="C1302" s="27" t="inlineStr">
        <is>
          <t>Synthèse thérapeutique</t>
        </is>
      </c>
      <c r="D1302" s="27" t="inlineStr"/>
      <c r="E1302" s="27" t="inlineStr">
        <is>
          <t>Traitement de la maladie ulcéreuse gastro-duodénale</t>
        </is>
      </c>
      <c r="F1302" s="18" t="n"/>
      <c r="G1302" s="19" t="n"/>
      <c r="H1302" s="20">
        <f>IF($G1302="",1,IF($G1302=0,1,IF($G1302=1,3,IF($G1302=2,7,IF($G1302=3,14,IF($G1302=4,30,60))))))</f>
        <v/>
      </c>
      <c r="I1302" s="21">
        <f>IF($F1302="","",$F1302+$H1302)</f>
        <v/>
      </c>
      <c r="J1302">
        <f>IF($F1302="","⚪ NEW",IF($G1302&gt;=5,"✅ DONE",IF($I1302&lt;TODAY(),"🔴 OVERDUE",IF($I1302=TODAY(),"🟢 TODAY",IF($I1302=TODAY()+1,"🔵 TOMORROW",IF($I1302&lt;=TODAY()+7,"📅 THIS WEEK","⏳ SCHEDULED"))))))</f>
        <v/>
      </c>
      <c r="K1302" s="20">
        <f>IF($F1302="",999,IF($G1302&gt;=5,9999,IF($I1302="",999,$I1302-TODAY())))</f>
        <v/>
      </c>
    </row>
    <row r="1303">
      <c r="A1303" s="26">
        <f>ROW()-2</f>
        <v/>
      </c>
      <c r="B1303" s="27" t="inlineStr">
        <is>
          <t>S10</t>
        </is>
      </c>
      <c r="C1303" s="27" t="inlineStr">
        <is>
          <t>Synthèse thérapeutique</t>
        </is>
      </c>
      <c r="D1303" s="27" t="inlineStr"/>
      <c r="E1303" s="27" t="inlineStr">
        <is>
          <t>Traitement du RGO</t>
        </is>
      </c>
      <c r="F1303" s="18" t="n"/>
      <c r="G1303" s="19" t="n"/>
      <c r="H1303" s="20">
        <f>IF($G1303="",1,IF($G1303=0,1,IF($G1303=1,3,IF($G1303=2,7,IF($G1303=3,14,IF($G1303=4,30,60))))))</f>
        <v/>
      </c>
      <c r="I1303" s="21">
        <f>IF($F1303="","",$F1303+$H1303)</f>
        <v/>
      </c>
      <c r="J1303">
        <f>IF($F1303="","⚪ NEW",IF($G1303&gt;=5,"✅ DONE",IF($I1303&lt;TODAY(),"🔴 OVERDUE",IF($I1303=TODAY(),"🟢 TODAY",IF($I1303=TODAY()+1,"🔵 TOMORROW",IF($I1303&lt;=TODAY()+7,"📅 THIS WEEK","⏳ SCHEDULED"))))))</f>
        <v/>
      </c>
      <c r="K1303" s="20">
        <f>IF($F1303="",999,IF($G1303&gt;=5,9999,IF($I1303="",999,$I1303-TODAY())))</f>
        <v/>
      </c>
    </row>
    <row r="1304">
      <c r="A1304" s="26">
        <f>ROW()-2</f>
        <v/>
      </c>
      <c r="B1304" s="27" t="inlineStr">
        <is>
          <t>S10</t>
        </is>
      </c>
      <c r="C1304" s="27" t="inlineStr">
        <is>
          <t>Synthèse thérapeutique</t>
        </is>
      </c>
      <c r="D1304" s="27" t="inlineStr"/>
      <c r="E1304" s="27" t="inlineStr">
        <is>
          <t>Traitement de l'otite moyenne aiguë (OMA)</t>
        </is>
      </c>
      <c r="F1304" s="18" t="n"/>
      <c r="G1304" s="19" t="n"/>
      <c r="H1304" s="20">
        <f>IF($G1304="",1,IF($G1304=0,1,IF($G1304=1,3,IF($G1304=2,7,IF($G1304=3,14,IF($G1304=4,30,60))))))</f>
        <v/>
      </c>
      <c r="I1304" s="21">
        <f>IF($F1304="","",$F1304+$H1304)</f>
        <v/>
      </c>
      <c r="J1304">
        <f>IF($F1304="","⚪ NEW",IF($G1304&gt;=5,"✅ DONE",IF($I1304&lt;TODAY(),"🔴 OVERDUE",IF($I1304=TODAY(),"🟢 TODAY",IF($I1304=TODAY()+1,"🔵 TOMORROW",IF($I1304&lt;=TODAY()+7,"📅 THIS WEEK","⏳ SCHEDULED"))))))</f>
        <v/>
      </c>
      <c r="K1304" s="20">
        <f>IF($F1304="",999,IF($G1304&gt;=5,9999,IF($I1304="",999,$I1304-TODAY())))</f>
        <v/>
      </c>
    </row>
    <row r="1305">
      <c r="A1305" s="26">
        <f>ROW()-2</f>
        <v/>
      </c>
      <c r="B1305" s="27" t="inlineStr">
        <is>
          <t>S10</t>
        </is>
      </c>
      <c r="C1305" s="27" t="inlineStr">
        <is>
          <t>Synthèse thérapeutique</t>
        </is>
      </c>
      <c r="D1305" s="27" t="inlineStr"/>
      <c r="E1305" s="27" t="inlineStr">
        <is>
          <t>Traitement des angines aiguës</t>
        </is>
      </c>
      <c r="F1305" s="18" t="n"/>
      <c r="G1305" s="19" t="n"/>
      <c r="H1305" s="20">
        <f>IF($G1305="",1,IF($G1305=0,1,IF($G1305=1,3,IF($G1305=2,7,IF($G1305=3,14,IF($G1305=4,30,60))))))</f>
        <v/>
      </c>
      <c r="I1305" s="21">
        <f>IF($F1305="","",$F1305+$H1305)</f>
        <v/>
      </c>
      <c r="J1305">
        <f>IF($F1305="","⚪ NEW",IF($G1305&gt;=5,"✅ DONE",IF($I1305&lt;TODAY(),"🔴 OVERDUE",IF($I1305=TODAY(),"🟢 TODAY",IF($I1305=TODAY()+1,"🔵 TOMORROW",IF($I1305&lt;=TODAY()+7,"📅 THIS WEEK","⏳ SCHEDULED"))))))</f>
        <v/>
      </c>
      <c r="K1305" s="20">
        <f>IF($F1305="",999,IF($G1305&gt;=5,9999,IF($I1305="",999,$I1305-TODAY())))</f>
        <v/>
      </c>
    </row>
    <row r="1306">
      <c r="A1306" s="26">
        <f>ROW()-2</f>
        <v/>
      </c>
      <c r="B1306" s="27" t="inlineStr">
        <is>
          <t>S10</t>
        </is>
      </c>
      <c r="C1306" s="27" t="inlineStr">
        <is>
          <t>Synthèse thérapeutique</t>
        </is>
      </c>
      <c r="D1306" s="27" t="inlineStr"/>
      <c r="E1306" s="27" t="inlineStr">
        <is>
          <t>Traitement de la sinusite aiguë</t>
        </is>
      </c>
      <c r="F1306" s="18" t="n"/>
      <c r="G1306" s="19" t="n"/>
      <c r="H1306" s="20">
        <f>IF($G1306="",1,IF($G1306=0,1,IF($G1306=1,3,IF($G1306=2,7,IF($G1306=3,14,IF($G1306=4,30,60))))))</f>
        <v/>
      </c>
      <c r="I1306" s="21">
        <f>IF($F1306="","",$F1306+$H1306)</f>
        <v/>
      </c>
      <c r="J1306">
        <f>IF($F1306="","⚪ NEW",IF($G1306&gt;=5,"✅ DONE",IF($I1306&lt;TODAY(),"🔴 OVERDUE",IF($I1306=TODAY(),"🟢 TODAY",IF($I1306=TODAY()+1,"🔵 TOMORROW",IF($I1306&lt;=TODAY()+7,"📅 THIS WEEK","⏳ SCHEDULED"))))))</f>
        <v/>
      </c>
      <c r="K1306" s="20">
        <f>IF($F1306="",999,IF($G1306&gt;=5,9999,IF($I1306="",999,$I1306-TODAY())))</f>
        <v/>
      </c>
    </row>
    <row r="1307">
      <c r="A1307" s="26">
        <f>ROW()-2</f>
        <v/>
      </c>
      <c r="B1307" s="27" t="inlineStr">
        <is>
          <t>S10</t>
        </is>
      </c>
      <c r="C1307" s="27" t="inlineStr">
        <is>
          <t>Synthèse thérapeutique</t>
        </is>
      </c>
      <c r="D1307" s="27" t="inlineStr"/>
      <c r="E1307" s="27" t="inlineStr">
        <is>
          <t>Les antidépresseurs</t>
        </is>
      </c>
      <c r="F1307" s="18" t="n"/>
      <c r="G1307" s="19" t="n"/>
      <c r="H1307" s="20">
        <f>IF($G1307="",1,IF($G1307=0,1,IF($G1307=1,3,IF($G1307=2,7,IF($G1307=3,14,IF($G1307=4,30,60))))))</f>
        <v/>
      </c>
      <c r="I1307" s="21">
        <f>IF($F1307="","",$F1307+$H1307)</f>
        <v/>
      </c>
      <c r="J1307">
        <f>IF($F1307="","⚪ NEW",IF($G1307&gt;=5,"✅ DONE",IF($I1307&lt;TODAY(),"🔴 OVERDUE",IF($I1307=TODAY(),"🟢 TODAY",IF($I1307=TODAY()+1,"🔵 TOMORROW",IF($I1307&lt;=TODAY()+7,"📅 THIS WEEK","⏳ SCHEDULED"))))))</f>
        <v/>
      </c>
      <c r="K1307" s="20">
        <f>IF($F1307="",999,IF($G1307&gt;=5,9999,IF($I1307="",999,$I1307-TODAY())))</f>
        <v/>
      </c>
    </row>
    <row r="1308">
      <c r="A1308" s="26">
        <f>ROW()-2</f>
        <v/>
      </c>
      <c r="B1308" s="27" t="inlineStr">
        <is>
          <t>S10</t>
        </is>
      </c>
      <c r="C1308" s="27" t="inlineStr">
        <is>
          <t>Synthèse thérapeutique</t>
        </is>
      </c>
      <c r="D1308" s="27" t="inlineStr"/>
      <c r="E1308" s="27" t="inlineStr">
        <is>
          <t>La prescription d'antibiotiques</t>
        </is>
      </c>
      <c r="F1308" s="18" t="n"/>
      <c r="G1308" s="19" t="n"/>
      <c r="H1308" s="20">
        <f>IF($G1308="",1,IF($G1308=0,1,IF($G1308=1,3,IF($G1308=2,7,IF($G1308=3,14,IF($G1308=4,30,60))))))</f>
        <v/>
      </c>
      <c r="I1308" s="21">
        <f>IF($F1308="","",$F1308+$H1308)</f>
        <v/>
      </c>
      <c r="J1308">
        <f>IF($F1308="","⚪ NEW",IF($G1308&gt;=5,"✅ DONE",IF($I1308&lt;TODAY(),"🔴 OVERDUE",IF($I1308=TODAY(),"🟢 TODAY",IF($I1308=TODAY()+1,"🔵 TOMORROW",IF($I1308&lt;=TODAY()+7,"📅 THIS WEEK","⏳ SCHEDULED"))))))</f>
        <v/>
      </c>
      <c r="K1308" s="20">
        <f>IF($F1308="",999,IF($G1308&gt;=5,9999,IF($I1308="",999,$I1308-TODAY())))</f>
        <v/>
      </c>
    </row>
    <row r="1309">
      <c r="A1309" s="26">
        <f>ROW()-2</f>
        <v/>
      </c>
      <c r="B1309" s="27" t="inlineStr">
        <is>
          <t>S10</t>
        </is>
      </c>
      <c r="C1309" s="27" t="inlineStr">
        <is>
          <t>Synthèse thérapeutique</t>
        </is>
      </c>
      <c r="D1309" s="27" t="inlineStr"/>
      <c r="E1309" s="27" t="inlineStr">
        <is>
          <t>Échec de l'antibiothérapie</t>
        </is>
      </c>
      <c r="F1309" s="18" t="n"/>
      <c r="G1309" s="19" t="n"/>
      <c r="H1309" s="20">
        <f>IF($G1309="",1,IF($G1309=0,1,IF($G1309=1,3,IF($G1309=2,7,IF($G1309=3,14,IF($G1309=4,30,60))))))</f>
        <v/>
      </c>
      <c r="I1309" s="21">
        <f>IF($F1309="","",$F1309+$H1309)</f>
        <v/>
      </c>
      <c r="J1309">
        <f>IF($F1309="","⚪ NEW",IF($G1309&gt;=5,"✅ DONE",IF($I1309&lt;TODAY(),"🔴 OVERDUE",IF($I1309=TODAY(),"🟢 TODAY",IF($I1309=TODAY()+1,"🔵 TOMORROW",IF($I1309&lt;=TODAY()+7,"📅 THIS WEEK","⏳ SCHEDULED"))))))</f>
        <v/>
      </c>
      <c r="K1309" s="20">
        <f>IF($F1309="",999,IF($G1309&gt;=5,9999,IF($I1309="",999,$I1309-TODAY())))</f>
        <v/>
      </c>
    </row>
    <row r="1310">
      <c r="A1310" s="26">
        <f>ROW()-2</f>
        <v/>
      </c>
      <c r="B1310" s="27" t="inlineStr">
        <is>
          <t>S10</t>
        </is>
      </c>
      <c r="C1310" s="27" t="inlineStr">
        <is>
          <t>Synthèse thérapeutique</t>
        </is>
      </c>
      <c r="D1310" s="27" t="inlineStr"/>
      <c r="E1310" s="27" t="inlineStr">
        <is>
          <t>Antiépileptiques</t>
        </is>
      </c>
      <c r="F1310" s="18" t="n"/>
      <c r="G1310" s="19" t="n"/>
      <c r="H1310" s="20">
        <f>IF($G1310="",1,IF($G1310=0,1,IF($G1310=1,3,IF($G1310=2,7,IF($G1310=3,14,IF($G1310=4,30,60))))))</f>
        <v/>
      </c>
      <c r="I1310" s="21">
        <f>IF($F1310="","",$F1310+$H1310)</f>
        <v/>
      </c>
      <c r="J1310">
        <f>IF($F1310="","⚪ NEW",IF($G1310&gt;=5,"✅ DONE",IF($I1310&lt;TODAY(),"🔴 OVERDUE",IF($I1310=TODAY(),"🟢 TODAY",IF($I1310=TODAY()+1,"🔵 TOMORROW",IF($I1310&lt;=TODAY()+7,"📅 THIS WEEK","⏳ SCHEDULED"))))))</f>
        <v/>
      </c>
      <c r="K1310" s="20">
        <f>IF($F1310="",999,IF($G1310&gt;=5,9999,IF($I1310="",999,$I1310-TODAY())))</f>
        <v/>
      </c>
    </row>
    <row r="1311">
      <c r="A1311" s="26">
        <f>ROW()-2</f>
        <v/>
      </c>
      <c r="B1311" s="27" t="inlineStr">
        <is>
          <t>S10</t>
        </is>
      </c>
      <c r="C1311" s="27" t="inlineStr">
        <is>
          <t>Synthèse thérapeutique</t>
        </is>
      </c>
      <c r="D1311" s="27" t="inlineStr"/>
      <c r="E1311" s="27" t="inlineStr">
        <is>
          <t>Traitement de la migraine</t>
        </is>
      </c>
      <c r="F1311" s="18" t="n"/>
      <c r="G1311" s="19" t="n"/>
      <c r="H1311" s="20">
        <f>IF($G1311="",1,IF($G1311=0,1,IF($G1311=1,3,IF($G1311=2,7,IF($G1311=3,14,IF($G1311=4,30,60))))))</f>
        <v/>
      </c>
      <c r="I1311" s="21">
        <f>IF($F1311="","",$F1311+$H1311)</f>
        <v/>
      </c>
      <c r="J1311">
        <f>IF($F1311="","⚪ NEW",IF($G1311&gt;=5,"✅ DONE",IF($I1311&lt;TODAY(),"🔴 OVERDUE",IF($I1311=TODAY(),"🟢 TODAY",IF($I1311=TODAY()+1,"🔵 TOMORROW",IF($I1311&lt;=TODAY()+7,"📅 THIS WEEK","⏳ SCHEDULED"))))))</f>
        <v/>
      </c>
      <c r="K1311" s="20">
        <f>IF($F1311="",999,IF($G1311&gt;=5,9999,IF($I1311="",999,$I1311-TODAY())))</f>
        <v/>
      </c>
    </row>
    <row r="1312">
      <c r="A1312" s="26">
        <f>ROW()-2</f>
        <v/>
      </c>
      <c r="B1312" s="27" t="inlineStr">
        <is>
          <t>S10</t>
        </is>
      </c>
      <c r="C1312" s="27" t="inlineStr">
        <is>
          <t>Synthèse thérapeutique</t>
        </is>
      </c>
      <c r="D1312" s="27" t="inlineStr"/>
      <c r="E1312" s="27" t="inlineStr">
        <is>
          <t>Synthèse thérapeutique en ophtalmologie</t>
        </is>
      </c>
      <c r="F1312" s="18" t="n"/>
      <c r="G1312" s="19" t="n"/>
      <c r="H1312" s="20">
        <f>IF($G1312="",1,IF($G1312=0,1,IF($G1312=1,3,IF($G1312=2,7,IF($G1312=3,14,IF($G1312=4,30,60))))))</f>
        <v/>
      </c>
      <c r="I1312" s="21">
        <f>IF($F1312="","",$F1312+$H1312)</f>
        <v/>
      </c>
      <c r="J1312">
        <f>IF($F1312="","⚪ NEW",IF($G1312&gt;=5,"✅ DONE",IF($I1312&lt;TODAY(),"🔴 OVERDUE",IF($I1312=TODAY(),"🟢 TODAY",IF($I1312=TODAY()+1,"🔵 TOMORROW",IF($I1312&lt;=TODAY()+7,"📅 THIS WEEK","⏳ SCHEDULED"))))))</f>
        <v/>
      </c>
      <c r="K1312" s="20">
        <f>IF($F1312="",999,IF($G1312&gt;=5,9999,IF($I1312="",999,$I1312-TODAY())))</f>
        <v/>
      </c>
    </row>
  </sheetData>
  <autoFilter ref="A2:K1312"/>
  <mergeCells count="4">
    <mergeCell ref="I1:J1"/>
    <mergeCell ref="A1:D1"/>
    <mergeCell ref="F1:H1"/>
    <mergeCell ref="K1:L1"/>
  </mergeCells>
  <conditionalFormatting sqref="G3:G1312">
    <cfRule type="colorScale" priority="1">
      <colorScale>
        <cfvo type="num" val="0"/>
        <cfvo type="num" val="2"/>
        <cfvo type="num" val="5"/>
        <color rgb="00F8696B"/>
        <color rgb="00FFEB84"/>
        <color rgb="0063BE7B"/>
      </colorScale>
    </cfRule>
  </conditionalFormatting>
  <conditionalFormatting sqref="J3:J1312">
    <cfRule type="expression" priority="2" dxfId="0">
      <formula>ISNUMBER(SEARCH("OVERDUE",$J3))</formula>
    </cfRule>
    <cfRule type="expression" priority="3" dxfId="1">
      <formula>ISNUMBER(SEARCH("TODAY",$J3))</formula>
    </cfRule>
    <cfRule type="expression" priority="4" dxfId="2">
      <formula>ISNUMBER(SEARCH("TOMORROW",$J3))</formula>
    </cfRule>
    <cfRule type="expression" priority="5" dxfId="3">
      <formula>ISNUMBER(SEARCH("THIS WEEK",$J3))</formula>
    </cfRule>
    <cfRule type="expression" priority="6" dxfId="4">
      <formula>ISNUMBER(SEARCH("DONE",$J3))</formula>
    </cfRule>
    <cfRule type="expression" priority="7" dxfId="5">
      <formula>ISNUMBER(SEARCH("SCHEDULED",$J3))</formula>
    </cfRule>
  </conditionalFormatting>
  <dataValidations count="1">
    <dataValidation sqref="G3:G1312" showDropDown="0" showInputMessage="0" showErrorMessage="1" allowBlank="1" promptTitle="Mastery" prompt="How well did you recall it? 0 = forgot … 5 = mastered" type="list">
      <formula1>"0,1,2,3,4,5"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N1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9" customWidth="1" min="3" max="3"/>
    <col width="9" customWidth="1" min="4" max="4"/>
    <col width="13" customWidth="1" min="5" max="5"/>
    <col width="14" customWidth="1" min="6" max="6"/>
    <col width="9" customWidth="1" min="7" max="7"/>
    <col width="3" customWidth="1" min="8" max="8"/>
    <col width="9" customWidth="1" min="9" max="9"/>
    <col hidden="1" width="13" customWidth="1" min="14" max="14"/>
  </cols>
  <sheetData>
    <row r="1" ht="26" customHeight="1">
      <c r="A1" s="40" t="inlineStr">
        <is>
          <t>🔍 MODULE VIEW — pick one module to see its lessons, stats and mastery chart</t>
        </is>
      </c>
      <c r="N1">
        <f>IFERROR(INDEX(Dashboard!$B$46:$B$89,MATCH($C$3,Dashboard!$A$46:$A$89,0)),"")</f>
        <v/>
      </c>
    </row>
    <row r="2">
      <c r="N2">
        <f>IFERROR(INDEX(Dashboard!$C$46:$C$89,MATCH($C$3,Dashboard!$A$46:$A$89,0)),"")</f>
        <v/>
      </c>
    </row>
    <row r="3">
      <c r="A3" s="41" t="inlineStr">
        <is>
          <t>▶ Module:</t>
        </is>
      </c>
      <c r="C3" s="42" t="inlineStr">
        <is>
          <t>S1 — Anatomie I</t>
        </is>
      </c>
    </row>
    <row r="5">
      <c r="A5" s="6" t="inlineStr">
        <is>
          <t>THIS MODULE</t>
        </is>
      </c>
      <c r="B5" s="6" t="n"/>
      <c r="C5" s="6" t="n"/>
      <c r="D5" s="6" t="n"/>
      <c r="E5" s="6" t="n"/>
      <c r="F5" s="6" t="n"/>
      <c r="G5" s="6" t="n"/>
      <c r="H5" s="6" t="inlineStr">
        <is>
          <t>Mastery</t>
        </is>
      </c>
      <c r="I5" s="6" t="inlineStr">
        <is>
          <t>Lessons</t>
        </is>
      </c>
    </row>
    <row r="6">
      <c r="A6" s="43" t="inlineStr">
        <is>
          <t>Total</t>
        </is>
      </c>
      <c r="B6" s="44">
        <f>COUNTIFS('lesson-database'!$B$3:$B$2000,$N$1,'lesson-database'!$C$3:$C$2000,$N$2)</f>
        <v/>
      </c>
      <c r="C6" s="43" t="inlineStr">
        <is>
          <t>Started</t>
        </is>
      </c>
      <c r="D6" s="44">
        <f>COUNTIFS('lesson-database'!$B$3:$B$2000,$N$1,'lesson-database'!$C$3:$C$2000,$N$2,'lesson-database'!$F$3:$F$2000,"&lt;&gt;")</f>
        <v/>
      </c>
      <c r="E6" s="43" t="inlineStr">
        <is>
          <t>Mastered</t>
        </is>
      </c>
      <c r="F6" s="44">
        <f>COUNTIFS('lesson-database'!$B$3:$B$2000,$N$1,'lesson-database'!$C$3:$C$2000,$N$2,'lesson-database'!$G$3:$G$2000,5)</f>
        <v/>
      </c>
      <c r="H6" s="7" t="n">
        <v>0</v>
      </c>
      <c r="I6" s="8">
        <f>COUNTIFS('lesson-database'!$B$3:$B$2000,$N$1,'lesson-database'!$C$3:$C$2000,$N$2,'lesson-database'!$G$3:$G$2000,$H6)</f>
        <v/>
      </c>
    </row>
    <row r="7">
      <c r="A7" s="43" t="inlineStr">
        <is>
          <t>Overdue</t>
        </is>
      </c>
      <c r="B7" s="44">
        <f>COUNTIFS('lesson-database'!$B$3:$B$2000,$N$1,'lesson-database'!$C$3:$C$2000,$N$2,'lesson-database'!$J$3:$J$2000,"*OVERDUE*")</f>
        <v/>
      </c>
      <c r="C7" s="43" t="inlineStr">
        <is>
          <t>Due today</t>
        </is>
      </c>
      <c r="D7" s="44">
        <f>COUNTIFS('lesson-database'!$B$3:$B$2000,$N$1,'lesson-database'!$C$3:$C$2000,$N$2,'lesson-database'!$J$3:$J$2000,"*TODAY*")</f>
        <v/>
      </c>
      <c r="E7" s="43" t="inlineStr">
        <is>
          <t>This week</t>
        </is>
      </c>
      <c r="F7" s="44">
        <f>COUNTIFS('lesson-database'!$B$3:$B$2000,$N$1,'lesson-database'!$C$3:$C$2000,$N$2,'lesson-database'!$J$3:$J$2000,"*THIS WEEK*")</f>
        <v/>
      </c>
      <c r="H7" s="7" t="n">
        <v>1</v>
      </c>
      <c r="I7" s="8">
        <f>COUNTIFS('lesson-database'!$B$3:$B$2000,$N$1,'lesson-database'!$C$3:$C$2000,$N$2,'lesson-database'!$G$3:$G$2000,$H7)</f>
        <v/>
      </c>
    </row>
    <row r="8">
      <c r="H8" s="7" t="n">
        <v>2</v>
      </c>
      <c r="I8" s="8">
        <f>COUNTIFS('lesson-database'!$B$3:$B$2000,$N$1,'lesson-database'!$C$3:$C$2000,$N$2,'lesson-database'!$G$3:$G$2000,$H8)</f>
        <v/>
      </c>
    </row>
    <row r="9">
      <c r="H9" s="7" t="n">
        <v>3</v>
      </c>
      <c r="I9" s="8">
        <f>COUNTIFS('lesson-database'!$B$3:$B$2000,$N$1,'lesson-database'!$C$3:$C$2000,$N$2,'lesson-database'!$G$3:$G$2000,$H9)</f>
        <v/>
      </c>
    </row>
    <row r="10">
      <c r="H10" s="7" t="n">
        <v>4</v>
      </c>
      <c r="I10" s="8">
        <f>COUNTIFS('lesson-database'!$B$3:$B$2000,$N$1,'lesson-database'!$C$3:$C$2000,$N$2,'lesson-database'!$G$3:$G$2000,$H10)</f>
        <v/>
      </c>
    </row>
    <row r="11">
      <c r="H11" s="7" t="n">
        <v>5</v>
      </c>
      <c r="I11" s="8">
        <f>COUNTIFS('lesson-database'!$B$3:$B$2000,$N$1,'lesson-database'!$C$3:$C$2000,$N$2,'lesson-database'!$G$3:$G$2000,$H11)</f>
        <v/>
      </c>
    </row>
    <row r="13">
      <c r="A13" s="2" t="inlineStr">
        <is>
          <t>LESSONS IN THIS MODULE</t>
        </is>
      </c>
    </row>
    <row r="14">
      <c r="A14" s="6" t="inlineStr">
        <is>
          <t>Lesson</t>
        </is>
      </c>
      <c r="B14" s="6" t="inlineStr">
        <is>
          <t>Last Review</t>
        </is>
      </c>
      <c r="C14" s="6" t="inlineStr">
        <is>
          <t>Mastery</t>
        </is>
      </c>
      <c r="D14" s="6" t="inlineStr">
        <is>
          <t>Interval</t>
        </is>
      </c>
      <c r="E14" s="6" t="inlineStr">
        <is>
          <t>Next Review</t>
        </is>
      </c>
      <c r="F14" s="6" t="inlineStr">
        <is>
          <t>Status</t>
        </is>
      </c>
      <c r="G14" s="6" t="inlineStr">
        <is>
          <t>Priority</t>
        </is>
      </c>
    </row>
    <row r="15">
      <c r="A15">
        <f>IFERROR(FILTER('lesson-database'!$E$3:$K$2000,('lesson-database'!$B$3:$B$2000=$N$1)*('lesson-database'!$C$3:$C$2000=$N$2),"— no lessons —"),"FILTER needs Excel 365 or Google Sheets — use the lesson-database tab's filter arrows instead.")</f>
        <v/>
      </c>
    </row>
  </sheetData>
  <mergeCells count="2">
    <mergeCell ref="C3:F3"/>
    <mergeCell ref="A1:H1"/>
  </mergeCells>
  <dataValidations count="1">
    <dataValidation sqref="C3" showDropDown="0" showInputMessage="0" showErrorMessage="1" allowBlank="0" promptTitle="Module" prompt="Choose the module to inspect" type="list">
      <formula1>=ModuleList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13" customWidth="1" min="4" max="4"/>
    <col width="10" customWidth="1" min="5" max="5"/>
  </cols>
  <sheetData>
    <row r="1" ht="24" customHeight="1">
      <c r="A1" s="10" t="inlineStr">
        <is>
          <t>🗓️ WEEKLY — your next 7 days of reviews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Reviews</t>
        </is>
      </c>
      <c r="D3" s="6" t="inlineStr">
        <is>
          <t>Load</t>
        </is>
      </c>
      <c r="E3" s="6" t="inlineStr">
        <is>
          <t>Est. min</t>
        </is>
      </c>
    </row>
    <row r="4">
      <c r="A4" s="45">
        <f>TODAY()</f>
        <v/>
      </c>
      <c r="B4" s="7">
        <f>TEXT(A4,"ddd")</f>
        <v/>
      </c>
      <c r="C4" s="7">
        <f>COUNTIF('lesson-database'!$I$3:$I$2000,A4)+COUNTIF('lesson-database'!$J$3:$J$2000,"*OVERDUE*")</f>
        <v/>
      </c>
      <c r="D4" s="8">
        <f>IF(C4=0,"🟢 Free",IF(C4&lt;=5,"🟢 Light",IF(C4&lt;=10,"🟡 Medium",IF(C4&lt;=15,"🟠 Heavy","🔴 Overload"))))</f>
        <v/>
      </c>
      <c r="E4" s="7">
        <f>C4*10</f>
        <v/>
      </c>
    </row>
    <row r="5">
      <c r="A5" s="45">
        <f>A4+1</f>
        <v/>
      </c>
      <c r="B5" s="7">
        <f>TEXT(A5,"ddd")</f>
        <v/>
      </c>
      <c r="C5" s="7">
        <f>COUNTIF('lesson-database'!$I$3:$I$2000,A5)</f>
        <v/>
      </c>
      <c r="D5" s="8">
        <f>IF(C5=0,"🟢 Free",IF(C5&lt;=5,"🟢 Light",IF(C5&lt;=10,"🟡 Medium",IF(C5&lt;=15,"🟠 Heavy","🔴 Overload"))))</f>
        <v/>
      </c>
      <c r="E5" s="7">
        <f>C5*10</f>
        <v/>
      </c>
    </row>
    <row r="6">
      <c r="A6" s="45">
        <f>A5+1</f>
        <v/>
      </c>
      <c r="B6" s="7">
        <f>TEXT(A6,"ddd")</f>
        <v/>
      </c>
      <c r="C6" s="7">
        <f>COUNTIF('lesson-database'!$I$3:$I$2000,A6)</f>
        <v/>
      </c>
      <c r="D6" s="8">
        <f>IF(C6=0,"🟢 Free",IF(C6&lt;=5,"🟢 Light",IF(C6&lt;=10,"🟡 Medium",IF(C6&lt;=15,"🟠 Heavy","🔴 Overload"))))</f>
        <v/>
      </c>
      <c r="E6" s="7">
        <f>C6*10</f>
        <v/>
      </c>
    </row>
    <row r="7">
      <c r="A7" s="45">
        <f>A6+1</f>
        <v/>
      </c>
      <c r="B7" s="7">
        <f>TEXT(A7,"ddd")</f>
        <v/>
      </c>
      <c r="C7" s="7">
        <f>COUNTIF('lesson-database'!$I$3:$I$2000,A7)</f>
        <v/>
      </c>
      <c r="D7" s="8">
        <f>IF(C7=0,"🟢 Free",IF(C7&lt;=5,"🟢 Light",IF(C7&lt;=10,"🟡 Medium",IF(C7&lt;=15,"🟠 Heavy","🔴 Overload"))))</f>
        <v/>
      </c>
      <c r="E7" s="7">
        <f>C7*10</f>
        <v/>
      </c>
    </row>
    <row r="8">
      <c r="A8" s="45">
        <f>A7+1</f>
        <v/>
      </c>
      <c r="B8" s="7">
        <f>TEXT(A8,"ddd")</f>
        <v/>
      </c>
      <c r="C8" s="7">
        <f>COUNTIF('lesson-database'!$I$3:$I$2000,A8)</f>
        <v/>
      </c>
      <c r="D8" s="8">
        <f>IF(C8=0,"🟢 Free",IF(C8&lt;=5,"🟢 Light",IF(C8&lt;=10,"🟡 Medium",IF(C8&lt;=15,"🟠 Heavy","🔴 Overload"))))</f>
        <v/>
      </c>
      <c r="E8" s="7">
        <f>C8*10</f>
        <v/>
      </c>
    </row>
    <row r="9">
      <c r="A9" s="45">
        <f>A8+1</f>
        <v/>
      </c>
      <c r="B9" s="7">
        <f>TEXT(A9,"ddd")</f>
        <v/>
      </c>
      <c r="C9" s="7">
        <f>COUNTIF('lesson-database'!$I$3:$I$2000,A9)</f>
        <v/>
      </c>
      <c r="D9" s="8">
        <f>IF(C9=0,"🟢 Free",IF(C9&lt;=5,"🟢 Light",IF(C9&lt;=10,"🟡 Medium",IF(C9&lt;=15,"🟠 Heavy","🔴 Overload"))))</f>
        <v/>
      </c>
      <c r="E9" s="7">
        <f>C9*10</f>
        <v/>
      </c>
    </row>
    <row r="10">
      <c r="A10" s="45">
        <f>A9+1</f>
        <v/>
      </c>
      <c r="B10" s="7">
        <f>TEXT(A10,"ddd")</f>
        <v/>
      </c>
      <c r="C10" s="7">
        <f>COUNTIF('lesson-database'!$I$3:$I$2000,A10)</f>
        <v/>
      </c>
      <c r="D10" s="8">
        <f>IF(C10=0,"🟢 Free",IF(C10&lt;=5,"🟢 Light",IF(C10&lt;=10,"🟡 Medium",IF(C10&lt;=15,"🟠 Heavy","🔴 Overload"))))</f>
        <v/>
      </c>
      <c r="E10" s="7">
        <f>C10*10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6" t="inlineStr">
        <is>
          <t>🧠 MEDICAL SRS — HOW TO USE</t>
        </is>
      </c>
    </row>
    <row r="2">
      <c r="A2" s="47" t="inlineStr"/>
    </row>
    <row r="3">
      <c r="A3" s="48" t="inlineStr">
        <is>
          <t>THE ONE RULE: you only ever type in two columns on the lesson-database tab —</t>
        </is>
      </c>
    </row>
    <row r="4">
      <c r="A4" s="47" t="inlineStr">
        <is>
          <t xml:space="preserve">   • F  Last Review  → the day you studied it (press Ctrl+;  for today)</t>
        </is>
      </c>
    </row>
    <row r="5">
      <c r="A5" s="47" t="inlineStr">
        <is>
          <t xml:space="preserve">   • G  Mastery      → how well you recalled it, 0 (forgot) to 5 (mastered)</t>
        </is>
      </c>
    </row>
    <row r="6">
      <c r="A6" s="47" t="inlineStr">
        <is>
          <t>Everything else (interval, next review, status, priority) fills in by itself.</t>
        </is>
      </c>
    </row>
    <row r="7">
      <c r="A7" s="47" t="inlineStr">
        <is>
          <t>Top bar (row 1): today + days left until the exam — set your exam date in the blue K1 cell.</t>
        </is>
      </c>
    </row>
    <row r="8">
      <c r="A8" s="47" t="inlineStr">
        <is>
          <t>Rows are tinted per module (same color = same module) for easier scanning.</t>
        </is>
      </c>
    </row>
    <row r="9">
      <c r="A9" s="47" t="inlineStr"/>
    </row>
    <row r="10">
      <c r="A10" s="48" t="inlineStr">
        <is>
          <t>HOW THE SCHEDULE WORKS</t>
        </is>
      </c>
    </row>
    <row r="11">
      <c r="A11" s="47" t="inlineStr">
        <is>
          <t xml:space="preserve">   Mastery 0→review in 1 day · 1→3d · 2→7d · 3→14d · 4→30d · 5→done (drops off).</t>
        </is>
      </c>
    </row>
    <row r="12">
      <c r="A12" s="47" t="inlineStr">
        <is>
          <t xml:space="preserve">   Forgot it? set 0 and it comes back tomorrow. Solid? a higher score pushes it out.</t>
        </is>
      </c>
    </row>
    <row r="13">
      <c r="A13" s="47" t="inlineStr"/>
    </row>
    <row r="14">
      <c r="A14" s="48" t="inlineStr">
        <is>
          <t>FILTERING (quick filter)</t>
        </is>
      </c>
    </row>
    <row r="15">
      <c r="A15" s="47" t="inlineStr">
        <is>
          <t xml:space="preserve">   lesson-database tab → click the ▼ arrow on row 2 of Semester, Module or Subject.</t>
        </is>
      </c>
    </row>
    <row r="16">
      <c r="A16" s="47" t="inlineStr">
        <is>
          <t xml:space="preserve">   This is the fast, works-everywhere way to see one semester or one module.</t>
        </is>
      </c>
    </row>
    <row r="17">
      <c r="A17" s="47" t="inlineStr"/>
    </row>
    <row r="18">
      <c r="A18" s="48" t="inlineStr">
        <is>
          <t>THE TABS</t>
        </is>
      </c>
    </row>
    <row r="19">
      <c r="A19" s="47" t="inlineStr">
        <is>
          <t xml:space="preserve">   • Dashboard   — bird's-eye view: totals, % done per semester &amp; per module, charts.</t>
        </is>
      </c>
    </row>
    <row r="20">
      <c r="A20" s="47" t="inlineStr">
        <is>
          <t xml:space="preserve">   • Module View — pick one module from the dropdown to see its lessons + mastery chart.</t>
        </is>
      </c>
    </row>
    <row r="21">
      <c r="A21" s="47" t="inlineStr">
        <is>
          <t xml:space="preserve">   • Weekly      — how many reviews land on each of the next 7 days.</t>
        </is>
      </c>
    </row>
    <row r="22">
      <c r="A22" s="47" t="inlineStr"/>
    </row>
    <row r="23">
      <c r="A23" s="48" t="inlineStr">
        <is>
          <t>ONLINE vs OFFLINE</t>
        </is>
      </c>
    </row>
    <row r="24">
      <c r="A24" s="47" t="inlineStr">
        <is>
          <t xml:space="preserve">   • Online  (Google Sheets): also auto-syncs reviews to Google Calendar via the 📚 SRS menu.</t>
        </is>
      </c>
    </row>
    <row r="25">
      <c r="A25" s="47" t="inlineStr">
        <is>
          <t xml:space="preserve">   • Offline (Microsoft Excel): everything works except calendar sync (Apps Script is Google-only).</t>
        </is>
      </c>
    </row>
    <row r="26">
      <c r="A26" s="47" t="inlineStr">
        <is>
          <t xml:space="preserve">     Tip: the Module View lesson list uses FILTER — needs Excel 365 or Google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2026-06-10T14:38:08Z</dcterms:created>
  <dcterms:modified xsi:type="dcterms:W3CDTF">2026-06-10T14:38:08Z</dcterms:modified>
</cp:coreProperties>
</file>